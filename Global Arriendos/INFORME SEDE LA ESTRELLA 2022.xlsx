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66925"/>
  <xr:revisionPtr revIDLastSave="75441" documentId="11_9248B46DC1CBB2E3ED7FF6F9903E8C1851038383" xr6:coauthVersionLast="47" xr6:coauthVersionMax="47" xr10:uidLastSave="{D48960E5-24BC-476D-8009-297051453AAB}"/>
  <bookViews>
    <workbookView xWindow="240" yWindow="105" windowWidth="14805" windowHeight="8010" firstSheet="3" activeTab="3" xr2:uid="{00000000-000D-0000-FFFF-FFFF00000000}"/>
  </bookViews>
  <sheets>
    <sheet name="INFORME ASESORES EXTERNOS " sheetId="1" r:id="rId1"/>
    <sheet name="INFORME ASESORES INTERNOS " sheetId="7" r:id="rId2"/>
    <sheet name="CAPTACIONES" sheetId="2" r:id="rId3"/>
    <sheet name="PAGO DE CELULAR " sheetId="10" r:id="rId4"/>
    <sheet name="INFORME ZONA ESTRELLA E ITAGUI " sheetId="9" r:id="rId5"/>
    <sheet name="Hoja1" sheetId="11" r:id="rId6"/>
  </sheets>
  <definedNames>
    <definedName name="_xlnm._FilterDatabase" localSheetId="2" hidden="1">CAPTACIONES!$A$268:$K$268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49" i="7" l="1"/>
  <c r="E2036" i="1"/>
  <c r="F2417" i="7"/>
  <c r="F2368" i="7"/>
  <c r="E2074" i="1"/>
  <c r="E2052" i="1"/>
  <c r="G2029" i="1"/>
  <c r="G2030" i="1"/>
  <c r="G2031" i="1"/>
  <c r="G2032" i="1"/>
  <c r="G2033" i="1"/>
  <c r="G2034" i="1"/>
  <c r="G2018" i="1"/>
  <c r="G2019" i="1"/>
  <c r="G2020" i="1"/>
  <c r="E2023" i="1"/>
  <c r="G2010" i="1"/>
  <c r="E2004" i="1"/>
  <c r="E2060" i="1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79" i="7"/>
  <c r="H2380" i="7"/>
  <c r="H2378" i="7"/>
  <c r="H2416" i="7"/>
  <c r="H2415" i="7"/>
  <c r="H2414" i="7"/>
  <c r="H2413" i="7"/>
  <c r="H2412" i="7"/>
  <c r="H2411" i="7"/>
  <c r="H2410" i="7"/>
  <c r="H2409" i="7"/>
  <c r="H2408" i="7"/>
  <c r="H2407" i="7"/>
  <c r="H2406" i="7"/>
  <c r="H2405" i="7"/>
  <c r="H2404" i="7"/>
  <c r="H2403" i="7"/>
  <c r="H2402" i="7"/>
  <c r="H2401" i="7"/>
  <c r="H2400" i="7"/>
  <c r="H2399" i="7"/>
  <c r="H2398" i="7"/>
  <c r="H2397" i="7"/>
  <c r="H2396" i="7"/>
  <c r="H2395" i="7"/>
  <c r="H2394" i="7"/>
  <c r="H2393" i="7"/>
  <c r="H2392" i="7"/>
  <c r="H2391" i="7"/>
  <c r="H2390" i="7"/>
  <c r="H2389" i="7"/>
  <c r="H2388" i="7"/>
  <c r="H2387" i="7"/>
  <c r="H2386" i="7"/>
  <c r="H2385" i="7"/>
  <c r="H2384" i="7"/>
  <c r="H2383" i="7"/>
  <c r="H2382" i="7"/>
  <c r="H2381" i="7"/>
  <c r="H2355" i="7"/>
  <c r="H2356" i="7"/>
  <c r="H2357" i="7"/>
  <c r="H2358" i="7"/>
  <c r="H2359" i="7"/>
  <c r="H2360" i="7"/>
  <c r="H2361" i="7"/>
  <c r="H2362" i="7"/>
  <c r="H2363" i="7"/>
  <c r="H2364" i="7"/>
  <c r="H2354" i="7"/>
  <c r="H2368" i="7" s="1"/>
  <c r="H2333" i="7"/>
  <c r="H2349" i="7" s="1"/>
  <c r="H2316" i="7"/>
  <c r="H2317" i="7"/>
  <c r="H2318" i="7"/>
  <c r="H2319" i="7"/>
  <c r="H2320" i="7"/>
  <c r="H2321" i="7"/>
  <c r="H2322" i="7"/>
  <c r="H2323" i="7"/>
  <c r="H2324" i="7"/>
  <c r="H2325" i="7"/>
  <c r="H2315" i="7"/>
  <c r="H2328" i="7" s="1"/>
  <c r="G2058" i="1"/>
  <c r="G2057" i="1"/>
  <c r="G2060" i="1" s="1"/>
  <c r="O2060" i="1" s="1"/>
  <c r="G2042" i="1"/>
  <c r="G2043" i="1"/>
  <c r="G2044" i="1"/>
  <c r="G2045" i="1"/>
  <c r="G2046" i="1"/>
  <c r="G2047" i="1"/>
  <c r="G2048" i="1"/>
  <c r="G2049" i="1"/>
  <c r="G2050" i="1"/>
  <c r="G2041" i="1"/>
  <c r="G2028" i="1"/>
  <c r="G2036" i="1" s="1"/>
  <c r="O2036" i="1" s="1"/>
  <c r="O2018" i="1"/>
  <c r="O2019" i="1"/>
  <c r="O2017" i="1"/>
  <c r="O2021" i="1" s="1"/>
  <c r="G2017" i="1"/>
  <c r="G2023" i="1" s="1"/>
  <c r="O2023" i="1" s="1"/>
  <c r="O2009" i="1"/>
  <c r="O2010" i="1" s="1"/>
  <c r="G2009" i="1"/>
  <c r="G2012" i="1" s="1"/>
  <c r="O1993" i="1"/>
  <c r="O1992" i="1"/>
  <c r="O2002" i="1" s="1"/>
  <c r="G1999" i="1"/>
  <c r="G1993" i="1"/>
  <c r="G1994" i="1"/>
  <c r="G1995" i="1"/>
  <c r="G1996" i="1"/>
  <c r="G1997" i="1"/>
  <c r="G1998" i="1"/>
  <c r="G2000" i="1"/>
  <c r="G2001" i="1"/>
  <c r="G1992" i="1"/>
  <c r="G2004" i="1" s="1"/>
  <c r="O2004" i="1" s="1"/>
  <c r="H2542" i="7"/>
  <c r="F2542" i="7"/>
  <c r="H2479" i="7"/>
  <c r="F2479" i="7"/>
  <c r="H2460" i="7"/>
  <c r="F2460" i="7"/>
  <c r="H2438" i="7"/>
  <c r="F2438" i="7"/>
  <c r="M2173" i="1"/>
  <c r="E2172" i="1"/>
  <c r="E2164" i="1"/>
  <c r="G2152" i="1"/>
  <c r="E2152" i="1"/>
  <c r="G2134" i="1"/>
  <c r="E2134" i="1"/>
  <c r="G2119" i="1"/>
  <c r="E2119" i="1"/>
  <c r="G2108" i="1"/>
  <c r="O2108" i="1" s="1"/>
  <c r="E2108" i="1"/>
  <c r="G2098" i="1"/>
  <c r="E2098" i="1"/>
  <c r="D2175" i="1" s="1"/>
  <c r="M2075" i="1"/>
  <c r="E2067" i="1"/>
  <c r="O2012" i="1"/>
  <c r="E2012" i="1"/>
  <c r="J3114" i="2"/>
  <c r="J3068" i="2"/>
  <c r="J3022" i="2"/>
  <c r="J3312" i="2"/>
  <c r="J3285" i="2"/>
  <c r="J3268" i="2"/>
  <c r="J3244" i="2"/>
  <c r="J3227" i="2"/>
  <c r="J3204" i="2"/>
  <c r="J3174" i="2"/>
  <c r="J3084" i="2"/>
  <c r="H2220" i="7"/>
  <c r="H2221" i="7"/>
  <c r="H2222" i="7"/>
  <c r="H2223" i="7"/>
  <c r="H2224" i="7"/>
  <c r="H2225" i="7"/>
  <c r="H2226" i="7"/>
  <c r="H2227" i="7"/>
  <c r="H2228" i="7"/>
  <c r="H2229" i="7"/>
  <c r="H2230" i="7"/>
  <c r="H2219" i="7"/>
  <c r="H2235" i="7" s="1"/>
  <c r="O1940" i="1"/>
  <c r="E1906" i="1"/>
  <c r="O1894" i="1"/>
  <c r="E1948" i="1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40" i="7"/>
  <c r="H2259" i="7" s="1"/>
  <c r="F2259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265" i="7"/>
  <c r="F230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198" i="7"/>
  <c r="F2214" i="7"/>
  <c r="O1939" i="1"/>
  <c r="O1938" i="1"/>
  <c r="O1946" i="1" s="1"/>
  <c r="G1939" i="1"/>
  <c r="G1940" i="1"/>
  <c r="G1941" i="1"/>
  <c r="G1942" i="1"/>
  <c r="G1943" i="1"/>
  <c r="G1944" i="1"/>
  <c r="G1938" i="1"/>
  <c r="G1894" i="1"/>
  <c r="G1895" i="1"/>
  <c r="G1896" i="1"/>
  <c r="G1897" i="1"/>
  <c r="G1898" i="1"/>
  <c r="G1899" i="1"/>
  <c r="G1900" i="1"/>
  <c r="G1901" i="1"/>
  <c r="G1902" i="1"/>
  <c r="G1903" i="1"/>
  <c r="G1904" i="1"/>
  <c r="G1893" i="1"/>
  <c r="G1906" i="1" s="1"/>
  <c r="O1893" i="1"/>
  <c r="O1905" i="1" s="1"/>
  <c r="G1919" i="1"/>
  <c r="O1912" i="1"/>
  <c r="O1911" i="1"/>
  <c r="O1919" i="1" s="1"/>
  <c r="G1912" i="1"/>
  <c r="G1913" i="1"/>
  <c r="G1914" i="1"/>
  <c r="G1915" i="1"/>
  <c r="G1916" i="1"/>
  <c r="G1917" i="1"/>
  <c r="G1918" i="1"/>
  <c r="G1911" i="1"/>
  <c r="G1921" i="1" s="1"/>
  <c r="O1921" i="1" s="1"/>
  <c r="G1954" i="1"/>
  <c r="G1955" i="1"/>
  <c r="G1956" i="1"/>
  <c r="G1957" i="1"/>
  <c r="G1958" i="1"/>
  <c r="G1959" i="1"/>
  <c r="G1960" i="1"/>
  <c r="G1953" i="1"/>
  <c r="G1964" i="1" s="1"/>
  <c r="O1964" i="1" s="1"/>
  <c r="G1969" i="1"/>
  <c r="G1973" i="1" s="1"/>
  <c r="O1973" i="1" s="1"/>
  <c r="O1926" i="1"/>
  <c r="O1931" i="1" s="1"/>
  <c r="G1927" i="1"/>
  <c r="G1928" i="1"/>
  <c r="G1929" i="1"/>
  <c r="G1930" i="1"/>
  <c r="G1931" i="1"/>
  <c r="G1926" i="1"/>
  <c r="J2986" i="2"/>
  <c r="J3143" i="2"/>
  <c r="J3100" i="2"/>
  <c r="J3040" i="2"/>
  <c r="E1921" i="1"/>
  <c r="E1933" i="1"/>
  <c r="E1964" i="1"/>
  <c r="F2328" i="7"/>
  <c r="O1858" i="1"/>
  <c r="E1852" i="1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47" i="7"/>
  <c r="H2189" i="7" s="1"/>
  <c r="G1793" i="1"/>
  <c r="F2141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20" i="7"/>
  <c r="H2141" i="7" s="1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75" i="7"/>
  <c r="H2095" i="7" s="1"/>
  <c r="F2115" i="7"/>
  <c r="G1807" i="1"/>
  <c r="E1823" i="1"/>
  <c r="E1837" i="1"/>
  <c r="O1857" i="1"/>
  <c r="O1862" i="1" s="1"/>
  <c r="E1864" i="1"/>
  <c r="G1858" i="1"/>
  <c r="G1859" i="1"/>
  <c r="G1860" i="1"/>
  <c r="G1857" i="1"/>
  <c r="G1843" i="1"/>
  <c r="G1844" i="1"/>
  <c r="G1845" i="1"/>
  <c r="G1846" i="1"/>
  <c r="G1847" i="1"/>
  <c r="G1848" i="1"/>
  <c r="G1849" i="1"/>
  <c r="G1842" i="1"/>
  <c r="G1852" i="1" s="1"/>
  <c r="O1829" i="1"/>
  <c r="O1830" i="1"/>
  <c r="O1828" i="1"/>
  <c r="O1835" i="1" s="1"/>
  <c r="G1829" i="1"/>
  <c r="G1830" i="1"/>
  <c r="G1831" i="1"/>
  <c r="G1832" i="1"/>
  <c r="G1833" i="1"/>
  <c r="G1834" i="1"/>
  <c r="G1835" i="1"/>
  <c r="G1836" i="1"/>
  <c r="G1828" i="1"/>
  <c r="G1837" i="1" s="1"/>
  <c r="O1837" i="1" s="1"/>
  <c r="O1842" i="1"/>
  <c r="O1850" i="1" s="1"/>
  <c r="O1816" i="1"/>
  <c r="O1815" i="1"/>
  <c r="O1821" i="1" s="1"/>
  <c r="G1816" i="1"/>
  <c r="G1817" i="1"/>
  <c r="G1818" i="1"/>
  <c r="G1819" i="1"/>
  <c r="G1815" i="1"/>
  <c r="G1823" i="1" s="1"/>
  <c r="O1823" i="1" s="1"/>
  <c r="H2308" i="7"/>
  <c r="F2235" i="7"/>
  <c r="H2214" i="7"/>
  <c r="E1810" i="1"/>
  <c r="D1883" i="1" s="1"/>
  <c r="O1794" i="1"/>
  <c r="O1795" i="1"/>
  <c r="O1793" i="1"/>
  <c r="O1808" i="1" s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10" i="1"/>
  <c r="O1810" i="1" s="1"/>
  <c r="M1981" i="1"/>
  <c r="E1980" i="1"/>
  <c r="E1973" i="1"/>
  <c r="G1948" i="1"/>
  <c r="O1948" i="1" s="1"/>
  <c r="G1933" i="1"/>
  <c r="O1933" i="1" s="1"/>
  <c r="D1983" i="1"/>
  <c r="J2790" i="2"/>
  <c r="J2974" i="2"/>
  <c r="J2960" i="2"/>
  <c r="J2941" i="2"/>
  <c r="J2923" i="2"/>
  <c r="J2894" i="2"/>
  <c r="J2745" i="2"/>
  <c r="H2110" i="7"/>
  <c r="H2101" i="7"/>
  <c r="H2102" i="7"/>
  <c r="H2103" i="7"/>
  <c r="H2104" i="7"/>
  <c r="H2105" i="7"/>
  <c r="H2106" i="7"/>
  <c r="H2107" i="7"/>
  <c r="H2108" i="7"/>
  <c r="H2109" i="7"/>
  <c r="H2100" i="7"/>
  <c r="H2115" i="7" s="1"/>
  <c r="E15" i="10"/>
  <c r="E1707" i="1"/>
  <c r="O1742" i="1"/>
  <c r="E1751" i="1"/>
  <c r="H2010" i="7"/>
  <c r="H2011" i="7"/>
  <c r="H2012" i="7"/>
  <c r="H2013" i="7"/>
  <c r="H2014" i="7"/>
  <c r="H2015" i="7"/>
  <c r="H2016" i="7"/>
  <c r="H2017" i="7"/>
  <c r="H2018" i="7"/>
  <c r="H2019" i="7"/>
  <c r="H2020" i="7"/>
  <c r="H2009" i="7"/>
  <c r="H2026" i="7" s="1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1981" i="7"/>
  <c r="H2004" i="7" s="1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32" i="7"/>
  <c r="E1765" i="1"/>
  <c r="H1970" i="7"/>
  <c r="H1971" i="7"/>
  <c r="H1969" i="7"/>
  <c r="O1741" i="1"/>
  <c r="O1749" i="1" s="1"/>
  <c r="O1727" i="1"/>
  <c r="O1734" i="1" s="1"/>
  <c r="O1696" i="1"/>
  <c r="O1705" i="1" s="1"/>
  <c r="G1728" i="1"/>
  <c r="G1729" i="1"/>
  <c r="G1730" i="1"/>
  <c r="G1731" i="1"/>
  <c r="G1727" i="1"/>
  <c r="G1736" i="1" s="1"/>
  <c r="O1736" i="1" s="1"/>
  <c r="G1742" i="1"/>
  <c r="G1743" i="1"/>
  <c r="G1744" i="1"/>
  <c r="G1745" i="1"/>
  <c r="G1746" i="1"/>
  <c r="G1747" i="1"/>
  <c r="G1748" i="1"/>
  <c r="G1741" i="1"/>
  <c r="G1751" i="1" s="1"/>
  <c r="G1757" i="1"/>
  <c r="G1758" i="1"/>
  <c r="G1759" i="1"/>
  <c r="G1760" i="1"/>
  <c r="G1756" i="1"/>
  <c r="G1697" i="1"/>
  <c r="G1698" i="1"/>
  <c r="G1699" i="1"/>
  <c r="G1700" i="1"/>
  <c r="G1701" i="1"/>
  <c r="G1702" i="1"/>
  <c r="G1703" i="1"/>
  <c r="G1704" i="1"/>
  <c r="G1705" i="1"/>
  <c r="G1696" i="1"/>
  <c r="G1707" i="1" s="1"/>
  <c r="O1707" i="1" s="1"/>
  <c r="E1873" i="1"/>
  <c r="M1874" i="1"/>
  <c r="E1880" i="1"/>
  <c r="M1881" i="1"/>
  <c r="F2189" i="7"/>
  <c r="F2095" i="7"/>
  <c r="O1713" i="1"/>
  <c r="O1714" i="1"/>
  <c r="O1712" i="1"/>
  <c r="O1720" i="1" s="1"/>
  <c r="G1713" i="1"/>
  <c r="G1714" i="1"/>
  <c r="G1715" i="1"/>
  <c r="G1716" i="1"/>
  <c r="G1717" i="1"/>
  <c r="G1712" i="1"/>
  <c r="G1722" i="1" s="1"/>
  <c r="J2620" i="2"/>
  <c r="E1782" i="1"/>
  <c r="J2716" i="2"/>
  <c r="J2769" i="2"/>
  <c r="J2819" i="2"/>
  <c r="J2837" i="2"/>
  <c r="J2864" i="2"/>
  <c r="G1668" i="1"/>
  <c r="H1961" i="7"/>
  <c r="F1962" i="7"/>
  <c r="H1893" i="7"/>
  <c r="F1898" i="7"/>
  <c r="F1868" i="7"/>
  <c r="F1837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04" i="7"/>
  <c r="H1962" i="7" s="1"/>
  <c r="E1637" i="1"/>
  <c r="E1670" i="1"/>
  <c r="O1655" i="1"/>
  <c r="O1667" i="1" s="1"/>
  <c r="E1624" i="1"/>
  <c r="O1613" i="1"/>
  <c r="E1650" i="1"/>
  <c r="G1618" i="1"/>
  <c r="G1619" i="1"/>
  <c r="E1606" i="1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73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42" i="7"/>
  <c r="H1868" i="7" s="1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16" i="7"/>
  <c r="H1837" i="7" s="1"/>
  <c r="G1677" i="1"/>
  <c r="G1678" i="1"/>
  <c r="G1676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55" i="1"/>
  <c r="G1670" i="1" s="1"/>
  <c r="O1670" i="1" s="1"/>
  <c r="O1643" i="1"/>
  <c r="O1642" i="1"/>
  <c r="O1648" i="1" s="1"/>
  <c r="G1643" i="1"/>
  <c r="G1644" i="1"/>
  <c r="G1645" i="1"/>
  <c r="G1646" i="1"/>
  <c r="G1647" i="1"/>
  <c r="G1648" i="1"/>
  <c r="G1649" i="1"/>
  <c r="G1642" i="1"/>
  <c r="G1650" i="1" s="1"/>
  <c r="O1650" i="1" s="1"/>
  <c r="O1630" i="1"/>
  <c r="O1629" i="1"/>
  <c r="O1635" i="1" s="1"/>
  <c r="G1630" i="1"/>
  <c r="G1631" i="1"/>
  <c r="G1632" i="1"/>
  <c r="G1633" i="1"/>
  <c r="G1634" i="1"/>
  <c r="G1629" i="1"/>
  <c r="G1637" i="1" s="1"/>
  <c r="O1612" i="1"/>
  <c r="O1611" i="1"/>
  <c r="O1622" i="1" s="1"/>
  <c r="G1612" i="1"/>
  <c r="G1613" i="1"/>
  <c r="G1614" i="1"/>
  <c r="G1615" i="1"/>
  <c r="G1616" i="1"/>
  <c r="G1617" i="1"/>
  <c r="G1611" i="1"/>
  <c r="O1589" i="1"/>
  <c r="O1588" i="1"/>
  <c r="O1604" i="1" s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588" i="1"/>
  <c r="G1606" i="1" s="1"/>
  <c r="O1606" i="1" s="1"/>
  <c r="F2068" i="7"/>
  <c r="F2026" i="7"/>
  <c r="F2004" i="7"/>
  <c r="H1976" i="7"/>
  <c r="F1976" i="7"/>
  <c r="M1783" i="1"/>
  <c r="M1776" i="1"/>
  <c r="E1775" i="1"/>
  <c r="E1736" i="1"/>
  <c r="E1722" i="1"/>
  <c r="D1785" i="1"/>
  <c r="J2683" i="2"/>
  <c r="J2667" i="2"/>
  <c r="J2660" i="2"/>
  <c r="J2652" i="2"/>
  <c r="J2636" i="2"/>
  <c r="J2594" i="2"/>
  <c r="J2570" i="2"/>
  <c r="J2505" i="2"/>
  <c r="J2520" i="2"/>
  <c r="E1685" i="1"/>
  <c r="E1537" i="1"/>
  <c r="F1809" i="7"/>
  <c r="H1700" i="7"/>
  <c r="H1699" i="7"/>
  <c r="H1689" i="7"/>
  <c r="H1690" i="7"/>
  <c r="H1691" i="7"/>
  <c r="H1692" i="7"/>
  <c r="H1693" i="7"/>
  <c r="H1694" i="7"/>
  <c r="H1695" i="7"/>
  <c r="H1696" i="7"/>
  <c r="H1697" i="7"/>
  <c r="H1698" i="7"/>
  <c r="H1688" i="7"/>
  <c r="H1706" i="7" s="1"/>
  <c r="O1529" i="1"/>
  <c r="O1530" i="1"/>
  <c r="G1533" i="1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765" i="7"/>
  <c r="H1809" i="7" s="1"/>
  <c r="G1532" i="1"/>
  <c r="E1564" i="1"/>
  <c r="E1556" i="1"/>
  <c r="E1547" i="1"/>
  <c r="E1516" i="1"/>
  <c r="E1495" i="1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11" i="7"/>
  <c r="H1732" i="7" s="1"/>
  <c r="F1732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37" i="7"/>
  <c r="H1753" i="7" s="1"/>
  <c r="F1753" i="7"/>
  <c r="O1480" i="1"/>
  <c r="O1481" i="1"/>
  <c r="O1479" i="1"/>
  <c r="O1493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79" i="1"/>
  <c r="G1495" i="1" s="1"/>
  <c r="O1495" i="1" s="1"/>
  <c r="O1528" i="1"/>
  <c r="O1535" i="1" s="1"/>
  <c r="G1529" i="1"/>
  <c r="G1530" i="1"/>
  <c r="G1531" i="1"/>
  <c r="G1528" i="1"/>
  <c r="G1537" i="1" s="1"/>
  <c r="O1537" i="1" s="1"/>
  <c r="G1563" i="1"/>
  <c r="G1562" i="1"/>
  <c r="G1564" i="1" s="1"/>
  <c r="O1564" i="1" s="1"/>
  <c r="O1501" i="1"/>
  <c r="O1502" i="1"/>
  <c r="O1500" i="1"/>
  <c r="O1514" i="1" s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00" i="1"/>
  <c r="G1516" i="1" s="1"/>
  <c r="O1516" i="1" s="1"/>
  <c r="J2513" i="2"/>
  <c r="J2475" i="2"/>
  <c r="J2460" i="2"/>
  <c r="J2447" i="2"/>
  <c r="J2418" i="2"/>
  <c r="E1679" i="1"/>
  <c r="G1543" i="1"/>
  <c r="G1544" i="1"/>
  <c r="G1542" i="1"/>
  <c r="G1547" i="1" s="1"/>
  <c r="O1547" i="1" s="1"/>
  <c r="G1553" i="1"/>
  <c r="G1554" i="1"/>
  <c r="G1555" i="1"/>
  <c r="G1552" i="1"/>
  <c r="J2280" i="2"/>
  <c r="F1706" i="7"/>
  <c r="J2369" i="2"/>
  <c r="M1577" i="1"/>
  <c r="G1521" i="1"/>
  <c r="G1523" i="1" s="1"/>
  <c r="E1523" i="1"/>
  <c r="H1631" i="7"/>
  <c r="H1632" i="7"/>
  <c r="H1633" i="7"/>
  <c r="H1634" i="7"/>
  <c r="H1635" i="7"/>
  <c r="H1636" i="7"/>
  <c r="H1637" i="7"/>
  <c r="H1638" i="7"/>
  <c r="H1630" i="7"/>
  <c r="H1641" i="7" s="1"/>
  <c r="F1641" i="7"/>
  <c r="F1603" i="7"/>
  <c r="H1679" i="7"/>
  <c r="O1425" i="1"/>
  <c r="O1433" i="1" s="1"/>
  <c r="G1452" i="1"/>
  <c r="E1453" i="1"/>
  <c r="E1467" i="1"/>
  <c r="H1646" i="7"/>
  <c r="O1411" i="1"/>
  <c r="F1625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08" i="7"/>
  <c r="H1625" i="7" s="1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47" i="7"/>
  <c r="O1448" i="1"/>
  <c r="O1451" i="1" s="1"/>
  <c r="H1591" i="7"/>
  <c r="H1592" i="7"/>
  <c r="H1593" i="7"/>
  <c r="H1594" i="7"/>
  <c r="H1595" i="7"/>
  <c r="H1596" i="7"/>
  <c r="H1597" i="7"/>
  <c r="H1598" i="7"/>
  <c r="H1599" i="7"/>
  <c r="H1590" i="7"/>
  <c r="H1603" i="7" s="1"/>
  <c r="O1410" i="1"/>
  <c r="G1449" i="1"/>
  <c r="G1450" i="1"/>
  <c r="G1451" i="1"/>
  <c r="G1448" i="1"/>
  <c r="E1443" i="1"/>
  <c r="G1440" i="1"/>
  <c r="G1441" i="1"/>
  <c r="G1439" i="1"/>
  <c r="G1443" i="1" s="1"/>
  <c r="O1443" i="1" s="1"/>
  <c r="G1426" i="1"/>
  <c r="G1427" i="1"/>
  <c r="G1428" i="1"/>
  <c r="G1429" i="1"/>
  <c r="G1430" i="1"/>
  <c r="G1431" i="1"/>
  <c r="G1432" i="1"/>
  <c r="G1433" i="1"/>
  <c r="G1425" i="1"/>
  <c r="G1435" i="1" s="1"/>
  <c r="O1435" i="1" s="1"/>
  <c r="G1407" i="1"/>
  <c r="G1408" i="1"/>
  <c r="G1409" i="1"/>
  <c r="G1410" i="1"/>
  <c r="G1411" i="1"/>
  <c r="G1412" i="1"/>
  <c r="G1413" i="1"/>
  <c r="G1414" i="1"/>
  <c r="G1415" i="1"/>
  <c r="G1416" i="1"/>
  <c r="G1406" i="1"/>
  <c r="G1420" i="1" s="1"/>
  <c r="O1407" i="1"/>
  <c r="O1408" i="1"/>
  <c r="O1409" i="1"/>
  <c r="O1406" i="1"/>
  <c r="O1418" i="1" s="1"/>
  <c r="E1420" i="1"/>
  <c r="E1435" i="1"/>
  <c r="J2362" i="2"/>
  <c r="J2353" i="2"/>
  <c r="J2335" i="2"/>
  <c r="J2314" i="2"/>
  <c r="J2289" i="2"/>
  <c r="J2247" i="2"/>
  <c r="J2174" i="2"/>
  <c r="J2208" i="2"/>
  <c r="J2199" i="2"/>
  <c r="J2184" i="2"/>
  <c r="O1396" i="1"/>
  <c r="O1399" i="1" s="1"/>
  <c r="G1397" i="1"/>
  <c r="G1398" i="1"/>
  <c r="G1399" i="1"/>
  <c r="G1396" i="1"/>
  <c r="E1401" i="1"/>
  <c r="D1470" i="1" s="1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46" i="7"/>
  <c r="H1583" i="7" s="1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21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494" i="7"/>
  <c r="F1516" i="7"/>
  <c r="F1541" i="7"/>
  <c r="G1347" i="1"/>
  <c r="E1350" i="1"/>
  <c r="G1346" i="1"/>
  <c r="O1330" i="1"/>
  <c r="O1348" i="1" s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30" i="1"/>
  <c r="G1350" i="1" s="1"/>
  <c r="E1324" i="1"/>
  <c r="O1356" i="1"/>
  <c r="O1310" i="1"/>
  <c r="O1311" i="1"/>
  <c r="O1309" i="1"/>
  <c r="O1322" i="1" s="1"/>
  <c r="G1310" i="1"/>
  <c r="G1311" i="1"/>
  <c r="G1312" i="1"/>
  <c r="G1313" i="1"/>
  <c r="G1314" i="1"/>
  <c r="G1315" i="1"/>
  <c r="G1316" i="1"/>
  <c r="G1317" i="1"/>
  <c r="G1318" i="1"/>
  <c r="G1319" i="1"/>
  <c r="G1320" i="1"/>
  <c r="G1309" i="1"/>
  <c r="G1324" i="1" s="1"/>
  <c r="O1324" i="1" s="1"/>
  <c r="O1355" i="1"/>
  <c r="O1361" i="1" s="1"/>
  <c r="G1356" i="1"/>
  <c r="G1357" i="1"/>
  <c r="G1358" i="1"/>
  <c r="G1359" i="1"/>
  <c r="G1360" i="1"/>
  <c r="G1361" i="1"/>
  <c r="G1355" i="1"/>
  <c r="M1468" i="1"/>
  <c r="O1401" i="1"/>
  <c r="F1680" i="7"/>
  <c r="J2145" i="2"/>
  <c r="J2115" i="2"/>
  <c r="I568" i="9"/>
  <c r="I543" i="9"/>
  <c r="G1234" i="1"/>
  <c r="I490" i="9"/>
  <c r="O1250" i="1"/>
  <c r="F1445" i="7"/>
  <c r="E1280" i="1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50" i="7"/>
  <c r="H1487" i="7" s="1"/>
  <c r="O1230" i="1"/>
  <c r="F1583" i="7"/>
  <c r="H1541" i="7"/>
  <c r="H1516" i="7"/>
  <c r="M1385" i="1"/>
  <c r="E1370" i="1"/>
  <c r="G1370" i="1"/>
  <c r="E1364" i="1"/>
  <c r="G1364" i="1"/>
  <c r="O1363" i="1" s="1"/>
  <c r="D1387" i="1"/>
  <c r="M1299" i="1"/>
  <c r="O1273" i="1"/>
  <c r="O1274" i="1"/>
  <c r="O1272" i="1"/>
  <c r="O1278" i="1" s="1"/>
  <c r="O1249" i="1"/>
  <c r="O1248" i="1"/>
  <c r="O1265" i="1" s="1"/>
  <c r="O1229" i="1"/>
  <c r="O1228" i="1"/>
  <c r="O1239" i="1" s="1"/>
  <c r="G1278" i="1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23" i="7"/>
  <c r="H1445" i="7" s="1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393" i="7"/>
  <c r="H1418" i="7" s="1"/>
  <c r="G1229" i="1"/>
  <c r="G1230" i="1"/>
  <c r="G1231" i="1"/>
  <c r="G1232" i="1"/>
  <c r="G1233" i="1"/>
  <c r="G1235" i="1"/>
  <c r="G1236" i="1"/>
  <c r="G1237" i="1"/>
  <c r="G1238" i="1"/>
  <c r="G1228" i="1"/>
  <c r="G1242" i="1" s="1"/>
  <c r="O1242" i="1" s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48" i="1"/>
  <c r="G1273" i="1"/>
  <c r="G1274" i="1"/>
  <c r="G1275" i="1"/>
  <c r="G1276" i="1"/>
  <c r="G1277" i="1"/>
  <c r="G1272" i="1"/>
  <c r="G1280" i="1" s="1"/>
  <c r="G1285" i="1"/>
  <c r="G1284" i="1"/>
  <c r="G1287" i="1" s="1"/>
  <c r="O1287" i="1" s="1"/>
  <c r="I466" i="9"/>
  <c r="I432" i="9"/>
  <c r="J1954" i="2"/>
  <c r="J2091" i="2"/>
  <c r="J2061" i="2"/>
  <c r="J2031" i="2"/>
  <c r="I409" i="9"/>
  <c r="I378" i="9"/>
  <c r="J1984" i="2"/>
  <c r="J1976" i="2"/>
  <c r="J1961" i="2"/>
  <c r="J1925" i="2"/>
  <c r="J1896" i="2"/>
  <c r="F1385" i="7"/>
  <c r="M1215" i="1"/>
  <c r="E1196" i="1"/>
  <c r="E1183" i="1"/>
  <c r="E1144" i="1"/>
  <c r="F1337" i="7"/>
  <c r="O1126" i="1"/>
  <c r="O1127" i="1"/>
  <c r="O1128" i="1"/>
  <c r="O1129" i="1"/>
  <c r="O1130" i="1"/>
  <c r="O1125" i="1"/>
  <c r="O1142" i="1" s="1"/>
  <c r="F1307" i="7"/>
  <c r="E1214" i="1"/>
  <c r="O1164" i="1"/>
  <c r="G1194" i="1"/>
  <c r="H1302" i="7"/>
  <c r="H1303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42" i="7"/>
  <c r="H1385" i="7" s="1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12" i="7"/>
  <c r="H1337" i="7" s="1"/>
  <c r="O1189" i="1"/>
  <c r="O1188" i="1"/>
  <c r="O1194" i="1" s="1"/>
  <c r="O1163" i="1"/>
  <c r="O1180" i="1" s="1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284" i="7"/>
  <c r="H1307" i="7" s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25" i="1"/>
  <c r="G1144" i="1" s="1"/>
  <c r="O1144" i="1" s="1"/>
  <c r="G1189" i="1"/>
  <c r="G1190" i="1"/>
  <c r="G1191" i="1"/>
  <c r="G1192" i="1"/>
  <c r="G1193" i="1"/>
  <c r="G1188" i="1"/>
  <c r="G1196" i="1" s="1"/>
  <c r="O1196" i="1" s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63" i="1"/>
  <c r="G1183" i="1" s="1"/>
  <c r="O1183" i="1" s="1"/>
  <c r="F1487" i="7"/>
  <c r="F1418" i="7"/>
  <c r="E1287" i="1"/>
  <c r="E1242" i="1"/>
  <c r="E1267" i="1"/>
  <c r="G1150" i="1"/>
  <c r="G1151" i="1"/>
  <c r="G1149" i="1"/>
  <c r="G1157" i="1" s="1"/>
  <c r="E1157" i="1"/>
  <c r="O1074" i="1"/>
  <c r="F1184" i="7"/>
  <c r="E1089" i="1"/>
  <c r="G1083" i="1"/>
  <c r="H1175" i="7"/>
  <c r="H1273" i="7"/>
  <c r="H1226" i="7"/>
  <c r="H1272" i="7"/>
  <c r="M1113" i="1"/>
  <c r="E1066" i="1"/>
  <c r="G1062" i="1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35" i="7"/>
  <c r="H1275" i="7" s="1"/>
  <c r="F1206" i="7"/>
  <c r="H1225" i="7"/>
  <c r="E1051" i="1"/>
  <c r="O1073" i="1"/>
  <c r="O1072" i="1"/>
  <c r="O1087" i="1" s="1"/>
  <c r="O1056" i="1"/>
  <c r="O1064" i="1" s="1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11" i="7"/>
  <c r="H1230" i="7" s="1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190" i="7"/>
  <c r="H1206" i="7" s="1"/>
  <c r="H1167" i="7"/>
  <c r="H1168" i="7"/>
  <c r="H1169" i="7"/>
  <c r="H1170" i="7"/>
  <c r="H1171" i="7"/>
  <c r="H1172" i="7"/>
  <c r="H1173" i="7"/>
  <c r="H1174" i="7"/>
  <c r="H1166" i="7"/>
  <c r="H1184" i="7" s="1"/>
  <c r="F1230" i="7"/>
  <c r="O1031" i="1"/>
  <c r="G1082" i="1"/>
  <c r="G1045" i="1"/>
  <c r="O1098" i="1"/>
  <c r="O1095" i="1"/>
  <c r="O1096" i="1"/>
  <c r="O1097" i="1"/>
  <c r="O1094" i="1"/>
  <c r="O1100" i="1" s="1"/>
  <c r="O1030" i="1"/>
  <c r="O1049" i="1" s="1"/>
  <c r="G1095" i="1"/>
  <c r="G1096" i="1"/>
  <c r="G1097" i="1"/>
  <c r="G1094" i="1"/>
  <c r="G1073" i="1"/>
  <c r="G1074" i="1"/>
  <c r="G1075" i="1"/>
  <c r="G1076" i="1"/>
  <c r="G1077" i="1"/>
  <c r="G1078" i="1"/>
  <c r="G1079" i="1"/>
  <c r="G1080" i="1"/>
  <c r="G1081" i="1"/>
  <c r="G1072" i="1"/>
  <c r="G1089" i="1" s="1"/>
  <c r="O1089" i="1" s="1"/>
  <c r="G1057" i="1"/>
  <c r="G1058" i="1"/>
  <c r="G1059" i="1"/>
  <c r="G1060" i="1"/>
  <c r="G1061" i="1"/>
  <c r="G1056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30" i="1"/>
  <c r="G1051" i="1" s="1"/>
  <c r="O1051" i="1" s="1"/>
  <c r="J1835" i="2"/>
  <c r="J1805" i="2"/>
  <c r="J1778" i="2"/>
  <c r="J1763" i="2"/>
  <c r="J1638" i="2"/>
  <c r="M1016" i="1"/>
  <c r="F1158" i="7"/>
  <c r="F1121" i="7"/>
  <c r="F1077" i="7"/>
  <c r="E992" i="1"/>
  <c r="O987" i="1"/>
  <c r="E1006" i="1"/>
  <c r="G973" i="1"/>
  <c r="G974" i="1"/>
  <c r="G975" i="1"/>
  <c r="G976" i="1"/>
  <c r="G972" i="1"/>
  <c r="G980" i="1" s="1"/>
  <c r="E980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45" i="1"/>
  <c r="G967" i="1" s="1"/>
  <c r="E967" i="1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28" i="7"/>
  <c r="H1127" i="7"/>
  <c r="H1126" i="7"/>
  <c r="H1158" i="7" s="1"/>
  <c r="F1099" i="7"/>
  <c r="O998" i="1"/>
  <c r="O999" i="1"/>
  <c r="O1000" i="1"/>
  <c r="F1275" i="7"/>
  <c r="J1712" i="2"/>
  <c r="J1682" i="2"/>
  <c r="J1654" i="2"/>
  <c r="O997" i="1"/>
  <c r="O1004" i="1" s="1"/>
  <c r="O946" i="1"/>
  <c r="O945" i="1"/>
  <c r="O965" i="1" s="1"/>
  <c r="O967" i="1" s="1"/>
  <c r="O986" i="1"/>
  <c r="O990" i="1" s="1"/>
  <c r="O973" i="1"/>
  <c r="O974" i="1"/>
  <c r="O972" i="1"/>
  <c r="O978" i="1" s="1"/>
  <c r="E1103" i="1"/>
  <c r="G1103" i="1"/>
  <c r="O1103" i="1" s="1"/>
  <c r="G1066" i="1"/>
  <c r="O1066" i="1" s="1"/>
  <c r="H1113" i="7"/>
  <c r="H1114" i="7"/>
  <c r="H1115" i="7"/>
  <c r="H1116" i="7"/>
  <c r="H1105" i="7"/>
  <c r="H1106" i="7"/>
  <c r="H1107" i="7"/>
  <c r="H1108" i="7"/>
  <c r="H1109" i="7"/>
  <c r="H1110" i="7"/>
  <c r="H1111" i="7"/>
  <c r="H1112" i="7"/>
  <c r="H1104" i="7"/>
  <c r="H1121" i="7" s="1"/>
  <c r="H1084" i="7"/>
  <c r="H1085" i="7"/>
  <c r="H1086" i="7"/>
  <c r="H1087" i="7"/>
  <c r="H1088" i="7"/>
  <c r="H1089" i="7"/>
  <c r="H1090" i="7"/>
  <c r="H1091" i="7"/>
  <c r="H1092" i="7"/>
  <c r="H1083" i="7"/>
  <c r="H1099" i="7" s="1"/>
  <c r="H1067" i="7"/>
  <c r="H1068" i="7"/>
  <c r="H1069" i="7"/>
  <c r="H1070" i="7"/>
  <c r="H1071" i="7"/>
  <c r="H1072" i="7"/>
  <c r="H1073" i="7"/>
  <c r="H1066" i="7"/>
  <c r="H1077" i="7" s="1"/>
  <c r="G998" i="1"/>
  <c r="G999" i="1"/>
  <c r="G1000" i="1"/>
  <c r="G1001" i="1"/>
  <c r="G997" i="1"/>
  <c r="G1006" i="1" s="1"/>
  <c r="O1006" i="1" s="1"/>
  <c r="G987" i="1"/>
  <c r="G988" i="1"/>
  <c r="G989" i="1"/>
  <c r="G986" i="1"/>
  <c r="G992" i="1" s="1"/>
  <c r="O992" i="1" s="1"/>
  <c r="I306" i="9"/>
  <c r="I275" i="9"/>
  <c r="E921" i="1"/>
  <c r="E871" i="1"/>
  <c r="F1017" i="7"/>
  <c r="H997" i="7"/>
  <c r="H998" i="7"/>
  <c r="H999" i="7"/>
  <c r="H1000" i="7"/>
  <c r="H1001" i="7"/>
  <c r="H1002" i="7"/>
  <c r="H1003" i="7"/>
  <c r="H1004" i="7"/>
  <c r="H1005" i="7"/>
  <c r="H1006" i="7"/>
  <c r="H996" i="7"/>
  <c r="F1058" i="7"/>
  <c r="E907" i="1"/>
  <c r="H1056" i="7"/>
  <c r="H1057" i="7"/>
  <c r="G892" i="1"/>
  <c r="G893" i="1"/>
  <c r="G894" i="1"/>
  <c r="G895" i="1"/>
  <c r="G896" i="1"/>
  <c r="G897" i="1"/>
  <c r="G898" i="1"/>
  <c r="G899" i="1"/>
  <c r="G891" i="1"/>
  <c r="G907" i="1" s="1"/>
  <c r="E885" i="1"/>
  <c r="G913" i="1"/>
  <c r="G914" i="1"/>
  <c r="G915" i="1"/>
  <c r="G916" i="1"/>
  <c r="G912" i="1"/>
  <c r="G921" i="1" s="1"/>
  <c r="O877" i="1"/>
  <c r="F973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48" i="7"/>
  <c r="O852" i="1"/>
  <c r="H1055" i="7"/>
  <c r="H1054" i="7"/>
  <c r="G863" i="1"/>
  <c r="H1053" i="7"/>
  <c r="G882" i="1"/>
  <c r="O913" i="1"/>
  <c r="O914" i="1"/>
  <c r="O915" i="1"/>
  <c r="O912" i="1"/>
  <c r="O919" i="1" s="1"/>
  <c r="O892" i="1"/>
  <c r="O891" i="1"/>
  <c r="O905" i="1" s="1"/>
  <c r="O876" i="1"/>
  <c r="O883" i="1" s="1"/>
  <c r="G1016" i="1"/>
  <c r="E1016" i="1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23" i="7"/>
  <c r="H980" i="7"/>
  <c r="H981" i="7"/>
  <c r="H982" i="7"/>
  <c r="H983" i="7"/>
  <c r="H979" i="7"/>
  <c r="H991" i="7" s="1"/>
  <c r="F991" i="7"/>
  <c r="G877" i="1"/>
  <c r="G878" i="1"/>
  <c r="G879" i="1"/>
  <c r="G880" i="1"/>
  <c r="G881" i="1"/>
  <c r="G876" i="1"/>
  <c r="G885" i="1" s="1"/>
  <c r="O885" i="1" s="1"/>
  <c r="O850" i="1"/>
  <c r="O851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50" i="1"/>
  <c r="G871" i="1" s="1"/>
  <c r="J1596" i="2"/>
  <c r="J1584" i="2"/>
  <c r="J1550" i="2"/>
  <c r="J1535" i="2"/>
  <c r="J1500" i="2"/>
  <c r="J1353" i="2"/>
  <c r="G782" i="1"/>
  <c r="J1316" i="2"/>
  <c r="I209" i="9"/>
  <c r="I253" i="9"/>
  <c r="H940" i="7"/>
  <c r="F877" i="7"/>
  <c r="H871" i="7"/>
  <c r="G754" i="1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57" i="7"/>
  <c r="H877" i="7" s="1"/>
  <c r="F852" i="7"/>
  <c r="F823" i="7"/>
  <c r="H818" i="7"/>
  <c r="H937" i="7"/>
  <c r="H938" i="7"/>
  <c r="H939" i="7"/>
  <c r="O818" i="1"/>
  <c r="O819" i="1"/>
  <c r="F941" i="7"/>
  <c r="G753" i="1"/>
  <c r="G803" i="1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29" i="7"/>
  <c r="H852" i="7" s="1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00" i="7"/>
  <c r="H823" i="7" s="1"/>
  <c r="J1463" i="2"/>
  <c r="J1450" i="2"/>
  <c r="J1441" i="2"/>
  <c r="J1406" i="2"/>
  <c r="J1375" i="2"/>
  <c r="M837" i="1"/>
  <c r="O816" i="1"/>
  <c r="O817" i="1"/>
  <c r="O815" i="1"/>
  <c r="O824" i="1" s="1"/>
  <c r="G816" i="1"/>
  <c r="G817" i="1"/>
  <c r="G818" i="1"/>
  <c r="G819" i="1"/>
  <c r="G820" i="1"/>
  <c r="G821" i="1"/>
  <c r="G815" i="1"/>
  <c r="G826" i="1" s="1"/>
  <c r="O826" i="1" s="1"/>
  <c r="O782" i="1"/>
  <c r="O806" i="1" s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772" i="1"/>
  <c r="O769" i="1"/>
  <c r="O766" i="1"/>
  <c r="O767" i="1"/>
  <c r="O768" i="1"/>
  <c r="O765" i="1"/>
  <c r="O774" i="1" s="1"/>
  <c r="G766" i="1"/>
  <c r="G767" i="1"/>
  <c r="G768" i="1"/>
  <c r="G769" i="1"/>
  <c r="G770" i="1"/>
  <c r="G771" i="1"/>
  <c r="G765" i="1"/>
  <c r="O741" i="1"/>
  <c r="O740" i="1"/>
  <c r="O758" i="1" s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40" i="1"/>
  <c r="G760" i="1" s="1"/>
  <c r="O760" i="1" s="1"/>
  <c r="H936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889" i="7"/>
  <c r="M931" i="1"/>
  <c r="G931" i="1"/>
  <c r="E931" i="1"/>
  <c r="I185" i="9"/>
  <c r="I160" i="9"/>
  <c r="J1302" i="2"/>
  <c r="J1293" i="2"/>
  <c r="J1261" i="2"/>
  <c r="J1231" i="2"/>
  <c r="J1199" i="2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32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09" i="7"/>
  <c r="G684" i="1"/>
  <c r="G709" i="1"/>
  <c r="G710" i="1"/>
  <c r="G711" i="1"/>
  <c r="G712" i="1"/>
  <c r="G713" i="1"/>
  <c r="G714" i="1"/>
  <c r="G708" i="1"/>
  <c r="G717" i="1" s="1"/>
  <c r="O708" i="1"/>
  <c r="O692" i="1"/>
  <c r="O693" i="1"/>
  <c r="O691" i="1"/>
  <c r="O702" i="1" s="1"/>
  <c r="G692" i="1"/>
  <c r="G693" i="1"/>
  <c r="G694" i="1"/>
  <c r="G695" i="1"/>
  <c r="G696" i="1"/>
  <c r="G697" i="1"/>
  <c r="G698" i="1"/>
  <c r="G691" i="1"/>
  <c r="O670" i="1"/>
  <c r="O660" i="1"/>
  <c r="O661" i="1"/>
  <c r="O659" i="1"/>
  <c r="O663" i="1" s="1"/>
  <c r="G660" i="1"/>
  <c r="G659" i="1"/>
  <c r="G664" i="1" s="1"/>
  <c r="O664" i="1" s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70" i="1"/>
  <c r="G837" i="1"/>
  <c r="E837" i="1"/>
  <c r="E826" i="1"/>
  <c r="G810" i="1"/>
  <c r="O810" i="1" s="1"/>
  <c r="E810" i="1"/>
  <c r="G776" i="1"/>
  <c r="O776" i="1" s="1"/>
  <c r="E776" i="1"/>
  <c r="E760" i="1"/>
  <c r="D840" i="1" s="1"/>
  <c r="J1135" i="2"/>
  <c r="F792" i="7"/>
  <c r="H792" i="7"/>
  <c r="F753" i="7"/>
  <c r="H753" i="7"/>
  <c r="F726" i="7"/>
  <c r="H72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656" i="7"/>
  <c r="I95" i="9"/>
  <c r="I136" i="9"/>
  <c r="O609" i="1"/>
  <c r="O608" i="1"/>
  <c r="O607" i="1"/>
  <c r="O606" i="1"/>
  <c r="O605" i="1"/>
  <c r="H633" i="7"/>
  <c r="O588" i="1"/>
  <c r="G561" i="1"/>
  <c r="H632" i="7"/>
  <c r="G614" i="1"/>
  <c r="G628" i="1"/>
  <c r="G632" i="1" s="1"/>
  <c r="O632" i="1" s="1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10" i="7"/>
  <c r="H643" i="7" s="1"/>
  <c r="G604" i="1"/>
  <c r="G605" i="1"/>
  <c r="G606" i="1"/>
  <c r="G607" i="1"/>
  <c r="G608" i="1"/>
  <c r="G609" i="1"/>
  <c r="G610" i="1"/>
  <c r="G611" i="1"/>
  <c r="G612" i="1"/>
  <c r="G613" i="1"/>
  <c r="G603" i="1"/>
  <c r="O604" i="1"/>
  <c r="O603" i="1"/>
  <c r="O622" i="1" s="1"/>
  <c r="O572" i="1"/>
  <c r="G589" i="1"/>
  <c r="G590" i="1"/>
  <c r="G591" i="1"/>
  <c r="G592" i="1"/>
  <c r="G588" i="1"/>
  <c r="G597" i="1" s="1"/>
  <c r="O597" i="1" s="1"/>
  <c r="G560" i="1"/>
  <c r="G573" i="1"/>
  <c r="G574" i="1"/>
  <c r="G575" i="1"/>
  <c r="G576" i="1"/>
  <c r="G572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41" i="1"/>
  <c r="G566" i="1" s="1"/>
  <c r="O566" i="1" s="1"/>
  <c r="M647" i="1"/>
  <c r="F700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79" i="7"/>
  <c r="F651" i="7"/>
  <c r="M728" i="1"/>
  <c r="G728" i="1"/>
  <c r="E728" i="1"/>
  <c r="E717" i="1"/>
  <c r="G703" i="1"/>
  <c r="O703" i="1" s="1"/>
  <c r="E703" i="1"/>
  <c r="G685" i="1"/>
  <c r="O685" i="1" s="1"/>
  <c r="E685" i="1"/>
  <c r="E664" i="1"/>
  <c r="J991" i="2"/>
  <c r="J967" i="2"/>
  <c r="J1164" i="2"/>
  <c r="J1151" i="2"/>
  <c r="J1101" i="2"/>
  <c r="J1068" i="2"/>
  <c r="J1033" i="2"/>
  <c r="J912" i="2"/>
  <c r="J944" i="2"/>
  <c r="J1004" i="2"/>
  <c r="F604" i="7"/>
  <c r="G647" i="1"/>
  <c r="E647" i="1"/>
  <c r="E632" i="1"/>
  <c r="J880" i="2"/>
  <c r="F514" i="7"/>
  <c r="G484" i="1"/>
  <c r="O505" i="1"/>
  <c r="O484" i="1"/>
  <c r="O483" i="1"/>
  <c r="O487" i="1" s="1"/>
  <c r="O504" i="1"/>
  <c r="O517" i="1" s="1"/>
  <c r="M529" i="1"/>
  <c r="G505" i="1"/>
  <c r="G506" i="1"/>
  <c r="G507" i="1"/>
  <c r="G508" i="1"/>
  <c r="G509" i="1"/>
  <c r="G510" i="1"/>
  <c r="G511" i="1"/>
  <c r="G504" i="1"/>
  <c r="G494" i="1"/>
  <c r="G493" i="1"/>
  <c r="G483" i="1"/>
  <c r="G488" i="1" s="1"/>
  <c r="G462" i="1"/>
  <c r="G463" i="1"/>
  <c r="G464" i="1"/>
  <c r="G465" i="1"/>
  <c r="G466" i="1"/>
  <c r="G467" i="1"/>
  <c r="G468" i="1"/>
  <c r="G469" i="1"/>
  <c r="G461" i="1"/>
  <c r="H496" i="7"/>
  <c r="H497" i="7"/>
  <c r="H498" i="7"/>
  <c r="H499" i="7"/>
  <c r="H500" i="7"/>
  <c r="H501" i="7"/>
  <c r="H502" i="7"/>
  <c r="H503" i="7"/>
  <c r="H504" i="7"/>
  <c r="H505" i="7"/>
  <c r="H495" i="7"/>
  <c r="H514" i="7" s="1"/>
  <c r="H521" i="7"/>
  <c r="H522" i="7"/>
  <c r="H523" i="7"/>
  <c r="H524" i="7"/>
  <c r="H525" i="7"/>
  <c r="H526" i="7"/>
  <c r="H527" i="7"/>
  <c r="H528" i="7"/>
  <c r="H520" i="7"/>
  <c r="H536" i="7" s="1"/>
  <c r="H651" i="7"/>
  <c r="F643" i="7"/>
  <c r="J755" i="2"/>
  <c r="G623" i="1"/>
  <c r="O623" i="1" s="1"/>
  <c r="E623" i="1"/>
  <c r="E597" i="1"/>
  <c r="G583" i="1"/>
  <c r="O583" i="1" s="1"/>
  <c r="E583" i="1"/>
  <c r="E566" i="1"/>
  <c r="D650" i="1" s="1"/>
  <c r="I77" i="9"/>
  <c r="I58" i="9"/>
  <c r="J803" i="2"/>
  <c r="H570" i="7"/>
  <c r="F570" i="7"/>
  <c r="H543" i="7"/>
  <c r="F543" i="7"/>
  <c r="J1019" i="2"/>
  <c r="J817" i="2"/>
  <c r="E498" i="1"/>
  <c r="J827" i="2"/>
  <c r="F454" i="7"/>
  <c r="I41" i="9"/>
  <c r="I15" i="9"/>
  <c r="J837" i="2"/>
  <c r="J770" i="2"/>
  <c r="F434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11" i="7"/>
  <c r="H434" i="7" s="1"/>
  <c r="G397" i="1"/>
  <c r="G398" i="1"/>
  <c r="G399" i="1"/>
  <c r="G389" i="1"/>
  <c r="G390" i="1"/>
  <c r="G391" i="1"/>
  <c r="G392" i="1"/>
  <c r="G393" i="1"/>
  <c r="G394" i="1"/>
  <c r="G395" i="1"/>
  <c r="G396" i="1"/>
  <c r="G388" i="1"/>
  <c r="O389" i="1"/>
  <c r="O390" i="1"/>
  <c r="O388" i="1"/>
  <c r="O403" i="1" s="1"/>
  <c r="O410" i="1"/>
  <c r="O418" i="1" s="1"/>
  <c r="G411" i="1"/>
  <c r="G412" i="1"/>
  <c r="G413" i="1"/>
  <c r="G414" i="1"/>
  <c r="G415" i="1"/>
  <c r="G416" i="1"/>
  <c r="G417" i="1"/>
  <c r="G410" i="1"/>
  <c r="G426" i="1"/>
  <c r="G427" i="1"/>
  <c r="G428" i="1"/>
  <c r="G429" i="1"/>
  <c r="G430" i="1"/>
  <c r="G431" i="1"/>
  <c r="G425" i="1"/>
  <c r="O426" i="1"/>
  <c r="O427" i="1"/>
  <c r="O425" i="1"/>
  <c r="O435" i="1" s="1"/>
  <c r="M448" i="1"/>
  <c r="G529" i="1"/>
  <c r="E529" i="1"/>
  <c r="G518" i="1"/>
  <c r="O518" i="1" s="1"/>
  <c r="E518" i="1"/>
  <c r="E488" i="1"/>
  <c r="E477" i="1"/>
  <c r="F536" i="7"/>
  <c r="J680" i="2"/>
  <c r="F487" i="7"/>
  <c r="F446" i="7"/>
  <c r="H446" i="7"/>
  <c r="H362" i="7"/>
  <c r="F404" i="7"/>
  <c r="H346" i="7"/>
  <c r="F349" i="7"/>
  <c r="H345" i="7"/>
  <c r="O334" i="1"/>
  <c r="O309" i="1"/>
  <c r="O325" i="1" s="1"/>
  <c r="M373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09" i="1"/>
  <c r="G349" i="1"/>
  <c r="G350" i="1"/>
  <c r="G351" i="1"/>
  <c r="G352" i="1"/>
  <c r="G353" i="1"/>
  <c r="G354" i="1"/>
  <c r="G348" i="1"/>
  <c r="O333" i="1"/>
  <c r="O332" i="1"/>
  <c r="O341" i="1" s="1"/>
  <c r="G333" i="1"/>
  <c r="G334" i="1"/>
  <c r="G335" i="1"/>
  <c r="G336" i="1"/>
  <c r="G337" i="1"/>
  <c r="G338" i="1"/>
  <c r="G332" i="1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27" i="7"/>
  <c r="H349" i="7" s="1"/>
  <c r="F368" i="7"/>
  <c r="H355" i="7"/>
  <c r="H356" i="7"/>
  <c r="H357" i="7"/>
  <c r="H358" i="7"/>
  <c r="H359" i="7"/>
  <c r="H360" i="7"/>
  <c r="H361" i="7"/>
  <c r="H363" i="7"/>
  <c r="H364" i="7"/>
  <c r="H365" i="7"/>
  <c r="H354" i="7"/>
  <c r="H368" i="7" s="1"/>
  <c r="G448" i="1"/>
  <c r="E448" i="1"/>
  <c r="G436" i="1"/>
  <c r="O436" i="1" s="1"/>
  <c r="E436" i="1"/>
  <c r="G419" i="1"/>
  <c r="O419" i="1" s="1"/>
  <c r="E419" i="1"/>
  <c r="E404" i="1"/>
  <c r="D451" i="1" s="1"/>
  <c r="F322" i="7"/>
  <c r="J717" i="2"/>
  <c r="J709" i="2"/>
  <c r="J653" i="2"/>
  <c r="J559" i="2"/>
  <c r="E326" i="1"/>
  <c r="G373" i="1"/>
  <c r="E373" i="1"/>
  <c r="H322" i="7"/>
  <c r="F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304" i="7" s="1"/>
  <c r="F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79" i="7" s="1"/>
  <c r="F261" i="7"/>
  <c r="H260" i="7"/>
  <c r="H259" i="7"/>
  <c r="H258" i="7"/>
  <c r="H257" i="7"/>
  <c r="H256" i="7"/>
  <c r="H255" i="7"/>
  <c r="H254" i="7"/>
  <c r="H261" i="7" s="1"/>
  <c r="F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47" i="7" s="1"/>
  <c r="F225" i="7"/>
  <c r="H224" i="7"/>
  <c r="H225" i="7" s="1"/>
  <c r="F219" i="7"/>
  <c r="H214" i="7"/>
  <c r="H213" i="7"/>
  <c r="H212" i="7"/>
  <c r="H219" i="7" s="1"/>
  <c r="F207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207" i="7" s="1"/>
  <c r="F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82" i="7" s="1"/>
  <c r="F154" i="7"/>
  <c r="H153" i="7"/>
  <c r="H152" i="7"/>
  <c r="H151" i="7"/>
  <c r="H150" i="7"/>
  <c r="H149" i="7"/>
  <c r="H148" i="7"/>
  <c r="H147" i="7"/>
  <c r="H146" i="7"/>
  <c r="F141" i="7"/>
  <c r="F122" i="7"/>
  <c r="H121" i="7"/>
  <c r="H120" i="7"/>
  <c r="H119" i="7"/>
  <c r="H122" i="7" s="1"/>
  <c r="F113" i="7"/>
  <c r="H112" i="7"/>
  <c r="H111" i="7"/>
  <c r="H110" i="7"/>
  <c r="H109" i="7"/>
  <c r="H108" i="7"/>
  <c r="H107" i="7"/>
  <c r="H106" i="7"/>
  <c r="H113" i="7" s="1"/>
  <c r="F105" i="7"/>
  <c r="F114" i="7" s="1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105" i="7" s="1"/>
  <c r="H114" i="7" s="1"/>
  <c r="F86" i="7"/>
  <c r="H85" i="7"/>
  <c r="F78" i="7"/>
  <c r="H77" i="7"/>
  <c r="H76" i="7"/>
  <c r="H78" i="7" s="1"/>
  <c r="F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67" i="7" s="1"/>
  <c r="F39" i="7"/>
  <c r="H38" i="7"/>
  <c r="H39" i="7" s="1"/>
  <c r="F33" i="7"/>
  <c r="H32" i="7"/>
  <c r="H31" i="7"/>
  <c r="H30" i="7"/>
  <c r="H29" i="7"/>
  <c r="H33" i="7" s="1"/>
  <c r="F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23" i="7" s="1"/>
  <c r="J622" i="2"/>
  <c r="B298" i="1"/>
  <c r="G264" i="1"/>
  <c r="J615" i="2"/>
  <c r="J587" i="2"/>
  <c r="E358" i="1"/>
  <c r="G358" i="1"/>
  <c r="O358" i="1" s="1"/>
  <c r="E342" i="1"/>
  <c r="G342" i="1"/>
  <c r="O342" i="1" s="1"/>
  <c r="D378" i="1"/>
  <c r="G263" i="1"/>
  <c r="O275" i="1"/>
  <c r="O274" i="1"/>
  <c r="O273" i="1"/>
  <c r="O259" i="1"/>
  <c r="O258" i="1"/>
  <c r="O267" i="1" s="1"/>
  <c r="O242" i="1"/>
  <c r="O241" i="1"/>
  <c r="O240" i="1"/>
  <c r="O239" i="1"/>
  <c r="O253" i="1" s="1"/>
  <c r="D298" i="1"/>
  <c r="G260" i="1"/>
  <c r="G247" i="1"/>
  <c r="G276" i="1"/>
  <c r="G262" i="1"/>
  <c r="G275" i="1"/>
  <c r="E267" i="1"/>
  <c r="G261" i="1"/>
  <c r="G244" i="1"/>
  <c r="G246" i="1"/>
  <c r="G243" i="1"/>
  <c r="G245" i="1"/>
  <c r="G274" i="1"/>
  <c r="G273" i="1"/>
  <c r="G259" i="1"/>
  <c r="G258" i="1"/>
  <c r="G242" i="1"/>
  <c r="G241" i="1"/>
  <c r="G240" i="1"/>
  <c r="G239" i="1"/>
  <c r="B230" i="1"/>
  <c r="D230" i="1"/>
  <c r="G171" i="1"/>
  <c r="O182" i="1"/>
  <c r="J519" i="2"/>
  <c r="J510" i="2"/>
  <c r="J483" i="2"/>
  <c r="J452" i="2"/>
  <c r="O209" i="1"/>
  <c r="O208" i="1"/>
  <c r="O181" i="1"/>
  <c r="O189" i="1" s="1"/>
  <c r="O169" i="1"/>
  <c r="O168" i="1"/>
  <c r="O175" i="1" s="1"/>
  <c r="O281" i="1"/>
  <c r="E281" i="1"/>
  <c r="G281" i="1"/>
  <c r="G267" i="1"/>
  <c r="E253" i="1"/>
  <c r="G253" i="1"/>
  <c r="G170" i="1"/>
  <c r="G184" i="1"/>
  <c r="G185" i="1"/>
  <c r="G211" i="1"/>
  <c r="G198" i="1"/>
  <c r="G197" i="1"/>
  <c r="G183" i="1"/>
  <c r="G182" i="1"/>
  <c r="G210" i="1"/>
  <c r="J395" i="2"/>
  <c r="G209" i="1"/>
  <c r="G208" i="1"/>
  <c r="G215" i="1" s="1"/>
  <c r="G196" i="1"/>
  <c r="G195" i="1"/>
  <c r="G181" i="1"/>
  <c r="G190" i="1" s="1"/>
  <c r="G169" i="1"/>
  <c r="G168" i="1"/>
  <c r="G176" i="1" s="1"/>
  <c r="E190" i="1"/>
  <c r="E176" i="1"/>
  <c r="J336" i="2"/>
  <c r="G6" i="1"/>
  <c r="G7" i="1"/>
  <c r="G8" i="1"/>
  <c r="G9" i="1"/>
  <c r="G10" i="1"/>
  <c r="G11" i="1"/>
  <c r="E13" i="1"/>
  <c r="G13" i="1"/>
  <c r="G21" i="1"/>
  <c r="G22" i="1"/>
  <c r="G23" i="1"/>
  <c r="G24" i="1"/>
  <c r="E26" i="1"/>
  <c r="G26" i="1"/>
  <c r="G31" i="1"/>
  <c r="G32" i="1"/>
  <c r="G33" i="1"/>
  <c r="G34" i="1"/>
  <c r="G35" i="1"/>
  <c r="G36" i="1"/>
  <c r="G37" i="1"/>
  <c r="G38" i="1"/>
  <c r="E40" i="1"/>
  <c r="G40" i="1"/>
  <c r="G46" i="1"/>
  <c r="G47" i="1"/>
  <c r="G48" i="1"/>
  <c r="G49" i="1"/>
  <c r="E51" i="1"/>
  <c r="G51" i="1"/>
  <c r="E59" i="1"/>
  <c r="H59" i="1"/>
  <c r="G63" i="1"/>
  <c r="E65" i="1"/>
  <c r="G65" i="1"/>
  <c r="D67" i="1"/>
  <c r="C73" i="1"/>
  <c r="C75" i="1"/>
  <c r="C77" i="1"/>
  <c r="C85" i="1"/>
  <c r="D85" i="1"/>
  <c r="G94" i="1"/>
  <c r="G95" i="1"/>
  <c r="G96" i="1"/>
  <c r="G97" i="1"/>
  <c r="G98" i="1"/>
  <c r="G99" i="1"/>
  <c r="G100" i="1"/>
  <c r="G101" i="1"/>
  <c r="G102" i="1"/>
  <c r="E105" i="1"/>
  <c r="G105" i="1"/>
  <c r="G112" i="1"/>
  <c r="G113" i="1"/>
  <c r="G114" i="1"/>
  <c r="E117" i="1"/>
  <c r="G117" i="1"/>
  <c r="G123" i="1"/>
  <c r="G124" i="1"/>
  <c r="G125" i="1"/>
  <c r="G126" i="1"/>
  <c r="G127" i="1"/>
  <c r="G128" i="1"/>
  <c r="E131" i="1"/>
  <c r="G131" i="1"/>
  <c r="G137" i="1"/>
  <c r="G138" i="1"/>
  <c r="G139" i="1"/>
  <c r="G140" i="1"/>
  <c r="E143" i="1"/>
  <c r="G143" i="1"/>
  <c r="D146" i="1"/>
  <c r="C158" i="1"/>
  <c r="D158" i="1"/>
  <c r="E203" i="1"/>
  <c r="G203" i="1"/>
  <c r="E215" i="1"/>
  <c r="J417" i="2"/>
  <c r="J411" i="2"/>
  <c r="J364" i="2"/>
  <c r="O138" i="1"/>
  <c r="O123" i="1"/>
  <c r="O94" i="1"/>
  <c r="O215" i="1"/>
  <c r="O216" i="1" s="1"/>
  <c r="O203" i="1"/>
  <c r="O111" i="1"/>
  <c r="O117" i="1" s="1"/>
  <c r="O137" i="1"/>
  <c r="J264" i="2"/>
  <c r="J304" i="2"/>
  <c r="J297" i="2"/>
  <c r="J235" i="2"/>
  <c r="J205" i="2"/>
  <c r="O143" i="1"/>
  <c r="O131" i="1"/>
  <c r="O105" i="1"/>
  <c r="O4" i="1"/>
  <c r="O13" i="1" s="1"/>
  <c r="O46" i="1"/>
  <c r="O50" i="1" s="1"/>
  <c r="J112" i="2"/>
  <c r="J76" i="2"/>
  <c r="O18" i="1"/>
  <c r="O25" i="1" s="1"/>
  <c r="J163" i="2"/>
  <c r="J148" i="2"/>
  <c r="J40" i="2"/>
  <c r="O58" i="1"/>
  <c r="O59" i="1"/>
  <c r="O39" i="1"/>
  <c r="O40" i="1"/>
  <c r="H2417" i="7" l="1"/>
  <c r="G2052" i="1"/>
  <c r="O2052" i="1" s="1"/>
  <c r="D2077" i="1"/>
  <c r="O1906" i="1"/>
  <c r="O1852" i="1"/>
  <c r="G1864" i="1"/>
  <c r="O1864" i="1" s="1"/>
  <c r="H2068" i="7"/>
  <c r="I2069" i="7" s="1"/>
  <c r="O1751" i="1"/>
  <c r="O1722" i="1"/>
  <c r="G1765" i="1"/>
  <c r="O1765" i="1" s="1"/>
  <c r="G1679" i="1"/>
  <c r="O1679" i="1" s="1"/>
  <c r="D1688" i="1"/>
  <c r="H1898" i="7"/>
  <c r="G1624" i="1"/>
  <c r="O1624" i="1" s="1"/>
  <c r="O1637" i="1"/>
  <c r="G1556" i="1"/>
  <c r="O1556" i="1" s="1"/>
  <c r="D1579" i="1"/>
  <c r="G1453" i="1"/>
  <c r="O1453" i="1" s="1"/>
  <c r="H1680" i="7"/>
  <c r="O1420" i="1"/>
  <c r="O1350" i="1"/>
  <c r="G1267" i="1"/>
  <c r="O1267" i="1" s="1"/>
  <c r="O1280" i="1"/>
  <c r="D1218" i="1"/>
  <c r="D1301" i="1"/>
  <c r="D1116" i="1"/>
  <c r="O980" i="1"/>
  <c r="D1020" i="1"/>
  <c r="H1058" i="7"/>
  <c r="H1016" i="7"/>
  <c r="O907" i="1"/>
  <c r="O921" i="1"/>
  <c r="H973" i="7"/>
  <c r="O868" i="1"/>
  <c r="O870" i="1" s="1"/>
  <c r="D935" i="1"/>
  <c r="H941" i="7"/>
  <c r="O717" i="1"/>
  <c r="D731" i="1"/>
  <c r="H700" i="7"/>
  <c r="H604" i="7"/>
  <c r="O488" i="1"/>
  <c r="G477" i="1"/>
  <c r="O477" i="1" s="1"/>
  <c r="D532" i="1"/>
  <c r="G404" i="1"/>
  <c r="O404" i="1" s="1"/>
  <c r="G326" i="1"/>
  <c r="O326" i="1" s="1"/>
  <c r="H154" i="7"/>
  <c r="H155" i="7"/>
  <c r="O282" i="1"/>
  <c r="O254" i="1"/>
  <c r="O268" i="1"/>
  <c r="D284" i="1"/>
  <c r="O177" i="1"/>
  <c r="O191" i="1"/>
  <c r="D218" i="1"/>
  <c r="O118" i="1"/>
  <c r="O106" i="1"/>
  <c r="O204" i="1"/>
  <c r="O51" i="1"/>
  <c r="O144" i="1"/>
  <c r="O132" i="1"/>
  <c r="O26" i="1"/>
  <c r="O14" i="1"/>
  <c r="G498" i="1"/>
  <c r="O49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tc={DC627DC3-5CE7-4309-86F5-D64CD78F323B}</author>
    <author>tc={96593CC9-CE59-495A-BE9C-9C8BAE9A0A39}</author>
  </authors>
  <commentList>
    <comment ref="N182" authorId="0" shapeId="0" xr:uid="{DC627DC3-5CE7-4309-86F5-D64CD78F32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COMISION DEL PROPIETARIO AL 8% </t>
      </text>
    </comment>
    <comment ref="O870" authorId="1" shapeId="0" xr:uid="{96593CC9-CE59-495A-BE9C-9C8BAE9A0A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DESCONTAR 51.000 DE UN NEGOCIO QUE SE ANULO EL MES ANTERIOR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tc={AC07A4E6-E67D-4BFD-AF8D-6FFC40EF177A}</author>
    <author>tc={9793E7F3-2490-44B6-A005-25E8F906F530}</author>
    <author>tc={5DA28729-C9F0-4209-BD56-208B6B2C63C6}</author>
    <author>tc={FD384175-6610-4DFA-A2D9-1FE2BBE22466}</author>
  </authors>
  <commentList>
    <comment ref="D235" authorId="0" shapeId="0" xr:uid="{AC07A4E6-E67D-4BFD-AF8D-6FFC40EF177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CONDICION PARTUCULA SS 
7063591</t>
      </text>
    </comment>
    <comment ref="H1017" authorId="1" shapeId="0" xr:uid="{9793E7F3-2490-44B6-A005-25E8F906F5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DESCUENTA 34.000 DEL NEGOCIO QUE SE DAÑO EL MES PASASO </t>
      </text>
    </comment>
    <comment ref="H1058" authorId="2" shapeId="0" xr:uid="{5DA28729-C9F0-4209-BD56-208B6B2C63C6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DESCONTAR 25.500 DEL NEGOCIO QUE SE ANULA DEL MES PASADO TOTAL A PAGAR 781.800</t>
      </text>
    </comment>
    <comment ref="I2069" authorId="3" shapeId="0" xr:uid="{FD384175-6610-4DFA-A2D9-1FE2BBE224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liquida con los 22 dias laborados, sacando los 8 de vacaciones, con el % correspondiente.
</t>
      </text>
    </comment>
  </commentList>
</comments>
</file>

<file path=xl/sharedStrings.xml><?xml version="1.0" encoding="utf-8"?>
<sst xmlns="http://schemas.openxmlformats.org/spreadsheetml/2006/main" count="31359" uniqueCount="4450">
  <si>
    <t>INFORME ARRIENDOS ZONA LA ESTRELLA - ITAGUI – ENERO 2021</t>
  </si>
  <si>
    <t>ARRIENDOS YERMANY CORREA</t>
  </si>
  <si>
    <t>POR CONSIGNACION</t>
  </si>
  <si>
    <t>CONSIGNACIONES</t>
  </si>
  <si>
    <t>PORCENTAJE PROPIETARIO</t>
  </si>
  <si>
    <t>INMUEBLE</t>
  </si>
  <si>
    <t>CANON</t>
  </si>
  <si>
    <t>%</t>
  </si>
  <si>
    <t xml:space="preserve">COMISION </t>
  </si>
  <si>
    <t>ASESOR 2</t>
  </si>
  <si>
    <t>EJECUTIVO</t>
  </si>
  <si>
    <t>OBSERVACIONES</t>
  </si>
  <si>
    <t>CONTRATO</t>
  </si>
  <si>
    <t xml:space="preserve"> CANON</t>
  </si>
  <si>
    <t xml:space="preserve"> COMISION</t>
  </si>
  <si>
    <t>23+10</t>
  </si>
  <si>
    <t>JARDINES DE LA HACIENDA 425 $500000</t>
  </si>
  <si>
    <t>BLEYCK BEDOYA</t>
  </si>
  <si>
    <t>MARCELA ALVAREZ</t>
  </si>
  <si>
    <t xml:space="preserve">CLIENTE NO DESEA CONTINUAR </t>
  </si>
  <si>
    <t xml:space="preserve">CASA JARDIN 30 </t>
  </si>
  <si>
    <t>PLAZUELAS DE LA ESTRELLA 202 $850000</t>
  </si>
  <si>
    <t>YERMANY CORREA</t>
  </si>
  <si>
    <t xml:space="preserve">NO DESEAN CONTINUAR </t>
  </si>
  <si>
    <t xml:space="preserve"> </t>
  </si>
  <si>
    <t xml:space="preserve">SIERRA MORENA 1204 </t>
  </si>
  <si>
    <t xml:space="preserve">ORION 2005 </t>
  </si>
  <si>
    <t xml:space="preserve">ANDRES MIRANDA </t>
  </si>
  <si>
    <t xml:space="preserve">PANORAMA AURAL 324 </t>
  </si>
  <si>
    <t xml:space="preserve">CAPELLA 917 </t>
  </si>
  <si>
    <t>PORTADA</t>
  </si>
  <si>
    <t xml:space="preserve">ORION 1112 </t>
  </si>
  <si>
    <t>JOAN MEJIA</t>
  </si>
  <si>
    <t xml:space="preserve">MANANTIALES DE SURAMERICA 2401 </t>
  </si>
  <si>
    <t xml:space="preserve">TOTAL </t>
  </si>
  <si>
    <t>ARRIENDOS ANDRES MIRANDA</t>
  </si>
  <si>
    <t>20+10</t>
  </si>
  <si>
    <t>ABEDULES CASA 105 - $2.900.000</t>
  </si>
  <si>
    <t>PEND APTO $1600000</t>
  </si>
  <si>
    <t xml:space="preserve">FIRMA CON OTRA INMOBILIARIA </t>
  </si>
  <si>
    <t>FIORI 1706 $1400000</t>
  </si>
  <si>
    <t>AGUAS DEL BOSQUE 305</t>
  </si>
  <si>
    <t xml:space="preserve">QUINTA ESTRELLA 1104 </t>
  </si>
  <si>
    <t>CACTUS 605 TO 1</t>
  </si>
  <si>
    <t>SHIRLEY FLOREZ</t>
  </si>
  <si>
    <t>ARRIENDOS ESTEBAN LOPEZ</t>
  </si>
  <si>
    <t>SIMON BOLIVAR 301</t>
  </si>
  <si>
    <t>FRONTERA DE SURAMERICA 2301</t>
  </si>
  <si>
    <t>RESERVA DEL BOSQUE 1214</t>
  </si>
  <si>
    <t>ESTEBAN LOPEZ</t>
  </si>
  <si>
    <t xml:space="preserve">ZANETTI 2028 </t>
  </si>
  <si>
    <t xml:space="preserve">CIUDADELA DEL VALLE 742 </t>
  </si>
  <si>
    <t xml:space="preserve">SENDERO VERDE 1062 </t>
  </si>
  <si>
    <t xml:space="preserve">CIUDADELA DEL VALLE 1701 </t>
  </si>
  <si>
    <t>EDISSON MONTOYA</t>
  </si>
  <si>
    <t xml:space="preserve">CIUDADELA DEL VALLE 1109 </t>
  </si>
  <si>
    <t>ARRIENDOS EDISSON MONTOYA</t>
  </si>
  <si>
    <t>CIUDADELA DEL VALLE 221 $950000</t>
  </si>
  <si>
    <t xml:space="preserve">CLIENTE NO SE UBICA </t>
  </si>
  <si>
    <t>RESERVA DEL SUR 646</t>
  </si>
  <si>
    <t xml:space="preserve">CIUDADELA DEL VALLE 1421 </t>
  </si>
  <si>
    <t xml:space="preserve">COLINA VERDE 418 </t>
  </si>
  <si>
    <t xml:space="preserve">COLINA VERDE 807 </t>
  </si>
  <si>
    <t>ARRIENDOS MATEO ALVAREZ</t>
  </si>
  <si>
    <t>5+4</t>
  </si>
  <si>
    <t>SAN MIGUEL 304 $800000</t>
  </si>
  <si>
    <t>ARRIENDOS PORTADA INMOBILIARIA</t>
  </si>
  <si>
    <t>MANTIA 906</t>
  </si>
  <si>
    <t>TOTAL FIRMADO LA ESTRELLA - ITAGUI</t>
  </si>
  <si>
    <t xml:space="preserve">TOTAL APROBADO SIN FIRMAR </t>
  </si>
  <si>
    <t>DESISTIDOS O NEGADOS</t>
  </si>
  <si>
    <t>SECTOR</t>
  </si>
  <si>
    <t>ARRIENDOS ($)</t>
  </si>
  <si>
    <t xml:space="preserve">TOTAL INMUEBLES ARRENDADOS </t>
  </si>
  <si>
    <t>ITAGUI</t>
  </si>
  <si>
    <t>SURAMERICA</t>
  </si>
  <si>
    <t xml:space="preserve">LA ESTRELLA </t>
  </si>
  <si>
    <t xml:space="preserve">SAN ANTONIO DE PRADO </t>
  </si>
  <si>
    <t xml:space="preserve">CALDAS </t>
  </si>
  <si>
    <t>OTRAS ZONAS</t>
  </si>
  <si>
    <t>TOTAL</t>
  </si>
  <si>
    <t>INFORME ARRIENDOS ZONA LA ESTRELLA - ITAGUI – FEBRERO 2021</t>
  </si>
  <si>
    <t>28+3</t>
  </si>
  <si>
    <t xml:space="preserve">CAPELLA 421 </t>
  </si>
  <si>
    <t>ORION 709</t>
  </si>
  <si>
    <t xml:space="preserve">ORION 504 </t>
  </si>
  <si>
    <t xml:space="preserve">LA FINQUITA </t>
  </si>
  <si>
    <t xml:space="preserve">CAPELLA 1024 </t>
  </si>
  <si>
    <t>SENDERO DEL BOSQUE 204</t>
  </si>
  <si>
    <t>ANDRES MIRANDA</t>
  </si>
  <si>
    <t>PORTAL DE LA ESTRELLA 1706</t>
  </si>
  <si>
    <t>KAREN CASTRO</t>
  </si>
  <si>
    <t xml:space="preserve">ORION 1904 </t>
  </si>
  <si>
    <t xml:space="preserve">ROMAZINO 305  </t>
  </si>
  <si>
    <t xml:space="preserve">SIERRA MORENA  1109 </t>
  </si>
  <si>
    <t>20+3</t>
  </si>
  <si>
    <t>PUERTA DEL RODEO 1501 $1300000</t>
  </si>
  <si>
    <t xml:space="preserve">ENTRE HOJAS 2401 </t>
  </si>
  <si>
    <t xml:space="preserve">AGUAS DEL BOSQUE 1505  </t>
  </si>
  <si>
    <t xml:space="preserve">ORION  709 </t>
  </si>
  <si>
    <t>DANIEL</t>
  </si>
  <si>
    <t xml:space="preserve">KIWI 1203 </t>
  </si>
  <si>
    <t xml:space="preserve">CAPELLA 724 </t>
  </si>
  <si>
    <t xml:space="preserve">RESERVA DEL BOSQUE 2514 </t>
  </si>
  <si>
    <t xml:space="preserve">BAHIA GRANDE 2408 </t>
  </si>
  <si>
    <t xml:space="preserve">FUENTE CLARA 104 </t>
  </si>
  <si>
    <t xml:space="preserve">VILLA VERDE 121 </t>
  </si>
  <si>
    <t xml:space="preserve">CASA SANTA MARIA  </t>
  </si>
  <si>
    <t>CIUDADELA DEL VALLE 1620 $950000</t>
  </si>
  <si>
    <t>PORTADA INMOBILIARIA</t>
  </si>
  <si>
    <t xml:space="preserve">DEDUDOR NO FIRMA CONTRATO </t>
  </si>
  <si>
    <t>21+6</t>
  </si>
  <si>
    <t>RESERVA DE PRADO 425</t>
  </si>
  <si>
    <t xml:space="preserve">EDISSON MONTOYA </t>
  </si>
  <si>
    <t>SALAMANCA 1303</t>
  </si>
  <si>
    <t xml:space="preserve">PACIFICA 2404 </t>
  </si>
  <si>
    <t>SAN MIGUEL 304</t>
  </si>
  <si>
    <t>PENDI APTO  $ 1.050.000</t>
  </si>
  <si>
    <t xml:space="preserve">CLIENTE SE VA CON OTRA INMOBILIARIA </t>
  </si>
  <si>
    <t>INFORME ARRIENDOS ZONA LA ESTRELLA - ITAGUI – MARZO 2021</t>
  </si>
  <si>
    <t xml:space="preserve">CONTRATO N° </t>
  </si>
  <si>
    <t>20+5</t>
  </si>
  <si>
    <t xml:space="preserve">CAPELLA 524 </t>
  </si>
  <si>
    <t>YERMANI</t>
  </si>
  <si>
    <t xml:space="preserve">PITRIZA 101 </t>
  </si>
  <si>
    <t>SENDERO DE SURAMERICA 1106</t>
  </si>
  <si>
    <t>CAPELLA 1622</t>
  </si>
  <si>
    <t>COSTA AZUL 1104</t>
  </si>
  <si>
    <t>SARA</t>
  </si>
  <si>
    <t xml:space="preserve">VERDE VIVO ARIZA 1808 </t>
  </si>
  <si>
    <t>DESISTIDO</t>
  </si>
  <si>
    <t>ROMAZINO 1313  $1.100.000</t>
  </si>
  <si>
    <t>CLIENTE INDICA QUE SE VA A QUEDAR EN CALI</t>
  </si>
  <si>
    <t>ORION 1005 $1000000</t>
  </si>
  <si>
    <t>URREA</t>
  </si>
  <si>
    <t xml:space="preserve">DEMORA EN EL RESULTADO CON EL LIBERTADOR  </t>
  </si>
  <si>
    <t>TOTAL A PAGAR------------------------------------------------&gt;</t>
  </si>
  <si>
    <t>OK</t>
  </si>
  <si>
    <t xml:space="preserve">ARRIENDOS ANDRES MIRANDA </t>
  </si>
  <si>
    <t xml:space="preserve">PUERTO MONT 211 </t>
  </si>
  <si>
    <t>CAPELLA 1821</t>
  </si>
  <si>
    <t xml:space="preserve">AGUAS DEL BOSQUE 1301 </t>
  </si>
  <si>
    <t xml:space="preserve">ARIZA 1818 </t>
  </si>
  <si>
    <t xml:space="preserve">DULAZAR  CASA D04  </t>
  </si>
  <si>
    <t xml:space="preserve">AGUAS DEL BOSQUE 1818 </t>
  </si>
  <si>
    <t xml:space="preserve">ENTRE HOJAS 407 </t>
  </si>
  <si>
    <t xml:space="preserve">NEGADO </t>
  </si>
  <si>
    <t>PENDIENTE APTO  $ 1.500.000</t>
  </si>
  <si>
    <t>DULAZAR  CASA D04  $1.400-000</t>
  </si>
  <si>
    <t xml:space="preserve">CLIENTE SE VA DIRECTO CON PROPIETARIO, UN FAMILIAR DE EL </t>
  </si>
  <si>
    <t>ORION 802 $ 850.000</t>
  </si>
  <si>
    <t>7+2</t>
  </si>
  <si>
    <t xml:space="preserve">VILLASOL 1404 </t>
  </si>
  <si>
    <t>PITRIZA 101</t>
  </si>
  <si>
    <t>TERRITORIO VERDE 1217</t>
  </si>
  <si>
    <t>BLEYCK</t>
  </si>
  <si>
    <t xml:space="preserve">SENDERO VERDE 757 </t>
  </si>
  <si>
    <t xml:space="preserve">ESTEBAN </t>
  </si>
  <si>
    <t>APLAZADO</t>
  </si>
  <si>
    <t>CIUDADELA DEL VALLE 933 $1.100.00</t>
  </si>
  <si>
    <t>AGUAS DEL BOSQUE 1301 $ 1.250.00</t>
  </si>
  <si>
    <t>CIUDADELA DEL VALLE 1620 $950.000</t>
  </si>
  <si>
    <t>23+5</t>
  </si>
  <si>
    <t xml:space="preserve">CAPELLLA 1622 </t>
  </si>
  <si>
    <t>PIZARRA 3112</t>
  </si>
  <si>
    <t xml:space="preserve">CAPELLA 1821 </t>
  </si>
  <si>
    <t xml:space="preserve">MONTE AZUL 1810 </t>
  </si>
  <si>
    <t>CASA PRADITO  $770.000</t>
  </si>
  <si>
    <t xml:space="preserve">EDISON  </t>
  </si>
  <si>
    <t xml:space="preserve">JARDINES DE LA HACIENDA 1209  </t>
  </si>
  <si>
    <t>TODOS LOS SOLICITANTES SALIERON NEGADOS</t>
  </si>
  <si>
    <t>DEMORA EN EL RESULTADO CON EL LIBERTADOR</t>
  </si>
  <si>
    <t xml:space="preserve">ARRIENDOS </t>
  </si>
  <si>
    <t>INFORME ARRIENDOS ZONA LA ESTRELLA - ITAGUI – ABRIL  2021</t>
  </si>
  <si>
    <t>20+9</t>
  </si>
  <si>
    <t xml:space="preserve">RESERVA DEL PARQUE 1605  </t>
  </si>
  <si>
    <t xml:space="preserve">CAPELLA 2019 </t>
  </si>
  <si>
    <t xml:space="preserve">ROMAZINO 1313 </t>
  </si>
  <si>
    <t xml:space="preserve">ORION 808 </t>
  </si>
  <si>
    <t xml:space="preserve">ORION 612 </t>
  </si>
  <si>
    <t>YERMANY</t>
  </si>
  <si>
    <t xml:space="preserve">SIERRA MORENA 1616 </t>
  </si>
  <si>
    <t xml:space="preserve">PACIFICA 1802 </t>
  </si>
  <si>
    <t xml:space="preserve">SIERA MORENA 1202 </t>
  </si>
  <si>
    <t>PACIFICA 2202</t>
  </si>
  <si>
    <t xml:space="preserve">PORTADA </t>
  </si>
  <si>
    <t xml:space="preserve">AGUAS DEL BOSQUE 623 </t>
  </si>
  <si>
    <t xml:space="preserve">ANDRES </t>
  </si>
  <si>
    <t xml:space="preserve">CASA  SANTA MARIA LA NUEVA  </t>
  </si>
  <si>
    <t xml:space="preserve">ROMAZINO 910  </t>
  </si>
  <si>
    <t xml:space="preserve">ALDEA DEL SUR 2001 </t>
  </si>
  <si>
    <t xml:space="preserve">DESISTIDO </t>
  </si>
  <si>
    <t>CASA SANTA MARIA  $ 850.000</t>
  </si>
  <si>
    <t xml:space="preserve">cliente consigue casa en menor valor </t>
  </si>
  <si>
    <t>CIUDADEL DEL VALLE 933 $1.250.000</t>
  </si>
  <si>
    <t>ALDEA DEL SUR 1312 $1.200.000</t>
  </si>
  <si>
    <t>RUPTURA DE PAREJA</t>
  </si>
  <si>
    <t xml:space="preserve">CAPELLA 2019  </t>
  </si>
  <si>
    <t> 11057</t>
  </si>
  <si>
    <t>VILLA VERDE 1520</t>
  </si>
  <si>
    <t>SIERRA MORENA  1616</t>
  </si>
  <si>
    <t>CASA LA ESMERALDA</t>
  </si>
  <si>
    <t>GUAYACANES DEL PRADO 509</t>
  </si>
  <si>
    <t xml:space="preserve">RESERVA DEL BOSQUE 1112 </t>
  </si>
  <si>
    <t>ESTEBAN</t>
  </si>
  <si>
    <t>GRAN MANZANA 1806</t>
  </si>
  <si>
    <t>ALEX</t>
  </si>
  <si>
    <t>MORATTO 506 $ 1.600.000</t>
  </si>
  <si>
    <t xml:space="preserve">CLIENTE TOMA INMUEBLE CON OTRA INMOBILIARIA, CON UN MAYOR METRAJE EN EL MISMO VALOR  </t>
  </si>
  <si>
    <t xml:space="preserve">VILLA VERDE 1520 </t>
  </si>
  <si>
    <t xml:space="preserve">LAURELES DEL SUR 910 </t>
  </si>
  <si>
    <t>ALDEA DEL SUR 2001</t>
  </si>
  <si>
    <t xml:space="preserve">SIERRA MORENA  1202 </t>
  </si>
  <si>
    <t xml:space="preserve">GUAYACANES DEL PRADO  509 </t>
  </si>
  <si>
    <t>JARDINES DE LA HACIENDA 1301</t>
  </si>
  <si>
    <t xml:space="preserve">CLIENTE SE FUE CON OTRA INMOBILIARIA </t>
  </si>
  <si>
    <t>VILLA SOL 125 $ 1.100.000</t>
  </si>
  <si>
    <t>CAMILO CORREA</t>
  </si>
  <si>
    <t xml:space="preserve">ESTUDIO </t>
  </si>
  <si>
    <t>PACIFICA 2502 $  1.300,000</t>
  </si>
  <si>
    <t xml:space="preserve">LA CLIENTE SE LE PRESENTO UNA CALAMIDAD DECIDE  SEGUIR LA BUSQUEDA DEL INMUEBLE </t>
  </si>
  <si>
    <t>JARDINES DE LA HACIENDA 1301 $700-000</t>
  </si>
  <si>
    <t>INFORME ARRIENDOS ZONA LA ESTRELLA - ITAGUI – MAYO  2021</t>
  </si>
  <si>
    <t>20+13</t>
  </si>
  <si>
    <t>SIERRA MORENA 1809</t>
  </si>
  <si>
    <t xml:space="preserve">MEDITERRANEA 1723 </t>
  </si>
  <si>
    <t xml:space="preserve">EMPALME CAPELLA 610 </t>
  </si>
  <si>
    <t xml:space="preserve">VENTA </t>
  </si>
  <si>
    <t>PANORAMA AURAL 820</t>
  </si>
  <si>
    <t xml:space="preserve">EMPALME CALLE 66 # 48-87 AP 301 </t>
  </si>
  <si>
    <t>CAPELLA 823</t>
  </si>
  <si>
    <t xml:space="preserve">CIUDADELA DEL VALLE 933 </t>
  </si>
  <si>
    <t xml:space="preserve">FRONTERAS DEL SUR 1604 </t>
  </si>
  <si>
    <t>CALLE 27 # 63B 41 INTERIOR 201</t>
  </si>
  <si>
    <t xml:space="preserve">SARA </t>
  </si>
  <si>
    <t xml:space="preserve">AGUAS DEL BOSQUE 1902  </t>
  </si>
  <si>
    <t>CACTUS 805</t>
  </si>
  <si>
    <t>BOSQUE GRANDE 2118</t>
  </si>
  <si>
    <t>CIUDADELA DEL VALLE 426</t>
  </si>
  <si>
    <t>POLARIS 1005</t>
  </si>
  <si>
    <t xml:space="preserve">PORTAL DE LA ESTRELLA 1104 </t>
  </si>
  <si>
    <t>AGUA DEL BOSQUE 1201</t>
  </si>
  <si>
    <t>LUISA</t>
  </si>
  <si>
    <t>TUKANA 1108</t>
  </si>
  <si>
    <t>FRONTERAS DEL SUR 208</t>
  </si>
  <si>
    <t xml:space="preserve">DESISTIO </t>
  </si>
  <si>
    <t>ROMAZINO 1415- 1.100.000</t>
  </si>
  <si>
    <t xml:space="preserve">ENCONTRÓ OTRO APARTAMENTO </t>
  </si>
  <si>
    <t>21+3</t>
  </si>
  <si>
    <t xml:space="preserve">AQUAVENTO  104 </t>
  </si>
  <si>
    <t>LISBOA 803</t>
  </si>
  <si>
    <t xml:space="preserve">CACTUS 704 </t>
  </si>
  <si>
    <t xml:space="preserve">BIOCTY GRAND  317 </t>
  </si>
  <si>
    <t xml:space="preserve">CALLE 67 # 48-07 </t>
  </si>
  <si>
    <t xml:space="preserve">SENDERO DEL BOSQUE 1602 </t>
  </si>
  <si>
    <t>ALDEA DEL SUR  1613</t>
  </si>
  <si>
    <t xml:space="preserve">CALLE 75 AA SUR # 62 A 66 INT 201 </t>
  </si>
  <si>
    <t xml:space="preserve">NEGADOS </t>
  </si>
  <si>
    <t>COSTA AZUL 1009- 1.300.000</t>
  </si>
  <si>
    <t xml:space="preserve">POLARIS 1318 - $1.150.000 </t>
  </si>
  <si>
    <t>CACTUS 805  $ 1.3000.000</t>
  </si>
  <si>
    <t xml:space="preserve">DEDUDOR NO DESEA FIRMAR CONTRATO </t>
  </si>
  <si>
    <t xml:space="preserve">RESERVA DEL PRADO 413 </t>
  </si>
  <si>
    <t xml:space="preserve">CIUDADELA DEL VALLE 1620 </t>
  </si>
  <si>
    <t>LAURELES DEL SUR 1510</t>
  </si>
  <si>
    <t>SUBROGACION RESERVAS DEL PRADO 425</t>
  </si>
  <si>
    <t>RESERVA DEL PRADO 518</t>
  </si>
  <si>
    <t>PACIFICA 1105</t>
  </si>
  <si>
    <t>JARDINES DE LA HACIENDA 1603</t>
  </si>
  <si>
    <t>PDTE - 700.000</t>
  </si>
  <si>
    <t xml:space="preserve">NO PRESENTA DEDUDOR SOLICITADO </t>
  </si>
  <si>
    <t>CIUDADELA DEL VALLE 1620  $950.000</t>
  </si>
  <si>
    <t xml:space="preserve">NO FIRMA CONTRATO ARRENDAMIENTO </t>
  </si>
  <si>
    <t xml:space="preserve">DESISTIDO CLIENTE SOLICITO TRASLADO </t>
  </si>
  <si>
    <t xml:space="preserve">ARRIENDOS PORTADA INMOBILIARIA </t>
  </si>
  <si>
    <t>EMPALME VILLA VERDE 1426</t>
  </si>
  <si>
    <t>INFORME ARRIENDOS ZONA LA ESTRELLA - ITAGUI – JUNIO  2021</t>
  </si>
  <si>
    <t>RESERVA DEL BOSQUE 2815</t>
  </si>
  <si>
    <t xml:space="preserve">EDISON </t>
  </si>
  <si>
    <t>LAR 801</t>
  </si>
  <si>
    <t>TUKANA 1204</t>
  </si>
  <si>
    <t>BAHIA GRANDE 1814</t>
  </si>
  <si>
    <t>CAPELLA 1810</t>
  </si>
  <si>
    <t xml:space="preserve">RIVERA DE SURAMERICA 1612 </t>
  </si>
  <si>
    <t>FLORES DEL CAMPO 510</t>
  </si>
  <si>
    <t>CACTUS 2105</t>
  </si>
  <si>
    <t>ANDRES</t>
  </si>
  <si>
    <t>AQUAVENTO 1601</t>
  </si>
  <si>
    <t xml:space="preserve">YERMANY </t>
  </si>
  <si>
    <t>ADRIANA</t>
  </si>
  <si>
    <t>POLARIS 1714</t>
  </si>
  <si>
    <t xml:space="preserve">AIRES DE SURAMERICA 1901 </t>
  </si>
  <si>
    <t>ED PACIFICO 401</t>
  </si>
  <si>
    <t xml:space="preserve">VICTOR </t>
  </si>
  <si>
    <t>M&amp;M IX AP 302</t>
  </si>
  <si>
    <t>ED PACIFICO 501</t>
  </si>
  <si>
    <t>JARDINES DE LA HACIENDA 519</t>
  </si>
  <si>
    <t>DESISTIO</t>
  </si>
  <si>
    <t>FLORES DEL CAMPO 1302- 850.000</t>
  </si>
  <si>
    <t xml:space="preserve">LA MAMÁ NO DESEA PASARSE </t>
  </si>
  <si>
    <t>PDTE- 1.200.000</t>
  </si>
  <si>
    <t xml:space="preserve">Encontró con otra agencia </t>
  </si>
  <si>
    <t>LOCAL CALLE 54 # 50-68 - 1.600.000</t>
  </si>
  <si>
    <t>ALDEA DEL SUR 2009</t>
  </si>
  <si>
    <t>PACIFICA 2503</t>
  </si>
  <si>
    <t>EDISON</t>
  </si>
  <si>
    <t>AQUAVENTO 1611</t>
  </si>
  <si>
    <t xml:space="preserve">LUISA </t>
  </si>
  <si>
    <t>GIRASOLES 401</t>
  </si>
  <si>
    <t>ALDEA DEL SUR 1905</t>
  </si>
  <si>
    <t xml:space="preserve">SENDERO VERDE 315 </t>
  </si>
  <si>
    <t>EDISSON</t>
  </si>
  <si>
    <t>M&amp;M IX AP 402</t>
  </si>
  <si>
    <t>JARDINES DE LA HACIENDA 1613</t>
  </si>
  <si>
    <t>VILLA SOL 920</t>
  </si>
  <si>
    <t>RESERVAS DEL PRADO 512</t>
  </si>
  <si>
    <t>RESERVAS DEL PRADO 527</t>
  </si>
  <si>
    <t>RESERVAS DEL PRADO 9802</t>
  </si>
  <si>
    <t xml:space="preserve">EDISSON </t>
  </si>
  <si>
    <t xml:space="preserve">CALLE 63A  # 55 - 54 </t>
  </si>
  <si>
    <t xml:space="preserve">CASA CALATRABA - $650.000 </t>
  </si>
  <si>
    <t xml:space="preserve">NO TIENE DEUDOR ADICIONAL </t>
  </si>
  <si>
    <t>CALLE 63 A # 55 - 68 INT 301- 650.000</t>
  </si>
  <si>
    <t>PACIFICA 2303- 1.300.000</t>
  </si>
  <si>
    <t>BAHIA GRANDE 2004</t>
  </si>
  <si>
    <t>M&amp;M 402</t>
  </si>
  <si>
    <t>INFORME ARRIENDOS ZONA LA ESTRELLA - ITAGUI – JULIO  2021</t>
  </si>
  <si>
    <t>26+4</t>
  </si>
  <si>
    <t xml:space="preserve">SUBROGACION ROMAZINO 1103 </t>
  </si>
  <si>
    <t xml:space="preserve">FLORES DEL CAMPO 104 </t>
  </si>
  <si>
    <t>VILLA VERDE 530</t>
  </si>
  <si>
    <t>LOCAL CALLE 54 # 50 - 68</t>
  </si>
  <si>
    <t>RESERVA DEL PARQUE 906</t>
  </si>
  <si>
    <t xml:space="preserve">DANIEL </t>
  </si>
  <si>
    <t>ALDEA DEL SUR 213</t>
  </si>
  <si>
    <t>CAPELLA 1316</t>
  </si>
  <si>
    <t>AQUAVENTO 1616</t>
  </si>
  <si>
    <t>ORION 1601</t>
  </si>
  <si>
    <t>PORTAL DE LA ESTRELLA 1506-1.400.000</t>
  </si>
  <si>
    <t xml:space="preserve">Propietario no está deacuerdo con el contrato </t>
  </si>
  <si>
    <t>TERRITORIO VERDE 2416-880.000</t>
  </si>
  <si>
    <t xml:space="preserve">Se le renueva contrato con otra agencia </t>
  </si>
  <si>
    <t>PACIFICO 301- 650.000</t>
  </si>
  <si>
    <t>Encontró directo</t>
  </si>
  <si>
    <t>RIVERA DE SURAMERICA 707 - 1.400.000</t>
  </si>
  <si>
    <t xml:space="preserve">Propietario se va con maxibienes </t>
  </si>
  <si>
    <t>SENDERO DEL BOSQUE 2010-1.500.000</t>
  </si>
  <si>
    <t>Negados</t>
  </si>
  <si>
    <t>PORTON DE LA HACIENDA 711-700.000</t>
  </si>
  <si>
    <t xml:space="preserve">Negados </t>
  </si>
  <si>
    <t>ALDEA DEL SUR 711</t>
  </si>
  <si>
    <t>ALDEA DEL SUR 1908</t>
  </si>
  <si>
    <t xml:space="preserve">PDTE- 1.100.000 </t>
  </si>
  <si>
    <t>ENCONTRÓ DIRECTO</t>
  </si>
  <si>
    <t>ORION 1601- 950.000</t>
  </si>
  <si>
    <t xml:space="preserve">CALAMIDAD FAMILIAR </t>
  </si>
  <si>
    <t xml:space="preserve">ARRIENDOS LUIS LOPEZ </t>
  </si>
  <si>
    <t xml:space="preserve">GUAYACANES DE PRADO 407 </t>
  </si>
  <si>
    <t>KIWI 108</t>
  </si>
  <si>
    <t xml:space="preserve">BRAYAN </t>
  </si>
  <si>
    <t>EL PACIFICO - 650.000</t>
  </si>
  <si>
    <t xml:space="preserve">No tiene deudor adicional </t>
  </si>
  <si>
    <t xml:space="preserve">Consiguió con otra inmobiliaria </t>
  </si>
  <si>
    <t>25+4</t>
  </si>
  <si>
    <t>JARDINES DE LA HACIENDA 505</t>
  </si>
  <si>
    <t>SENDERO VERDE 963</t>
  </si>
  <si>
    <t>CIUDAD SAN DIEGO 201</t>
  </si>
  <si>
    <t>JARDINES DE LA HACIENDA 112</t>
  </si>
  <si>
    <t>JARDINES DE LA HACIENDA 419</t>
  </si>
  <si>
    <t>PACIFICA 714</t>
  </si>
  <si>
    <t>COLINA VERDE 514</t>
  </si>
  <si>
    <t>JARDINES DE LA HACIENDA 1606</t>
  </si>
  <si>
    <t>VILLA VERDE 622</t>
  </si>
  <si>
    <t>NEGADOS</t>
  </si>
  <si>
    <t xml:space="preserve">PACIFICIO- 650.000 </t>
  </si>
  <si>
    <t>JARDINES DE LA HACIENDA 717-650.000</t>
  </si>
  <si>
    <t>VILLA VERDE 622- 1.200.000</t>
  </si>
  <si>
    <t>RESERVA DEL PRADO 9911-850.000</t>
  </si>
  <si>
    <t>CALLE 68 N° 52 -35 AP 401- 850.000</t>
  </si>
  <si>
    <t xml:space="preserve">Consiguió directo </t>
  </si>
  <si>
    <t>CALLE 54 # 60 - 68</t>
  </si>
  <si>
    <t>INFORME ARRIENDOS ZONA LA ESTRELLA - ITAGUI – AGOSTO  2021</t>
  </si>
  <si>
    <t>29+5</t>
  </si>
  <si>
    <t>CAPELLA 1808</t>
  </si>
  <si>
    <t>AQUAVENTO 1715</t>
  </si>
  <si>
    <t>RESERVA DEL BOSQUE 2411</t>
  </si>
  <si>
    <t>CAPELLA 2010</t>
  </si>
  <si>
    <t>PACIFICA 713</t>
  </si>
  <si>
    <t xml:space="preserve">PACIFICIA 1516 </t>
  </si>
  <si>
    <t>SANTA CATALINA 402</t>
  </si>
  <si>
    <t>PORTON DE LA HACIENDA 711</t>
  </si>
  <si>
    <t>CEDROS DE BADAHOZ CASA 50B-10</t>
  </si>
  <si>
    <t>FIORI 701</t>
  </si>
  <si>
    <t>SANTA CATALINA 503</t>
  </si>
  <si>
    <t>SANTA CATALINA 303</t>
  </si>
  <si>
    <t>SANTA CATALINA 505</t>
  </si>
  <si>
    <t xml:space="preserve">PORTAL DE LA ESTRELLA 605 </t>
  </si>
  <si>
    <t>SANTA CATALINA 405</t>
  </si>
  <si>
    <t>CARRERA 63 C # 27-47</t>
  </si>
  <si>
    <t>CAPELLA 603</t>
  </si>
  <si>
    <t>CAPELLA 1415</t>
  </si>
  <si>
    <t>PACIFICIA 1116</t>
  </si>
  <si>
    <t>CAPELLA 1410</t>
  </si>
  <si>
    <t xml:space="preserve">CALLE 85 # 57 - 8 </t>
  </si>
  <si>
    <t>LUIS</t>
  </si>
  <si>
    <t xml:space="preserve">DESESTIO </t>
  </si>
  <si>
    <t>FIORI 701- 1.400.0000</t>
  </si>
  <si>
    <t xml:space="preserve">Lo trasladan de ciudad </t>
  </si>
  <si>
    <t xml:space="preserve">PORTAL DE LA ESTRELLA 605 - 1.400.000 </t>
  </si>
  <si>
    <t>PDTE - 1.050.000</t>
  </si>
  <si>
    <t xml:space="preserve">No desea pasarse de donde está </t>
  </si>
  <si>
    <t>FLORES DEL CAMPO 629-930.000</t>
  </si>
  <si>
    <t>25+5</t>
  </si>
  <si>
    <t>PACIFICA 1910</t>
  </si>
  <si>
    <t xml:space="preserve">ALDEA DEL SUR 1605 - Ojoo cliente portero </t>
  </si>
  <si>
    <t xml:space="preserve">ORION 709 - Ojoo cliente portero </t>
  </si>
  <si>
    <t xml:space="preserve">CALLE 29 B N° 54 B - 39 </t>
  </si>
  <si>
    <t>CAPELLA 1413</t>
  </si>
  <si>
    <t>CLLE 65 # 55-32 PISO 2 - 880.000</t>
  </si>
  <si>
    <t xml:space="preserve">No presenta deudor solicitado </t>
  </si>
  <si>
    <t xml:space="preserve">SIERRA MORENA - 900.000 </t>
  </si>
  <si>
    <t>COSTA AZUL 505- 1.750.000</t>
  </si>
  <si>
    <t xml:space="preserve">ORION 705- 1.100.000 </t>
  </si>
  <si>
    <t xml:space="preserve">En la agencia donde está no paso carta de terminación </t>
  </si>
  <si>
    <t>PACIFICA 604- 1.250.000</t>
  </si>
  <si>
    <t xml:space="preserve">EMPRESA NO LE HACE TRASLADO DE CIUDAD </t>
  </si>
  <si>
    <t>13+2</t>
  </si>
  <si>
    <t>RESERVA DEL BOSQUE 2811</t>
  </si>
  <si>
    <t>RESERVA DEL BOSQUE 2311</t>
  </si>
  <si>
    <t>RESERVAS DEL PRADO 9817</t>
  </si>
  <si>
    <t>VILLA LUNA 901</t>
  </si>
  <si>
    <t xml:space="preserve">LUIS </t>
  </si>
  <si>
    <t xml:space="preserve">ADRIANA </t>
  </si>
  <si>
    <t>RESERVA DEL BOSQUE 1013</t>
  </si>
  <si>
    <t>PDTE-950.000</t>
  </si>
  <si>
    <t xml:space="preserve">PDTE - 950.000 </t>
  </si>
  <si>
    <t xml:space="preserve">No desea pasarse </t>
  </si>
  <si>
    <t xml:space="preserve">SANTA CATALINA 102 - 1.000.000 </t>
  </si>
  <si>
    <t>VILLA SOL 1709-1.200.000</t>
  </si>
  <si>
    <t xml:space="preserve">No presentad ocumentos solicitados </t>
  </si>
  <si>
    <t>25+3</t>
  </si>
  <si>
    <t xml:space="preserve">GUAYACANES DE PRADO 426 </t>
  </si>
  <si>
    <t>PACIFICA 2312</t>
  </si>
  <si>
    <t>SENDERO VERDE 723</t>
  </si>
  <si>
    <t>VILLA VERDE 128</t>
  </si>
  <si>
    <t>JARDINES DE LA HACIENDA 1213</t>
  </si>
  <si>
    <t>ENTRECOLINAS 416</t>
  </si>
  <si>
    <t>PACIFICIA 1012</t>
  </si>
  <si>
    <t>JARDINES DE LA HACIENDA 1612</t>
  </si>
  <si>
    <t xml:space="preserve">CIUDADELA PRADO 513 - Ojoo cliente portero </t>
  </si>
  <si>
    <t>PACIFICA 1211</t>
  </si>
  <si>
    <t xml:space="preserve">CALLE 66A # 43-92 ED DORAL </t>
  </si>
  <si>
    <t>SENDERO VERDE 228</t>
  </si>
  <si>
    <t xml:space="preserve">PDTE- 1.500.000 </t>
  </si>
  <si>
    <t xml:space="preserve">Encontró directo </t>
  </si>
  <si>
    <t>PDTE- 700.000</t>
  </si>
  <si>
    <t xml:space="preserve">Pide traslado </t>
  </si>
  <si>
    <t>PDTE- 1.100.000</t>
  </si>
  <si>
    <t xml:space="preserve">PACIFICA 1012-1.400.000 </t>
  </si>
  <si>
    <t>CIUDADELA DEL VALLE 1549- 1.300.000</t>
  </si>
  <si>
    <t xml:space="preserve">PACIFICA 1111- 1.250.000 </t>
  </si>
  <si>
    <t xml:space="preserve">Solicita traslado </t>
  </si>
  <si>
    <t xml:space="preserve">PDTE-1.150.000 </t>
  </si>
  <si>
    <t xml:space="preserve">No presenta inquilino solicitado </t>
  </si>
  <si>
    <t>PDTE- 1.150.000</t>
  </si>
  <si>
    <t>ARRIENDOS SEBASTIAN LOPEZ</t>
  </si>
  <si>
    <t>13+3</t>
  </si>
  <si>
    <t>KIWI 906</t>
  </si>
  <si>
    <t xml:space="preserve">ALDEA DEL SUR 1605 - OJO CLIENTE PORTERO </t>
  </si>
  <si>
    <t>INFORME ARRIENDOS ZONA LA ESTRELLA - ITAGUI –SEPTIEMBRE  2021</t>
  </si>
  <si>
    <t>2+2</t>
  </si>
  <si>
    <t xml:space="preserve">SANTA CATALINA 203 </t>
  </si>
  <si>
    <t>GUADUALES PARQUE RESIDENCIAL 1408</t>
  </si>
  <si>
    <t>FLORES DEL CAMPO 1906</t>
  </si>
  <si>
    <t>ROMAZINO 1504</t>
  </si>
  <si>
    <t>SANTA CATALINA 102</t>
  </si>
  <si>
    <t>FELICITY 507</t>
  </si>
  <si>
    <t>CARRERA 70 # 56 A SUR 53</t>
  </si>
  <si>
    <t>SUBROGACION CAPELLA 207</t>
  </si>
  <si>
    <t>CAPELLA 1105</t>
  </si>
  <si>
    <t>AGUAS DEL BOSQUE 9902</t>
  </si>
  <si>
    <t xml:space="preserve">SIERRA MORENA 217 </t>
  </si>
  <si>
    <t xml:space="preserve">SEBASTIAN </t>
  </si>
  <si>
    <t>RESERVA DEL PRADO 123</t>
  </si>
  <si>
    <t>FLORES DEL CAMPO 2022</t>
  </si>
  <si>
    <t xml:space="preserve">RESERVAS DEL PARQUE 613- ojo cliente portero </t>
  </si>
  <si>
    <t>ROMAZINO 1711</t>
  </si>
  <si>
    <t>CEIBAZUL 501</t>
  </si>
  <si>
    <t>GUADUALES PARQUE RESIDENCIAL 9903</t>
  </si>
  <si>
    <t>PACIFICA 1608</t>
  </si>
  <si>
    <t>SENDERO VERDE 958</t>
  </si>
  <si>
    <t>FELICITY 1907</t>
  </si>
  <si>
    <t>VILLA VERDE 1917</t>
  </si>
  <si>
    <t>RESERVA DEL BOSQUE 3009</t>
  </si>
  <si>
    <t>SIERRA CAMPESTRE 404</t>
  </si>
  <si>
    <t xml:space="preserve">RESERVA DEL PRADO 1005 </t>
  </si>
  <si>
    <t>RESERVA DEL PRADO 9822</t>
  </si>
  <si>
    <t>CIUDADELA DEL VALLE 1549</t>
  </si>
  <si>
    <t>BRAYAN</t>
  </si>
  <si>
    <t>PACIFICA 1708-1.250.000</t>
  </si>
  <si>
    <t>GUAYACANES DEL SUR 1102 - 1.000.000</t>
  </si>
  <si>
    <t>NO TIENE DEUDOR SOLICITADO</t>
  </si>
  <si>
    <t>PACIFICA 1514-1.300.000</t>
  </si>
  <si>
    <t>AGUAS DEL BOSQUE 2118</t>
  </si>
  <si>
    <t>ORION 508</t>
  </si>
  <si>
    <t>SUBROGACION BAHIA GRANDE 2602</t>
  </si>
  <si>
    <t xml:space="preserve">CALLE 75 B SUR # 56 51 </t>
  </si>
  <si>
    <t>CAPELLA 2015</t>
  </si>
  <si>
    <t>VERDE VIVO 3108</t>
  </si>
  <si>
    <t>CALLE 76 A SUR N° 55 -41 AP 301</t>
  </si>
  <si>
    <t>PDTE 1.250.000</t>
  </si>
  <si>
    <t xml:space="preserve">ENCUENTRA DIRECTO </t>
  </si>
  <si>
    <t>SANTA CATALINA 102-1.000.000</t>
  </si>
  <si>
    <t>INFORME ARRIENDOS ZONA LA ESTRELLA - ITAGUI – OCTUBRE  2021</t>
  </si>
  <si>
    <t>23+4</t>
  </si>
  <si>
    <t xml:space="preserve">HUNGRIA 505 </t>
  </si>
  <si>
    <t xml:space="preserve">CACTUS 1302   </t>
  </si>
  <si>
    <t>AIRES DE SURAMERICA 1603</t>
  </si>
  <si>
    <t>HUNGRIA 1505</t>
  </si>
  <si>
    <t>AGUAS DEL BOSQUE 202</t>
  </si>
  <si>
    <t>SEBASTIAN</t>
  </si>
  <si>
    <t>GUADUALES PARQUE RESIDENCIAL 102</t>
  </si>
  <si>
    <t>PACIFICA 1414</t>
  </si>
  <si>
    <t>RESERVA DEL BOSQUE 716</t>
  </si>
  <si>
    <t>JUAN URREA</t>
  </si>
  <si>
    <t xml:space="preserve">COLOCACION </t>
  </si>
  <si>
    <t>RIVERA DE SURAMERICA 2406</t>
  </si>
  <si>
    <t>ALDEA DEL SUR 9903</t>
  </si>
  <si>
    <t>FLORES DEL CAMPO 322</t>
  </si>
  <si>
    <t>SIERRA MORENA 404</t>
  </si>
  <si>
    <t xml:space="preserve">BOSQUES DE SAUCES 715 </t>
  </si>
  <si>
    <t>SIERRA MORENA 710</t>
  </si>
  <si>
    <t>SIERRA MORENA 813</t>
  </si>
  <si>
    <t>AGUAS DEL BOSQUE 1602</t>
  </si>
  <si>
    <t>AIRES DE SAN FRANCISCO 201</t>
  </si>
  <si>
    <t>AQUAVENTO 1716- 1.000.000</t>
  </si>
  <si>
    <t>NO PRESENTO DEUDOR SOLICITADO</t>
  </si>
  <si>
    <t>FLORES DEL CAMPO 322- 700.000</t>
  </si>
  <si>
    <t>NEGADO</t>
  </si>
  <si>
    <t>AGUAS DEL BOSQUE 1602 1.350.000</t>
  </si>
  <si>
    <t>RIVERA DE SURAMERICA 2003 1.900.000</t>
  </si>
  <si>
    <t>PIDE TRASLADO</t>
  </si>
  <si>
    <t>SIERRA MORENA 404- 1.000.000</t>
  </si>
  <si>
    <t>INQUILINO NO DESEA PASARCE</t>
  </si>
  <si>
    <t>AGUAS DEL BOSQUE 1223</t>
  </si>
  <si>
    <t>VIÑA DEL MAR 407</t>
  </si>
  <si>
    <t>VILLA VERDE 1220</t>
  </si>
  <si>
    <t>GUAYABALIA DOS AP 114</t>
  </si>
  <si>
    <t>PACIFICA 2616</t>
  </si>
  <si>
    <t>AGUAS DEL BOSQUE 1806</t>
  </si>
  <si>
    <t xml:space="preserve">CALLE 35 # 61-11 LOCAL102 </t>
  </si>
  <si>
    <t>SENDEROS DEL BOSQUE 1311</t>
  </si>
  <si>
    <t xml:space="preserve">VIÑA DEL MAR 9907 </t>
  </si>
  <si>
    <t>CALLE 76 SUR N° 57 - 39 CASA TOLEDO</t>
  </si>
  <si>
    <t xml:space="preserve">RESERVAS DE PRADO 9817 - SUBROGACION </t>
  </si>
  <si>
    <t>CASA EL TABLAZO 900.000</t>
  </si>
  <si>
    <t>NECESITABA EL INMUEBLE PARA USO COMERCIAL</t>
  </si>
  <si>
    <t>AGUAS DEL BOSQUE 1606-1.350.000</t>
  </si>
  <si>
    <t>SAN MARTIN 601</t>
  </si>
  <si>
    <t>RESERVA DEL BOSQUE 1613</t>
  </si>
  <si>
    <t>PACIFICA 1514</t>
  </si>
  <si>
    <t>GUAYACANES DE PRADO 527</t>
  </si>
  <si>
    <t>VILLA VERDE 1820</t>
  </si>
  <si>
    <t>RESERVA DEL PRADO 9702</t>
  </si>
  <si>
    <t>VILLA NOVA 2006</t>
  </si>
  <si>
    <t>PACIFICA 811</t>
  </si>
  <si>
    <t>PACIFICA 614</t>
  </si>
  <si>
    <t>VILLA DEL PARQUE 911</t>
  </si>
  <si>
    <t xml:space="preserve">VILLA VERDE 1031 </t>
  </si>
  <si>
    <t xml:space="preserve">PACIFICA 1016 </t>
  </si>
  <si>
    <t>VILLANOVA 1705</t>
  </si>
  <si>
    <t>PACIFICA 1616</t>
  </si>
  <si>
    <t>PACIFICA 515</t>
  </si>
  <si>
    <t>RESERVAS DEL PRADO 9707</t>
  </si>
  <si>
    <t xml:space="preserve">PACIFICA 2610 </t>
  </si>
  <si>
    <t>JARDINES DE LA HACIENDA 819</t>
  </si>
  <si>
    <t>RESERVAS DEL PRADO 516</t>
  </si>
  <si>
    <t>PACIFICA PTE APTO 515 1.400.000</t>
  </si>
  <si>
    <t>CALLE 66 A # 44.03 PISO 2- 700.000</t>
  </si>
  <si>
    <t>INQUILINO NO TIENE EL DINERO PARA PASARCE</t>
  </si>
  <si>
    <t>ED LOS ABUELOS 301-1.000.000</t>
  </si>
  <si>
    <t>VEGAS DEL PARQUE CA 29 1.500.000</t>
  </si>
  <si>
    <t>INQUILINA NO DESEA TOMARLA POR PROBLEMAS DE SALUD</t>
  </si>
  <si>
    <t>VILLA VERDE 220 - 1.400.000</t>
  </si>
  <si>
    <t>INQUILINO NO ESPERA APARTAMENTO</t>
  </si>
  <si>
    <t>22+3</t>
  </si>
  <si>
    <t>HUNGRIA 2008</t>
  </si>
  <si>
    <t>ORION 1611</t>
  </si>
  <si>
    <t>ARBOLEDA DE LA ESTRELLA 1303</t>
  </si>
  <si>
    <t>CL 63 N 44 74 AP 201 SIMON BOLIVAR</t>
  </si>
  <si>
    <t xml:space="preserve">JUAN URREA </t>
  </si>
  <si>
    <t xml:space="preserve">ALTOS DE SURAMERICA 505 </t>
  </si>
  <si>
    <t xml:space="preserve">CR 57 N 76 SUR 24 APARTAESTUDIO TOLEDO </t>
  </si>
  <si>
    <t>DEBE</t>
  </si>
  <si>
    <t>VIÑA DEL MAR 9907</t>
  </si>
  <si>
    <t>SENDERO DE SURAMERICA 1004 -1.350.000</t>
  </si>
  <si>
    <t>AGUAS DEL BOSQUE 1606 1.350.000</t>
  </si>
  <si>
    <t>ENTRE HOJAS 1404 1.600.000</t>
  </si>
  <si>
    <t>RESERVAS DE PRADO 9817 - SUBROGACION</t>
  </si>
  <si>
    <t>INFORME ARRIENDOS ZONA LA ESTRELLA - ITAGUI – NOVIEMBRE 2021</t>
  </si>
  <si>
    <t>CR 49 N 50 A 20 LOC 115</t>
  </si>
  <si>
    <t>SANTA CATALINA 204</t>
  </si>
  <si>
    <t>CEIBAZUL 1904</t>
  </si>
  <si>
    <t>ORION 807</t>
  </si>
  <si>
    <t>CEIBAZUL 607</t>
  </si>
  <si>
    <t>CARRERA 78 B N° 52-63 L0S COLORES</t>
  </si>
  <si>
    <t xml:space="preserve">SERRA MORENA 610 </t>
  </si>
  <si>
    <t xml:space="preserve">SIERRA MORENA 1804 EMPALME </t>
  </si>
  <si>
    <t>CL 56 A # 56 A - 5 - CASA EL TABLAZO</t>
  </si>
  <si>
    <t>ENTRE HOJAS 1404</t>
  </si>
  <si>
    <t xml:space="preserve">CEIBAZUL 205 </t>
  </si>
  <si>
    <t>AIRES DE SAN FRACISCO 201</t>
  </si>
  <si>
    <t>VEGAS DEL PARQUE CA 29</t>
  </si>
  <si>
    <t>HUNGRIA 1408</t>
  </si>
  <si>
    <t>BAHIA GRANDE 2614</t>
  </si>
  <si>
    <t>POLARIS 1206</t>
  </si>
  <si>
    <t>PORTAL DE LA ESTELLA 201</t>
  </si>
  <si>
    <t>CIUDADELA DEL VALLE 1126 - 1.100.000</t>
  </si>
  <si>
    <t>INQUILINA INFORMA NO LE SIRVE EL SECTOR, DESISTE DEL ESTUDIO</t>
  </si>
  <si>
    <t>AIRES DE SAN FRANCISCO 201 - 850.000</t>
  </si>
  <si>
    <t>CEIBAZUL 205 - 1.300.000</t>
  </si>
  <si>
    <t>INQUILINO NECESITA EL APTO PARA DIC</t>
  </si>
  <si>
    <t>ED LOS ABUELOS 401 1.000.000</t>
  </si>
  <si>
    <t>DANEL</t>
  </si>
  <si>
    <t>PROPIETARIO NO QUIZO ENVIAR DOCUMENTOS, INQUILINA NO DESEA CONTINUAR CON EL PROCESO</t>
  </si>
  <si>
    <t xml:space="preserve">EN FIRMAS </t>
  </si>
  <si>
    <t>LA GRAN MANZANA 1102- 1.000.000</t>
  </si>
  <si>
    <t>PROPIETARIO NO FIRMO EL CONTRATO</t>
  </si>
  <si>
    <t>LA GRAN MANZANA 705 - 1.350.000</t>
  </si>
  <si>
    <t>12+2</t>
  </si>
  <si>
    <t>PACIFICA 2711</t>
  </si>
  <si>
    <t>ALDEA DEL SUR 1302</t>
  </si>
  <si>
    <t>FELICITY 1115</t>
  </si>
  <si>
    <t>ALDEA DEL SUR 914</t>
  </si>
  <si>
    <t>GUAYACANES DE PRADO 425</t>
  </si>
  <si>
    <t>AGUAS DEL BOSQUE 302</t>
  </si>
  <si>
    <t>ENTREHOJAS 1210</t>
  </si>
  <si>
    <t>PRADOS DEL SOL IN 201</t>
  </si>
  <si>
    <t>DESISTIÓ</t>
  </si>
  <si>
    <t>PORTAL DE LA ESTRELLA 504- 1.500.000</t>
  </si>
  <si>
    <t>INQUILINA NO DESEA TOMAR EL INMUEBLE</t>
  </si>
  <si>
    <t>VILLANOVA 308 SUBROGACION</t>
  </si>
  <si>
    <t>CEDROS DE LA COLINA 133</t>
  </si>
  <si>
    <t>MANZANILLO 9914</t>
  </si>
  <si>
    <t>RESERVA DEL BOSQUE 2016</t>
  </si>
  <si>
    <t>CIUDADELA DEL VALLE 1626 - 1.300.000</t>
  </si>
  <si>
    <t xml:space="preserve">PACIFICA 916 </t>
  </si>
  <si>
    <t>PACIFICA 2014</t>
  </si>
  <si>
    <t>FELICITY 1714</t>
  </si>
  <si>
    <t>CIUDADELA DE VALLE 1126</t>
  </si>
  <si>
    <t>TERRITORIO VERDE 1513</t>
  </si>
  <si>
    <t>MANZANILLO 9914 - 700.000</t>
  </si>
  <si>
    <t>INQUILINO NO DESEA TOMARLO</t>
  </si>
  <si>
    <t>FELICITY AP 1714- 800.000</t>
  </si>
  <si>
    <t>PROPIETARIO YA NO LO VA ARRENDAR</t>
  </si>
  <si>
    <t>PACIFICA 2403 - 1.350.000</t>
  </si>
  <si>
    <t>INQUINA NO CONTINUO CON EL PROCESO</t>
  </si>
  <si>
    <t>VEGAS DEL PARQUE 029 - 1.500.000</t>
  </si>
  <si>
    <t>INQUILINA NO LE SIRVE LA CASA PORQUE LA MAMA ES INVALIDA</t>
  </si>
  <si>
    <t>QUINTAS DE SAUSALITO CASA 134 - 2.500.000</t>
  </si>
  <si>
    <t>INQUILINO NO QUIZO ENVIAR DEUDOR</t>
  </si>
  <si>
    <t>LA GRAN MANZANA 606- 1.500.000</t>
  </si>
  <si>
    <t>POLARIS 1202</t>
  </si>
  <si>
    <t>RIVERA DE SURAMERICA 1712</t>
  </si>
  <si>
    <t>FELICITY  1115</t>
  </si>
  <si>
    <t>ALTOS DE SURAMERICA 1005 -1.380.000</t>
  </si>
  <si>
    <t>INQUILINO NO DESEA TOMAR EL INMUEBLE, NO LE GUSTA LA UNIDAD</t>
  </si>
  <si>
    <t>ALTOS DE SURAMERICA 1104 - 1.300.000</t>
  </si>
  <si>
    <t>INQUILINO NO DESEA TOMAR EL INMUEBLE</t>
  </si>
  <si>
    <t>ALTOS DE SURAMERICA 1404-1.350.000</t>
  </si>
  <si>
    <t>VEGAS DEL PARQUE</t>
  </si>
  <si>
    <t>INFORME ARRIENDOS ZONA LA ESTRELLA - ITAGUI – DICIEMBRE 2021</t>
  </si>
  <si>
    <t>EDIFICIO SANTACATALINA 205</t>
  </si>
  <si>
    <t>BRISAS DE MARIA 502</t>
  </si>
  <si>
    <t>CLARO VERDE 203</t>
  </si>
  <si>
    <t>SIERRA MORENA 1620</t>
  </si>
  <si>
    <t>ROMAZINO 805</t>
  </si>
  <si>
    <t>CAPELLA 811</t>
  </si>
  <si>
    <t>AGUAS DEL BOSQUE 1518</t>
  </si>
  <si>
    <t>FRONTERAS DEL SUR 1604</t>
  </si>
  <si>
    <t>CEIBAZUL 403</t>
  </si>
  <si>
    <t>FLORES DEL CAMPO 230</t>
  </si>
  <si>
    <t>RESERVA DEL BOSQE 1410</t>
  </si>
  <si>
    <t>HUNGRIA 1718</t>
  </si>
  <si>
    <t>ORION 913</t>
  </si>
  <si>
    <t>JARDINES DE LA HACIENDA 813</t>
  </si>
  <si>
    <t>ALDEA DEL SUR 1903</t>
  </si>
  <si>
    <t>BOSQUE DE SURAMERICA 107</t>
  </si>
  <si>
    <t>CALLE 76 SUR N° 54 B - 30</t>
  </si>
  <si>
    <t>TORRES DE BARCELONA 819</t>
  </si>
  <si>
    <t>JARDINES DE LA HACIENDA 813 - 800.000</t>
  </si>
  <si>
    <t>SAGRADO CORAZON 201 - 1.150.000</t>
  </si>
  <si>
    <t>INQUILINO NO DESEA TOMAR EL APTO</t>
  </si>
  <si>
    <t>ORION 1709 1.100.000</t>
  </si>
  <si>
    <t>DEUDOR NO QUIZO FIRMAR EL CONTRATO</t>
  </si>
  <si>
    <t>AGUAS DEL BOSQUE 1518 - 1.400.000</t>
  </si>
  <si>
    <t>INQUILINO NO ENVIA DEUDOR</t>
  </si>
  <si>
    <t>BOSQUE GRANDE 423 - 1.650.000</t>
  </si>
  <si>
    <t>ARBOLEDA DE LA ESTRELLA 1706</t>
  </si>
  <si>
    <t>ROMAZINO 506</t>
  </si>
  <si>
    <t>ORION 1811</t>
  </si>
  <si>
    <t>TV 34 SUR 33 53 AP 301 PI 3</t>
  </si>
  <si>
    <t>PACIFICA 2511</t>
  </si>
  <si>
    <t>POLARIS 1115 - 1.280.000</t>
  </si>
  <si>
    <t>PROPIETARIA NO ENVIO DOCUMENTOS</t>
  </si>
  <si>
    <t>AGUAS DEL BOSQUE 201- 1.250.000</t>
  </si>
  <si>
    <t>PROPIETARIO LO ARRENDO CON OTRA INMOBILIARIA</t>
  </si>
  <si>
    <t>PACIFICA 1611</t>
  </si>
  <si>
    <t xml:space="preserve">ALTOS DE SURAMERICA 1404 </t>
  </si>
  <si>
    <t>PACIFICA 1012</t>
  </si>
  <si>
    <t>PACIFICA 814</t>
  </si>
  <si>
    <t>RESERVAS DE PRADO 426 - 1.000.000</t>
  </si>
  <si>
    <t>TUKANA 1201</t>
  </si>
  <si>
    <t>BAHIA GRANDE 1406</t>
  </si>
  <si>
    <t>ORION 1205</t>
  </si>
  <si>
    <t>CALLE 75 AA SUR N° 62 A -66 INT 201</t>
  </si>
  <si>
    <t>CALLE 34 A N° 55 – 5</t>
  </si>
  <si>
    <t>POLARIS 1012 -1.200.000</t>
  </si>
  <si>
    <t>ORION 1709 - 1.100.000</t>
  </si>
  <si>
    <t>INQUILINO DE ENVIO DEUDOR</t>
  </si>
  <si>
    <t>SAGRADO CORAZON PTE INMUEBLE 1.300.000</t>
  </si>
  <si>
    <t>INQUILINO DE DESEA CONTINUAR CON EL PROCESO</t>
  </si>
  <si>
    <t>CIUDADELA DEL VALLE 742</t>
  </si>
  <si>
    <t>INFORME ARRIENDOS ZONA LA ESTRELLA - ITAGUI – ENERO 2022</t>
  </si>
  <si>
    <t>20+6</t>
  </si>
  <si>
    <t> 12923</t>
  </si>
  <si>
    <t>MANANTIALES DE SURAMERICA 2003</t>
  </si>
  <si>
    <t>CEIBAZUL 1504</t>
  </si>
  <si>
    <t>AQUAVENTO 409</t>
  </si>
  <si>
    <t>SIERRA MORENA 2017</t>
  </si>
  <si>
    <t>POBLADO DEL SUR 112</t>
  </si>
  <si>
    <t>CEIBAZUL 102</t>
  </si>
  <si>
    <t>FLORES DEL CAMPO 1612</t>
  </si>
  <si>
    <t>AQUAVENTO 414</t>
  </si>
  <si>
    <t>CACTUS 1405</t>
  </si>
  <si>
    <t>LA SIERRA CASA 40</t>
  </si>
  <si>
    <t xml:space="preserve">MANTIA 601  </t>
  </si>
  <si>
    <t>PACIFICA 911</t>
  </si>
  <si>
    <t>PACIFICA 1109</t>
  </si>
  <si>
    <t>CEIBAZUL 406</t>
  </si>
  <si>
    <t>CIUDADELA DEL PARQUE 1821</t>
  </si>
  <si>
    <t>VICTOR LAURELES</t>
  </si>
  <si>
    <t>HUNGRIA 1808</t>
  </si>
  <si>
    <t>CACTUS 2102</t>
  </si>
  <si>
    <t>FELICITY 412</t>
  </si>
  <si>
    <t>SIERRA MORENA 1719 - 1.100.000</t>
  </si>
  <si>
    <t>FIORI - 1.400.000</t>
  </si>
  <si>
    <t>INQUILINA NO ESPERA EL APTO</t>
  </si>
  <si>
    <t>CASA PRADOS DEL SOL 201 - 1.100.0000</t>
  </si>
  <si>
    <t>INQUILINA NO DESEA TOMARLO POR LA UBICACION</t>
  </si>
  <si>
    <t>PRADOS DEL SOL 201 - 1.100.000</t>
  </si>
  <si>
    <t>INQUILINA NO TIENE QUIEN LE TRANSPORTE LA BEBE PORQUE EL TRANSPORTE NO TIENE COBERTURA</t>
  </si>
  <si>
    <t xml:space="preserve">BAHIA GRANDE 2706 </t>
  </si>
  <si>
    <t xml:space="preserve">AQUAVENTO 414 </t>
  </si>
  <si>
    <t>AGUAS DEL BOSQUE 401</t>
  </si>
  <si>
    <t>ALDEA DEL SUR 1801</t>
  </si>
  <si>
    <t>ENTREBOSQUES 1616</t>
  </si>
  <si>
    <t>ALEJANDRA LAUR</t>
  </si>
  <si>
    <t>FIORI VITA 1505</t>
  </si>
  <si>
    <t xml:space="preserve">ROMAZINO 1407 </t>
  </si>
  <si>
    <t>ENTREBOSQUES 2601 - 1.550.000</t>
  </si>
  <si>
    <t>INQUILINA NO ESPERA EL APTO PARA FIN DE MES</t>
  </si>
  <si>
    <t>ROMAZINO 214 - 1.450.000</t>
  </si>
  <si>
    <t>PROPIETARIO LO ARRENDO CON LA INMOBILIARIA QUE ESTABA</t>
  </si>
  <si>
    <t>20+4</t>
  </si>
  <si>
    <t>RESERVA DEL BOSQUE 2812</t>
  </si>
  <si>
    <t>PACIFICA 1405</t>
  </si>
  <si>
    <t>SENDERO VERDE 320</t>
  </si>
  <si>
    <t>CASTELLI 202</t>
  </si>
  <si>
    <t>RESERVA DE PRADO 522</t>
  </si>
  <si>
    <t>RESERVA DE PRADO 307</t>
  </si>
  <si>
    <t>PACIFICA 812</t>
  </si>
  <si>
    <t>PACIFICA 2802</t>
  </si>
  <si>
    <t>CACTUS TORRE DOS 2101</t>
  </si>
  <si>
    <t xml:space="preserve">RESERVA DEL PRADO 418 </t>
  </si>
  <si>
    <t xml:space="preserve">RESERVA DEL PRADO 802 </t>
  </si>
  <si>
    <t>JARDINES DE LA HACIENDA 1003</t>
  </si>
  <si>
    <t>SIERRA MORENA 1423 - 1.100.000</t>
  </si>
  <si>
    <t>INQUILINO NO DESEA TOMAR EL INMUEBLE PORQUE NO HA TERMINADO CONTRARTO DONDE ESTA</t>
  </si>
  <si>
    <t>CARRERA 48 # 88-24 PISO 2 - 1.1700.000</t>
  </si>
  <si>
    <t>CLIENTE NO PRESENTA DEUDOR</t>
  </si>
  <si>
    <t>HUNGRIA 1808 - 1.600.000</t>
  </si>
  <si>
    <t>CLIENTE NO DESEA PASARCCE POR LAS ZONAS COMUNES</t>
  </si>
  <si>
    <t>PACIFICA 2016 1.400.000</t>
  </si>
  <si>
    <t>PROPIETARIO DESEA POR COLOCACION SOLO CON EL 25%</t>
  </si>
  <si>
    <t>ROBLEDALES ETAPA 1 CASA 234</t>
  </si>
  <si>
    <t> 12910</t>
  </si>
  <si>
    <t>CARRERA 48 # 88-24 PISO 2</t>
  </si>
  <si>
    <t>PRADOS DEL SOL INT 201</t>
  </si>
  <si>
    <t>QUINTA ESTRELLA  1603</t>
  </si>
  <si>
    <t>DEISSTIO</t>
  </si>
  <si>
    <t>LOCAL - 550.000</t>
  </si>
  <si>
    <t>PROPIETARIA LO ARRIENDA DIRECTO</t>
  </si>
  <si>
    <t>SIERRA MORENA 2017 - 1.100.000</t>
  </si>
  <si>
    <t>CLIENTE NO DESEA TOMARLO VIO OTRO MAS ENCOMIC</t>
  </si>
  <si>
    <t>ORION 701 - 980.000</t>
  </si>
  <si>
    <t>CLIENTE DESISTE DEL ESTUDIO</t>
  </si>
  <si>
    <t>ARBOLEDA DE LA ESTRELLA 907 - 1.200.000</t>
  </si>
  <si>
    <t>PROPIETARIA NO DESEA ARRENDAR EL INMUEBLE</t>
  </si>
  <si>
    <t>INFORME ARRIENDOS ZONA LA ESTRELLA - ITAGUI – FEBRERO 2022</t>
  </si>
  <si>
    <t>SIERRA MORENA 720</t>
  </si>
  <si>
    <t xml:space="preserve">SENDEROS DE SURAMERICA 608 </t>
  </si>
  <si>
    <t>CACTUS TORRE DOS 2104 - SUBROGACION</t>
  </si>
  <si>
    <t>JARDINES DE LA HACIENDA 1106</t>
  </si>
  <si>
    <t>SIERRA MORENA 1204</t>
  </si>
  <si>
    <t>AQUAVENTO 912</t>
  </si>
  <si>
    <t>ROMAZINO 1315</t>
  </si>
  <si>
    <t>MIRADOR DE LA HACIENDA 1614</t>
  </si>
  <si>
    <t>FIORI VITA 801</t>
  </si>
  <si>
    <t>VILLA TERRA 1605</t>
  </si>
  <si>
    <t>CASA JARDIN 30</t>
  </si>
  <si>
    <t>SENDEROS DEL BOSQUE 813</t>
  </si>
  <si>
    <t>VILLA SOL 1529</t>
  </si>
  <si>
    <t>VILLA DEL BOSQUE 1225</t>
  </si>
  <si>
    <t>CALLE 76 A SUR N° 55 -41 ALAMEDA CASA 101</t>
  </si>
  <si>
    <t>COLINA DE ASIS 1122</t>
  </si>
  <si>
    <t xml:space="preserve">VILLATERRA 2202 </t>
  </si>
  <si>
    <t>CACTUS TORRE 2 901</t>
  </si>
  <si>
    <t>ORION 709 - 900.000</t>
  </si>
  <si>
    <t>SIERRA MORENA 821</t>
  </si>
  <si>
    <t>ARTURO</t>
  </si>
  <si>
    <t>SIERRA MORENA 610</t>
  </si>
  <si>
    <t>ROMAZINO 305</t>
  </si>
  <si>
    <t>ALDEA DEL SUR 1510</t>
  </si>
  <si>
    <t>AGUAS DEL BOSQUE 1918 - 1450.000</t>
  </si>
  <si>
    <t>PROPIETARIA ARRENDO CON LA MISMA INMOBILIARIA QUE TENIA EL APTO</t>
  </si>
  <si>
    <t>APARTAESTUDIO FERRERIA - 750.000</t>
  </si>
  <si>
    <t>INQUILINA TUVO UNA CALAMIDAD FAMILIAR Y DESISTE</t>
  </si>
  <si>
    <t>SENDEROS DEL BOSQUE - 1.500.000</t>
  </si>
  <si>
    <t>SIERRA MOREN 720</t>
  </si>
  <si>
    <t> 13401</t>
  </si>
  <si>
    <t>LA COLINA DE ASIS 230</t>
  </si>
  <si>
    <t>KIWI 1707</t>
  </si>
  <si>
    <t>PACIFICA 905</t>
  </si>
  <si>
    <t>BAHIA GRANDE 1906</t>
  </si>
  <si>
    <t>PACIFICA 2812</t>
  </si>
  <si>
    <t>JARDINES DE LA HACIENDA 603</t>
  </si>
  <si>
    <t>SENDEROS DEL BOSQUE 2006</t>
  </si>
  <si>
    <t>RESERVA DEL PRADO 315</t>
  </si>
  <si>
    <t>VILLA VERDE 430</t>
  </si>
  <si>
    <t>PACIFICA 2416</t>
  </si>
  <si>
    <t>VILLA VERDE 1528</t>
  </si>
  <si>
    <t>CIUDADELA DEL PARQUE 2024</t>
  </si>
  <si>
    <t>CACTUS TORRE 1 605</t>
  </si>
  <si>
    <t>DESISITIO</t>
  </si>
  <si>
    <t>KIWI 1707 -1.300.000</t>
  </si>
  <si>
    <t>NO CONTINUO CON EL ESTUDIO</t>
  </si>
  <si>
    <t>CALLE 36 A N° 40 - 66 CASA SAN JOSE  - 950.000</t>
  </si>
  <si>
    <t>INQUILINO NO LE GUSTO EL APTO PORQUE SOLO TIENE 1 BAÑO</t>
  </si>
  <si>
    <t>PORTON DE LA HACIENDA 807 - 800.000</t>
  </si>
  <si>
    <t>INQUILINA NO DESEA TOMARLO PORQUE DESEA MAS CENTRAL</t>
  </si>
  <si>
    <t>CAPELLA 1918</t>
  </si>
  <si>
    <t>FRONTERA DE SURAMERICA 103</t>
  </si>
  <si>
    <t>ALDEA DEL SUR 1010</t>
  </si>
  <si>
    <t>VERDE VIVO 804</t>
  </si>
  <si>
    <t>BAHIA GRANDE 1804</t>
  </si>
  <si>
    <t>DERLY AREIZA</t>
  </si>
  <si>
    <t>SIERRA MORENA 1103 - 900.000</t>
  </si>
  <si>
    <t>CALLE 76 A SUR N° 55 -41 ALAMEDA CA 101</t>
  </si>
  <si>
    <t xml:space="preserve">ORION 709 </t>
  </si>
  <si>
    <t>INFORME ARRIENDOS ZONA LA ESTRELLA - ITAGUI – MARZO 2022</t>
  </si>
  <si>
    <t>VILLATERRA 2002</t>
  </si>
  <si>
    <t>CEIBAZUL 801</t>
  </si>
  <si>
    <t> 13422</t>
  </si>
  <si>
    <t>POLARIS 711</t>
  </si>
  <si>
    <t>PIZARRA 1511</t>
  </si>
  <si>
    <t>SIERRA MORENA 1424</t>
  </si>
  <si>
    <t>MONTECASTELLO 401</t>
  </si>
  <si>
    <t>CIUDADELA DEL VALLE 1701</t>
  </si>
  <si>
    <t>SIERRA MORENA 1301</t>
  </si>
  <si>
    <t>AQUAVENTO 1405</t>
  </si>
  <si>
    <t>SUEÑOS DE TAMPA 503</t>
  </si>
  <si>
    <t>CIUDADELA VILLA DEL BOSQUE 2019</t>
  </si>
  <si>
    <t>CARRERA 56 BB N° 83 D SUR - 6</t>
  </si>
  <si>
    <t>BOSQUES DE SURAMERICA 302</t>
  </si>
  <si>
    <t>FRONTERAS DEL SUR 512</t>
  </si>
  <si>
    <t>ARIZA 1808 - 1.600.000</t>
  </si>
  <si>
    <t>CLIENTE DICE QUE EN EL APTO NO LE CABE LA BIBLIOTECA</t>
  </si>
  <si>
    <t>SIERRA MORENA 718 - 1.200.000</t>
  </si>
  <si>
    <t>CLIENTE NO VOLVIO A CONTESTA EL TELEFONO</t>
  </si>
  <si>
    <t>CEIBAZUL 801 -1.450.000</t>
  </si>
  <si>
    <t>CLIENTE DESISTE PORQUE NO LE CABE LA LAVADORA</t>
  </si>
  <si>
    <t>CIUDADELA DEL PARQUE 2126</t>
  </si>
  <si>
    <t>VIRTUAL</t>
  </si>
  <si>
    <t>CALLE 31 N° 43-43 INT 201 CASA SAN PIO</t>
  </si>
  <si>
    <t>SIERRA MORENA 1806</t>
  </si>
  <si>
    <t>CIUDADELA DEL PARQUE 2327</t>
  </si>
  <si>
    <t>VILLA JARDIN 409</t>
  </si>
  <si>
    <t>VILLA SOL 1603</t>
  </si>
  <si>
    <t>JUAN PABLO V</t>
  </si>
  <si>
    <t>CIUDADELA DEL VALLE 1214</t>
  </si>
  <si>
    <t xml:space="preserve">PORTON DE LA HACIENDA 807 </t>
  </si>
  <si>
    <t>PACIFICA 1707</t>
  </si>
  <si>
    <t>RESERVA DE PRADO 9911</t>
  </si>
  <si>
    <t>CARRERA 62 B N° 24 A - 67 -  CASA BARILOCHE</t>
  </si>
  <si>
    <t>CIUDADELA DEL PARQUE 915</t>
  </si>
  <si>
    <t>SENDERO VERDE 116</t>
  </si>
  <si>
    <t>CIUDADELA DEL PARQUE 2423</t>
  </si>
  <si>
    <t>KIWI 705</t>
  </si>
  <si>
    <t>COLINA DE ASIS 230</t>
  </si>
  <si>
    <t>VILLATERRA 1402</t>
  </si>
  <si>
    <t>PACIFICA 1009</t>
  </si>
  <si>
    <t>RESERVA DEL PRADO 315 - 1.100.000</t>
  </si>
  <si>
    <t>CLENTE  NO DESEA TOMARLO POR LA UBICACION</t>
  </si>
  <si>
    <t>RESERVA DE PRADO 9911 - 1.100.000</t>
  </si>
  <si>
    <t xml:space="preserve">ALDEA DEL SUR 1410 </t>
  </si>
  <si>
    <t>VILLA REAL CASA 101 - 31-33</t>
  </si>
  <si>
    <t>CALLE 65 N° 58 – 45 AP 301</t>
  </si>
  <si>
    <t>QUINTA ESTRELLA 402</t>
  </si>
  <si>
    <t>AGUAS DEL BOSQUE 119</t>
  </si>
  <si>
    <t>AQUAVENTO 405 1.250.000</t>
  </si>
  <si>
    <t>CLIENTE NO LE GUSTO EL SECTOR</t>
  </si>
  <si>
    <t>ARRIENDOS TOMAS CARDONA</t>
  </si>
  <si>
    <t>CALLE 8 SUR N° 58-31 CASA 101 -1.200.000</t>
  </si>
  <si>
    <t>TOMAS</t>
  </si>
  <si>
    <t>PROPIETARIA LO ARRIENDA CON OTRA INMOB</t>
  </si>
  <si>
    <t>INFORME ARRIENDOS ZONA LA ESTRELLA - ITAGUI – ABRIL 2022</t>
  </si>
  <si>
    <t>FLORES DEL CAMPO 1727</t>
  </si>
  <si>
    <t>VILLATERRA 1705</t>
  </si>
  <si>
    <t>ARIZA 1808</t>
  </si>
  <si>
    <t>RIVERA DE SURAMERICA 2612</t>
  </si>
  <si>
    <t>CALLE 24 N° 61-70 - CASA BARILOCHE</t>
  </si>
  <si>
    <t>ARBOLEDA DE LA ESTRELLA 1305</t>
  </si>
  <si>
    <t>FRONTERA DEL SUR 414</t>
  </si>
  <si>
    <t>AQUAVENTO 405</t>
  </si>
  <si>
    <t>FRONTERA DEL SUR 1807</t>
  </si>
  <si>
    <t>FLORES DEL CAMPO 1607</t>
  </si>
  <si>
    <t>BAHIA GRANDE 709</t>
  </si>
  <si>
    <t>FRONTERA DEL SUR 1304</t>
  </si>
  <si>
    <t>CACTUS 1601</t>
  </si>
  <si>
    <t>ORION 1913</t>
  </si>
  <si>
    <t>DEISISTIO</t>
  </si>
  <si>
    <t>CEIBAZUL 501 - 1.700.000</t>
  </si>
  <si>
    <t>INQUILINA DESIDE BUSCAR EN MEDELLIN</t>
  </si>
  <si>
    <t>ORION 1913 - 1.700.000</t>
  </si>
  <si>
    <t>SIERRA MORENA 1609</t>
  </si>
  <si>
    <t>CIUDADELA DEL VALLE 1805</t>
  </si>
  <si>
    <t>CIUDADELA DEL PARQUE 1225</t>
  </si>
  <si>
    <t>RESERVA DEL PRADO 9925</t>
  </si>
  <si>
    <t>COLINA DE ASIS 1229</t>
  </si>
  <si>
    <t>ALEJANDRO OCAMPO COLORES</t>
  </si>
  <si>
    <t>SENDERO VERDE 757</t>
  </si>
  <si>
    <t>COLINA VERDE 503 EMPALME</t>
  </si>
  <si>
    <t>RESERVA DEL PRADO 318</t>
  </si>
  <si>
    <t>JARDINES DE LA HACIENDA 1211</t>
  </si>
  <si>
    <t>CALLE 63 N° 44-74 AP 202 SIMON BOLIVAR</t>
  </si>
  <si>
    <t>JUAN URREA SABANETA</t>
  </si>
  <si>
    <t>RESERVA DEL BOSQUE 513</t>
  </si>
  <si>
    <t>BAHIA GRANDE 1705</t>
  </si>
  <si>
    <t>CIUDADELA DEL VALLE 845</t>
  </si>
  <si>
    <t>EDIFICIO SANFER 302</t>
  </si>
  <si>
    <t>ZANETTI 1709 - 1.650.000</t>
  </si>
  <si>
    <t>ZANETTI 1309 - 1.700.000</t>
  </si>
  <si>
    <t>VILLANOVA 303 SUBROGACION</t>
  </si>
  <si>
    <t>RESERVA DEL PRADO 9707 SUBROGACION</t>
  </si>
  <si>
    <t>DESISTO</t>
  </si>
  <si>
    <t>RESERVA DEL PRADO 9707 - 850.000 SUBROGACION</t>
  </si>
  <si>
    <t>TOMADORA DESISTE PORQUE ESTA HACIENDO UN FAVOR</t>
  </si>
  <si>
    <t>CAPELLA 524 SUBROGACION - 1.300.000</t>
  </si>
  <si>
    <t>CLIENTE NO VOLVIO A CONTESTAR</t>
  </si>
  <si>
    <t>ROMAZINO 1410</t>
  </si>
  <si>
    <t>CAPELLA 1618</t>
  </si>
  <si>
    <t>AGUAS DEL BOSQUE 502</t>
  </si>
  <si>
    <t>CAPELLA 524 SUBROGACION</t>
  </si>
  <si>
    <t>AGUAS DEL BOSQUE 403 - 1.500.000</t>
  </si>
  <si>
    <t>PROPIETARIA LO ARRENDÓ DIRECTO</t>
  </si>
  <si>
    <t>ARRIENDOS JOHN ESTIVEN CANO</t>
  </si>
  <si>
    <t>VILLANOVA 302 SUBROGACION - 1.150.000</t>
  </si>
  <si>
    <t xml:space="preserve">CAPELLA 524 SUBROGACION </t>
  </si>
  <si>
    <t>INFORME ARRIENDOS ZONA LA ESTRELLA - ITAGUI – MAYO 2022</t>
  </si>
  <si>
    <t>4+2</t>
  </si>
  <si>
    <t>AQUAVENTO 906</t>
  </si>
  <si>
    <t>FELICITY 1513</t>
  </si>
  <si>
    <t>CARRERA 64 B N° 33 – 34 CASA TRIANA</t>
  </si>
  <si>
    <t>MANANTIALES DE SURAMERICA 2001</t>
  </si>
  <si>
    <t>PORTAL DE LA ESTRELLA 1104</t>
  </si>
  <si>
    <t>APARTAESTUDIO LA FERRERIA - 750.000</t>
  </si>
  <si>
    <t>CLIENTE NO DESEA TOMARLO POR LA UBICACION</t>
  </si>
  <si>
    <t>CALLE 39 SUR N° 81 - 66 - CASA SAN ANTONIO</t>
  </si>
  <si>
    <t>CIUDADELA DEL PARQUE 2224</t>
  </si>
  <si>
    <t>VILLA VERDE 1721</t>
  </si>
  <si>
    <t>CARRERA 66 N° 63 -30 AP 301</t>
  </si>
  <si>
    <t>PACIFICA 1113</t>
  </si>
  <si>
    <t>CASA SAN JOSE</t>
  </si>
  <si>
    <t>RESERVA DEL BOSQUE 1912</t>
  </si>
  <si>
    <t>SIERRA MORENA 714</t>
  </si>
  <si>
    <t>CALLE 53 SUR N° 70-104</t>
  </si>
  <si>
    <t>FELICITY 414 - 950.000</t>
  </si>
  <si>
    <t>VILLA VERDE 2024</t>
  </si>
  <si>
    <t>VERONICA</t>
  </si>
  <si>
    <t>BOUNAROTI 802</t>
  </si>
  <si>
    <t>ZANETTI 2511</t>
  </si>
  <si>
    <t>CIUDADELA DEL VALLE 1807</t>
  </si>
  <si>
    <t>MAR DE PLATA CASA 086</t>
  </si>
  <si>
    <t>RESERVA DEL PRADO 417 - 1.100.000</t>
  </si>
  <si>
    <t>PROPIETARIO LO ARRENDO DIRECTO</t>
  </si>
  <si>
    <t>RESERVA DEL PRADO 9701 - 900.000</t>
  </si>
  <si>
    <t>A LA ESPOSAN DEL CLIENTE NO LE GUSTO EL SECTOR</t>
  </si>
  <si>
    <t>SENDERO VERDE 315 EMPALME 1.250.000</t>
  </si>
  <si>
    <t>ARBOLEDA DE LA ESTRELLA 1607</t>
  </si>
  <si>
    <t>FLORES DEL CAMPO 1009</t>
  </si>
  <si>
    <t>ORION 1608</t>
  </si>
  <si>
    <t>FLORES DEL CAMPO 619</t>
  </si>
  <si>
    <t>AGUAS DEL BOSQUE 1603</t>
  </si>
  <si>
    <t>ARBOLEDA DE LA ESTRELLA 1701</t>
  </si>
  <si>
    <t>HUNGRIA 1905</t>
  </si>
  <si>
    <t>JUAN PABLO VILLA</t>
  </si>
  <si>
    <t>FIORI 701 - 1.600.000</t>
  </si>
  <si>
    <t>INQUILINA NO FIRMA CONTRATO</t>
  </si>
  <si>
    <t>3+2</t>
  </si>
  <si>
    <t>SENDERO VERDE 315 - 1.250.000</t>
  </si>
  <si>
    <t>NO LE GUSTO LA UBICACION</t>
  </si>
  <si>
    <t>ARRIENDOS ALEJANDRO VILLAGAS</t>
  </si>
  <si>
    <t>8+2</t>
  </si>
  <si>
    <t>JARDINES DEL SUR 411</t>
  </si>
  <si>
    <t>ALEJANDRO</t>
  </si>
  <si>
    <t>LOMA LINDA 1808</t>
  </si>
  <si>
    <t>FIORI VITA 701</t>
  </si>
  <si>
    <t>FELICITY 414</t>
  </si>
  <si>
    <t>FRONTERA DEL SUR 1212</t>
  </si>
  <si>
    <t>POLARIS 1714 EMPALME</t>
  </si>
  <si>
    <t>EMPALME</t>
  </si>
  <si>
    <t>VILLA DEL PARQUE 2108</t>
  </si>
  <si>
    <t>CAMILA</t>
  </si>
  <si>
    <t>NEGOCIO DE ALEJANDRO Y CAMILA ASESORES DE COLORES</t>
  </si>
  <si>
    <t>PACIFICA 1104</t>
  </si>
  <si>
    <t>INFORME ARRIENDOS ZONA LA ESTRELLA - ITAGUI –JUNIO 2022</t>
  </si>
  <si>
    <t>CIUDADELA DEL PARQUE 1321</t>
  </si>
  <si>
    <t>BOSQUE GRANDE 721</t>
  </si>
  <si>
    <t>LA HORTENSIA 517</t>
  </si>
  <si>
    <t>RESERVA DE PRADO 9701</t>
  </si>
  <si>
    <t>RESERVA DE PRADO 1004</t>
  </si>
  <si>
    <t>PORTAL DE DITAIRES 101</t>
  </si>
  <si>
    <t>SENDERO VERDE 315 EMPALME</t>
  </si>
  <si>
    <t>AIRES DE SAN FRANCISCO 507</t>
  </si>
  <si>
    <t>CR 57 A 69 D 31 EL GUAYABO</t>
  </si>
  <si>
    <t xml:space="preserve"> CARRERA 67 N° 51 A SUR - 7 INT 301</t>
  </si>
  <si>
    <t>SANTIAGO SABANE</t>
  </si>
  <si>
    <t>CIUDELA DEL PARQUE 2127</t>
  </si>
  <si>
    <t>PACIFICA 1211 EMPALME</t>
  </si>
  <si>
    <t>VILLA VERDE 1104</t>
  </si>
  <si>
    <t>VILLA VERDE 1029</t>
  </si>
  <si>
    <t>VILLATERRA 602</t>
  </si>
  <si>
    <t>LA RIVIERE 1326 poblado</t>
  </si>
  <si>
    <t>POBLADO</t>
  </si>
  <si>
    <t>VILLATERRA 702</t>
  </si>
  <si>
    <t xml:space="preserve">AGUAS DEL BOSQUE 702 </t>
  </si>
  <si>
    <t>CIUDADADELA DEL PARQUE 2014</t>
  </si>
  <si>
    <t>24+3</t>
  </si>
  <si>
    <t>ARBOLEDA DE LA ESTRELLA 608</t>
  </si>
  <si>
    <t>AGUAS DEL BOSQUE 820</t>
  </si>
  <si>
    <t>ROMAZINO 1704</t>
  </si>
  <si>
    <t>CARRERA 55 B N° 79 BB SUR - 10 ESTLLA DEL SUR</t>
  </si>
  <si>
    <t>CACTUS 1005</t>
  </si>
  <si>
    <t>CAPELLA 510</t>
  </si>
  <si>
    <t>ORION 1612</t>
  </si>
  <si>
    <t>ARBOLEDA DE LA ESTRELLA 1801</t>
  </si>
  <si>
    <t>QUINTA ESTRELLA 902</t>
  </si>
  <si>
    <t xml:space="preserve"> CARRERA 67 N° 51 A SUR - 7 INT 201</t>
  </si>
  <si>
    <t>SANTIAGO SABAN</t>
  </si>
  <si>
    <t>CEIBAZUL 505</t>
  </si>
  <si>
    <t>ALTOS DE SURAMERICA 1605</t>
  </si>
  <si>
    <t>CACTUS 601</t>
  </si>
  <si>
    <t>SIERRA MORENA 1924</t>
  </si>
  <si>
    <t>AGUAS DEL BOSQUE 706</t>
  </si>
  <si>
    <t>AGUAS DEL BOSQUE 2004</t>
  </si>
  <si>
    <t>ESTRELLA DEL SUR  CASA 1.600.000</t>
  </si>
  <si>
    <t>CLIENTE INFIRORMA QUE NO LE CABE EL VEHICULO EN GARAGE</t>
  </si>
  <si>
    <t>QUINTA ESTRELLA 601 - 1.700.000</t>
  </si>
  <si>
    <t>CLIENTE NO PUEDE ESPERAR EL AP, LA PROPIETARIA AUN NO LO DESOCUPA</t>
  </si>
  <si>
    <t>ARRIENDOS JOHN ESTIVEN CANO JUNIO</t>
  </si>
  <si>
    <t>EN FIRMAS</t>
  </si>
  <si>
    <t>LA ESMERALDA 104 - 1.350.000</t>
  </si>
  <si>
    <t>Propietario arrienda con otra inmobiliaria</t>
  </si>
  <si>
    <t>TOTAL COMISION</t>
  </si>
  <si>
    <t>ARRIENDOS ALEJANDRO VILLEGAS</t>
  </si>
  <si>
    <t>17+3</t>
  </si>
  <si>
    <t>CIUDADELA VILLA DEL BOSQUE 1618</t>
  </si>
  <si>
    <t>KIWI 206</t>
  </si>
  <si>
    <t>ARBOLEDA DE LA ESTRELLA 1802</t>
  </si>
  <si>
    <t>VENTTO 503</t>
  </si>
  <si>
    <t>MANZANILLO 1130</t>
  </si>
  <si>
    <t>FUENTE CLARA 1209 EMPALME</t>
  </si>
  <si>
    <t>QUINTA ESTRELLA 1005 - 2.300.000</t>
  </si>
  <si>
    <t>CLIENTE NO DESEA TOMARLO, DICE QUE LE QUEA MUY LEJOS</t>
  </si>
  <si>
    <t>VILLA DEL BOSQUE 224 - 1.000.000</t>
  </si>
  <si>
    <t>CLIENTE NO PUEDE ESPERAR EL TEMA DEL GAS</t>
  </si>
  <si>
    <t>ARRIENDOS MAXIMILIANO ARBOLEDA</t>
  </si>
  <si>
    <t>14+2</t>
  </si>
  <si>
    <t>SIERRA MORENA 2014</t>
  </si>
  <si>
    <t>MAXIMILIANO</t>
  </si>
  <si>
    <t>CEIBAZUL 1404 - 1.600.000</t>
  </si>
  <si>
    <t>CLIENTE INFORMA QUE YA TENIS PROCESO CON OTRA INMOBI</t>
  </si>
  <si>
    <t>ARRIENDOS JUAN DAVID BUSTAMANTE</t>
  </si>
  <si>
    <t>SENDERO VERDE 460</t>
  </si>
  <si>
    <t>JUAN DAVID</t>
  </si>
  <si>
    <t>CARRERA 65 N° 27 – 34 INT 301 SAN FRANCISCO</t>
  </si>
  <si>
    <t>ARRIENDOS ANDRES RESTREPO</t>
  </si>
  <si>
    <t>CARRERA 52 A N° 72 - 90 CASA SANTA MARIA</t>
  </si>
  <si>
    <t>INFORME ARRIENDOS ZONA LA ESTRELLA - ITAGUI –JULIO 2022</t>
  </si>
  <si>
    <t>CIUDADELA DEL PARQUE 827</t>
  </si>
  <si>
    <t>VILLATERRA 1805</t>
  </si>
  <si>
    <t>CIUDADELA DEL PARQUE 1817</t>
  </si>
  <si>
    <t>CARRERA 76 N° 41 SUR -4</t>
  </si>
  <si>
    <t>RESERVA DEL BOSQUE 2614</t>
  </si>
  <si>
    <t>CALLE 31 N° 43-43 INT 202 SAN PIO</t>
  </si>
  <si>
    <t>SENDERO VERDE 748</t>
  </si>
  <si>
    <t>EDIFICIO MIRA 501</t>
  </si>
  <si>
    <t>VILLA DEL CAMPO 1906</t>
  </si>
  <si>
    <t>VILLA VERDE 2201</t>
  </si>
  <si>
    <t>SENDERO VERDE 112</t>
  </si>
  <si>
    <t>RESERVA DEL PRADO 327</t>
  </si>
  <si>
    <t>VIILATERRA 1108</t>
  </si>
  <si>
    <t>CIUDADELA DEL PARQUE 2126 - SUBROGACION</t>
  </si>
  <si>
    <t>VILLA VERDE 705</t>
  </si>
  <si>
    <t>LOCAL COMERCIAL COMPLEX GM 127</t>
  </si>
  <si>
    <t>RESERVA DEL PRADO 9912 - 1.200.000</t>
  </si>
  <si>
    <t>CIUDADELA VILLA DEL BOSQUE 927 - 1.100.000</t>
  </si>
  <si>
    <t>JUAN URREA SABAN</t>
  </si>
  <si>
    <t>JARDINES DE LA HACIENDA 505 - 850.000</t>
  </si>
  <si>
    <t>ORION 909</t>
  </si>
  <si>
    <t>CEIBAZUL 1404</t>
  </si>
  <si>
    <t>FLORES DEL CAMPO 831</t>
  </si>
  <si>
    <t>ARBOLEDA DE LA ESTRELLA 605</t>
  </si>
  <si>
    <t>ALDEA DEL SUR 1113</t>
  </si>
  <si>
    <t>SIERRA MORENA 1311</t>
  </si>
  <si>
    <t>FELICITY 914</t>
  </si>
  <si>
    <t>VIÑA DEL MAR 810</t>
  </si>
  <si>
    <t>AGUAS DEL BOSQUE 1502</t>
  </si>
  <si>
    <t>ORION 702</t>
  </si>
  <si>
    <t>ORION 2009</t>
  </si>
  <si>
    <t>ORION 907</t>
  </si>
  <si>
    <t>ALTOS DE MANANTIALES 1102 - 1.600.000</t>
  </si>
  <si>
    <t>PROPIETARIO VENDIO EL INMUEBLE</t>
  </si>
  <si>
    <t>CLIENTE NO ESPERA EL APTO</t>
  </si>
  <si>
    <t>CACTUS 905 - 1.900.000</t>
  </si>
  <si>
    <t>PROPIETARIA NO ESTA DE SWCUERDO CON EL CONTRATO</t>
  </si>
  <si>
    <t>ORION 2009 1.150.000</t>
  </si>
  <si>
    <t>5+3</t>
  </si>
  <si>
    <t>SENDERO DEL BOSQUE 803</t>
  </si>
  <si>
    <t>PANORAMA AURAL 1310</t>
  </si>
  <si>
    <t>AIRES DE DITAIRES 502</t>
  </si>
  <si>
    <t>CEIBAZUL 1705</t>
  </si>
  <si>
    <t>FELICITY 1506</t>
  </si>
  <si>
    <t>CALLE 29 AA N° 56 A -22 LA FINQUITA</t>
  </si>
  <si>
    <t>CIUDADELA VILLA DE BOSQUE 224 - 1.000.000</t>
  </si>
  <si>
    <t>CLIENTE NO DESEA TOMARLO</t>
  </si>
  <si>
    <t>RESERVA DEL PRADO 1102 - 1.000.000</t>
  </si>
  <si>
    <t>PROPIETARIO NO FIRMA EL CONTRATO</t>
  </si>
  <si>
    <t>SIERRA MORENA 822</t>
  </si>
  <si>
    <t>ALTOS DE SURAMERICA 503</t>
  </si>
  <si>
    <t>CEIBAZUL 604</t>
  </si>
  <si>
    <t>CAPELLA 1109 SUBROGACION</t>
  </si>
  <si>
    <t>ZANETTI 2028 SUBROGACION</t>
  </si>
  <si>
    <t>GUAYACANES DEL SUR 2303</t>
  </si>
  <si>
    <t>CALLE 24 N° 61 - 52 SAN FRANCISCO</t>
  </si>
  <si>
    <t>VILLA DEL CAMPO 816</t>
  </si>
  <si>
    <t>ALEXANDER POBL</t>
  </si>
  <si>
    <t>ZANETTI 314 - 1.700.000</t>
  </si>
  <si>
    <t>VILLA VERDE 804</t>
  </si>
  <si>
    <t>SENDERO VERDE 611</t>
  </si>
  <si>
    <t>GUAYACANES DEL SUR 2006</t>
  </si>
  <si>
    <t>SENDERO VERDE 710</t>
  </si>
  <si>
    <t>SENDERO VERDE 705</t>
  </si>
  <si>
    <t>SENDERO VERDE 1211</t>
  </si>
  <si>
    <t>VIÑA DEL MAR 2.150.000</t>
  </si>
  <si>
    <t>.</t>
  </si>
  <si>
    <t>CLIENTE DESISTE PORQUE EL APTO NO LO REBAJAN</t>
  </si>
  <si>
    <t>ARBOLEDA DE SAN ANTONIO 308</t>
  </si>
  <si>
    <t>TOAL</t>
  </si>
  <si>
    <t>SIERRA MORENA 1911- REUBICACION</t>
  </si>
  <si>
    <t>DANIEL RESTREPO</t>
  </si>
  <si>
    <t>INFORME ARRIENDOS ZONA LA ESTRELLA - ITAGUI –AGOSTO 2022</t>
  </si>
  <si>
    <t xml:space="preserve">VILLA VERDE 128 </t>
  </si>
  <si>
    <t>BUONAROTTI 602</t>
  </si>
  <si>
    <t xml:space="preserve">VILLA VERDE 1004 </t>
  </si>
  <si>
    <t>EDISSÓN</t>
  </si>
  <si>
    <t xml:space="preserve">MIRADOR DDE LA HACIENDA </t>
  </si>
  <si>
    <t xml:space="preserve">EDISSÓN </t>
  </si>
  <si>
    <t xml:space="preserve">VERONICA </t>
  </si>
  <si>
    <t>RESERVA DEL BOSQUE 1908</t>
  </si>
  <si>
    <t>VIILA VERDE 506</t>
  </si>
  <si>
    <t>SENDERO VERDE 659</t>
  </si>
  <si>
    <t>EDIFICIO CEIBA 402</t>
  </si>
  <si>
    <t>ALEJANDRO OC COL</t>
  </si>
  <si>
    <t>VILLA VERDE 1031 - EMPALME</t>
  </si>
  <si>
    <t>RESERVAS DE PRADO 109</t>
  </si>
  <si>
    <t>CALLE 85 N° 57-6 INT 201</t>
  </si>
  <si>
    <t>RESERVAS DE PRADO 102- 1.200.000</t>
  </si>
  <si>
    <t>15+1</t>
  </si>
  <si>
    <t>FELICITY 1205</t>
  </si>
  <si>
    <t>FLORES DEL CAMPO 1303 - 1.000.000</t>
  </si>
  <si>
    <t xml:space="preserve">FLORES DEL CAMPO 423 </t>
  </si>
  <si>
    <t>ORION 214</t>
  </si>
  <si>
    <t xml:space="preserve">FELICITY 701  </t>
  </si>
  <si>
    <t xml:space="preserve">CARRERA 68 N° 63 - 44 INT 301 </t>
  </si>
  <si>
    <t xml:space="preserve">CAPELLA 611 </t>
  </si>
  <si>
    <t>GERLIX COLORES</t>
  </si>
  <si>
    <t xml:space="preserve">FRONTERAS DEL SUR 410 </t>
  </si>
  <si>
    <t>SENDERO DEL BOSQUE 1311 SUBROGACION</t>
  </si>
  <si>
    <t>FLORES DEL CAMPO 433 - 1.150.000</t>
  </si>
  <si>
    <t>ORION 214 - 1.700.000</t>
  </si>
  <si>
    <t>BARICHARA - 980.000</t>
  </si>
  <si>
    <t>QUINTAS DE SAUSALITO CASA 153 - 2.800.000</t>
  </si>
  <si>
    <t>INQUILINO NO DESEA TOMAR LA CASA</t>
  </si>
  <si>
    <t>16+5</t>
  </si>
  <si>
    <t xml:space="preserve">CAPELLA 2003 </t>
  </si>
  <si>
    <t>FELICITY 1905</t>
  </si>
  <si>
    <t>PANORAMA AURAL 305</t>
  </si>
  <si>
    <t>BOSQUES DE SAUCES 1917</t>
  </si>
  <si>
    <t>MATEO SABANET</t>
  </si>
  <si>
    <t>FLORES DEL CAMPO 1303</t>
  </si>
  <si>
    <t>TUKANA 1108 - 1.550.000</t>
  </si>
  <si>
    <t>EDIFICIO SANTA CATALINA 402- 1.600.000</t>
  </si>
  <si>
    <t>CEIBAZUL 1111 - 1.700.000</t>
  </si>
  <si>
    <t>BAHIA GRANDE  - 1.700.000</t>
  </si>
  <si>
    <t>8+3</t>
  </si>
  <si>
    <t>PIEMONTE  CASA 102</t>
  </si>
  <si>
    <t xml:space="preserve">MATEO SABANETA </t>
  </si>
  <si>
    <t xml:space="preserve">CEIBAZUL 107  </t>
  </si>
  <si>
    <t xml:space="preserve">CAMINO DEL VIENTO 1515 </t>
  </si>
  <si>
    <t>FELICITY 1308</t>
  </si>
  <si>
    <t xml:space="preserve">SEBASTIAN  </t>
  </si>
  <si>
    <t>FELICITY 1804</t>
  </si>
  <si>
    <t>EDIFICIO SANTA CATALINA 402</t>
  </si>
  <si>
    <t>QUINTAS DE LA QUINTA CASA 107</t>
  </si>
  <si>
    <t>FLORES DEL CAMPO 329 - 1.100.000</t>
  </si>
  <si>
    <t>QUINTAS DE SAUSALITO CASA - 2.600.000</t>
  </si>
  <si>
    <t xml:space="preserve">SEBASTIAN LOPEZ </t>
  </si>
  <si>
    <t>7+3</t>
  </si>
  <si>
    <t>LOCAL SAN FRANCISCO</t>
  </si>
  <si>
    <t>ENTRE COLINAS 416</t>
  </si>
  <si>
    <t>EDIFICIO MIRA 402</t>
  </si>
  <si>
    <t>GUAYACANES DEL SUR 402</t>
  </si>
  <si>
    <t>RESERVA DEL BOSQUE 1908 - 1.350.000</t>
  </si>
  <si>
    <t xml:space="preserve">cliente desistio, encontro un apartamento mejor </t>
  </si>
  <si>
    <t>EDIFICIO MIRA 402 - 750.000</t>
  </si>
  <si>
    <t xml:space="preserve">cliente no se decide por la zona, prefiere otros lugaras </t>
  </si>
  <si>
    <t>SENDERO VERDE 329 - 1450.000</t>
  </si>
  <si>
    <t xml:space="preserve">PROPIETARIA SE VA CON OTRA INMOBILIARA, TENIA PROCESO ADELANTE </t>
  </si>
  <si>
    <t>LA CEIBA 402 - 1.400.000</t>
  </si>
  <si>
    <t>COLORES</t>
  </si>
  <si>
    <t>CLIENTE DESISTE PORUE NO PUDO CONSEGUIR PARQUEADERO</t>
  </si>
  <si>
    <t>CIUDADELA DEL VALLE 1701 CAMBIO TOMADOR</t>
  </si>
  <si>
    <t>MORATTO 1401  CAMBIO TOMADOR - 1.600.000</t>
  </si>
  <si>
    <t>LUISA QUINTERO</t>
  </si>
  <si>
    <t>INFORME ARRIENDOS ZONA LA ESTRELLA - ITAGUI –SEPTIEMBRE 2022</t>
  </si>
  <si>
    <t>18+4</t>
  </si>
  <si>
    <t>VILLATERRA 2008</t>
  </si>
  <si>
    <t>POLARIS 1414</t>
  </si>
  <si>
    <t>CIUDADELA DEL VALLE 1347</t>
  </si>
  <si>
    <t>CACTUS 1101</t>
  </si>
  <si>
    <t>VILLATERRA 1406</t>
  </si>
  <si>
    <t>FLORES DEL CAMPO 1129</t>
  </si>
  <si>
    <t>VILLA VERDE 105</t>
  </si>
  <si>
    <t>BAHIA GRANDE 808</t>
  </si>
  <si>
    <t>RESERVA DEL BOSQUE 706</t>
  </si>
  <si>
    <t xml:space="preserve">DANIEL  </t>
  </si>
  <si>
    <t>VILLA VERDE 1404</t>
  </si>
  <si>
    <t>RESERVA DEL BOSQUE 1501</t>
  </si>
  <si>
    <t xml:space="preserve">DANIEL   </t>
  </si>
  <si>
    <t>VILLATERRA  501</t>
  </si>
  <si>
    <t>CIUDADELA DEL PARQUE 2223</t>
  </si>
  <si>
    <t>RESERVA DEL BOSQUE 413</t>
  </si>
  <si>
    <t>LAURELES DEL VALLE 1813</t>
  </si>
  <si>
    <t> 15125</t>
  </si>
  <si>
    <t>GUAYACANES DE PRADO 426</t>
  </si>
  <si>
    <t>POLARIS 1414 - 1.200.000</t>
  </si>
  <si>
    <t>INQUILINA NO TOMA PORQUE NO LLE GUSTO EL SECTOR</t>
  </si>
  <si>
    <t>CIUDADELA DEL PARQUE 1926 - 1.800.000</t>
  </si>
  <si>
    <t>PROPIETARIA ARRIENDA CON OTRA INMOBILIARIA</t>
  </si>
  <si>
    <t xml:space="preserve">CAPELLA 218 </t>
  </si>
  <si>
    <t>MANANTIALES DE SURAMERICA 1901</t>
  </si>
  <si>
    <t>CAPELLA 1001</t>
  </si>
  <si>
    <t>CACTUS 1905</t>
  </si>
  <si>
    <t>CASA TOLEDO 3.000.000</t>
  </si>
  <si>
    <t>INQUILINA SE LE RENOVO EL CONTRATO DONDE ESTABA</t>
  </si>
  <si>
    <t>NATIVO 1904 - 1.900.000</t>
  </si>
  <si>
    <t>CLENTE NO VUELVE A CONTESTAR</t>
  </si>
  <si>
    <t>CASA ABEDULES - 4.000.000</t>
  </si>
  <si>
    <t>INQUILINA INFORMA QUE AL PAPA NO LE GUSTÓ LA CASA</t>
  </si>
  <si>
    <t>11+3</t>
  </si>
  <si>
    <t>CALLE 28 A N° 56 B 17 LA FINQUITA 301</t>
  </si>
  <si>
    <t>FELICITY 409</t>
  </si>
  <si>
    <t>AGUAS DEL BOSQUE  1201</t>
  </si>
  <si>
    <t>FEICITY 312</t>
  </si>
  <si>
    <t>RESERVAS DEL PRADO 9814</t>
  </si>
  <si>
    <t>PANORAMA AURAL 711 - 1.150.000</t>
  </si>
  <si>
    <t xml:space="preserve">CAPELLA 603 </t>
  </si>
  <si>
    <t>GUADUALES 407</t>
  </si>
  <si>
    <t>ALTOS DE SURAMERICA 505 SUBROGACION</t>
  </si>
  <si>
    <t>CIUDADELA VILLA DEL BOSQUE 924</t>
  </si>
  <si>
    <t>CENTRAL PARK 1001</t>
  </si>
  <si>
    <t>CEIBAZUL 703</t>
  </si>
  <si>
    <t>SIERRA MORENA 1905</t>
  </si>
  <si>
    <t>CAPELLA  815 - EMPALME</t>
  </si>
  <si>
    <t>PANORAMA AURAL 711</t>
  </si>
  <si>
    <t>FELICITY 811</t>
  </si>
  <si>
    <t>AQUAVENTO - 1.500.000</t>
  </si>
  <si>
    <t>PROPIETARIO SUBIO EL VALOR DEL CANON INQUILINA NO ACEPTA</t>
  </si>
  <si>
    <t>CAPELLA 1711 - 1.450.000</t>
  </si>
  <si>
    <t>EL APTO REQUIRE DE REPARACIONES DEMORADAS</t>
  </si>
  <si>
    <t>5+1</t>
  </si>
  <si>
    <t>SENDERO VERDE 149</t>
  </si>
  <si>
    <t>EDIFICIO LA CEIBA 502</t>
  </si>
  <si>
    <t>SENDERO VERDE 804</t>
  </si>
  <si>
    <t>GUAYACANES DEL SUR 2105</t>
  </si>
  <si>
    <t>GUAYACANES DEL SUR - 1.350.000</t>
  </si>
  <si>
    <t>PROPIETARIO ARRENDO CON OTRA INMOBILIARIA</t>
  </si>
  <si>
    <t>GUAYACANES DE PRADO 416 - 850.000</t>
  </si>
  <si>
    <t>CLIENTE NO LE GUSTA EL SECTOR</t>
  </si>
  <si>
    <t>LA FINQUITA 301 - 700.000</t>
  </si>
  <si>
    <t>RESERVA DE PRADO 123 - 1.050.000</t>
  </si>
  <si>
    <t>INQUILINO NO SE PUEDE PASAR HASTA EL 15 DE OCTUBRE</t>
  </si>
  <si>
    <t>ANULADO</t>
  </si>
  <si>
    <t>PRADO CAMPESTRE AP 401 - 580.000</t>
  </si>
  <si>
    <t>PROPIETARIA ARRIENDA DIRECTO</t>
  </si>
  <si>
    <t>CL 76 A SUR 55 41 AP 301 CASA ALAMEDA 1.384.000</t>
  </si>
  <si>
    <t>CAMBIO DE TOMADOR, INQUILINO RENOVO EL CONTRATO</t>
  </si>
  <si>
    <t>INFORME ARRIENDOS ZONA LA ESTRELLA - ITAGUI –OCTUBRE 2022</t>
  </si>
  <si>
    <t>18+3</t>
  </si>
  <si>
    <t xml:space="preserve">VILLA VERDE 1008 </t>
  </si>
  <si>
    <t>CIUDADELA DEL PARQUE 2324</t>
  </si>
  <si>
    <t>VILLA VERDE 2002</t>
  </si>
  <si>
    <t>MI MUNDO 1706</t>
  </si>
  <si>
    <t>VILLA VERDE 1905</t>
  </si>
  <si>
    <t>VILLA VERDE 118</t>
  </si>
  <si>
    <t>VILLA VERDE 706</t>
  </si>
  <si>
    <t>VILLA VERDE 1408</t>
  </si>
  <si>
    <t>RESERVA DEL BOSQUE 1405</t>
  </si>
  <si>
    <t>CIUDADELA DEL VALLE 1601 - 1.450.000</t>
  </si>
  <si>
    <t>ALEJANDRO BEDOYA</t>
  </si>
  <si>
    <t>ENTREHOJAS 703 - 1.600.000</t>
  </si>
  <si>
    <t>DERLY</t>
  </si>
  <si>
    <t>VILLA VERDE 425 - 1.700.000</t>
  </si>
  <si>
    <t>VILLA DEL PARQUE 911 - 1.500.000</t>
  </si>
  <si>
    <t>A LA ESPOSA DEL CLIENTE NO LE GUSTO EL APTO</t>
  </si>
  <si>
    <t>FLORES DEL CAMPO 433</t>
  </si>
  <si>
    <t>OBRAS DE ANDALUCIA 911</t>
  </si>
  <si>
    <t>ESTRELLA DE MAR 3701</t>
  </si>
  <si>
    <t>POLARIS 1708</t>
  </si>
  <si>
    <t>SIERRA MORENA 1504</t>
  </si>
  <si>
    <t>FLORES DEL CAMPO 1115</t>
  </si>
  <si>
    <t>VERDE VIIVO CEIBA 3108 EMPAME</t>
  </si>
  <si>
    <t>ORION 707 - 1.600.000</t>
  </si>
  <si>
    <t>ORION 1602 - 1.200.000</t>
  </si>
  <si>
    <t>CACTUS 1805 - 2.150.000</t>
  </si>
  <si>
    <t>FLORES DEL CAMPO 1413 - 1.100.000</t>
  </si>
  <si>
    <t>CLIENTE NO DESEA TOMARLO PORQ NECESITA PARQUEADERO</t>
  </si>
  <si>
    <t>PITRIZA 909</t>
  </si>
  <si>
    <t>FELICITY 1314 - 1.200.000</t>
  </si>
  <si>
    <t>CAPELLA  305- 1.600.000</t>
  </si>
  <si>
    <t>CASA ABEDULES 101 - 4.200.000</t>
  </si>
  <si>
    <t>MANANTIALES DE SURAMERICA 2403 - 1.500.001</t>
  </si>
  <si>
    <t>PROPIETARIA ARRIENDA A UN FAMILIAR</t>
  </si>
  <si>
    <t>11+1</t>
  </si>
  <si>
    <t>FELICITY 510</t>
  </si>
  <si>
    <t>VILLA ROMERA 2123</t>
  </si>
  <si>
    <t>FELICITY 1312</t>
  </si>
  <si>
    <t>FELICITY 1613</t>
  </si>
  <si>
    <t>FELICITY 1201</t>
  </si>
  <si>
    <t>MONTERRA 403</t>
  </si>
  <si>
    <t>ALEXIS BELLO</t>
  </si>
  <si>
    <t>FELICITY 1305</t>
  </si>
  <si>
    <t>FELICITY 1305 - 1.200.000</t>
  </si>
  <si>
    <t>DEUDOR DESISTE</t>
  </si>
  <si>
    <t>HUNGRIA - 1507 - 1.800.000</t>
  </si>
  <si>
    <t>HERMANO DEL PROPIETARIO ARRENDO CON OTRA INMOBILIARIA</t>
  </si>
  <si>
    <t>AGUAS DEL BOSQUE 706 - 1.700.000 EMPALME</t>
  </si>
  <si>
    <t>INQUILINA DESISTE DEL EMPALME</t>
  </si>
  <si>
    <t>ZANETTI 2224</t>
  </si>
  <si>
    <t>CIUDADELA DEL VALLE 305</t>
  </si>
  <si>
    <t>CIUDADELA DEL PARQUE 2423 EMPALME</t>
  </si>
  <si>
    <t>CIUDADELA PRADO 513</t>
  </si>
  <si>
    <t>ZANETTI 1110</t>
  </si>
  <si>
    <t>DITAIRES DE ALCALÁ CASA 117 - 1.500.000</t>
  </si>
  <si>
    <t>CLIENTE QUIERE CONTRATO SOLO POR 3 MESES</t>
  </si>
  <si>
    <t>VILLA DEL PARQUE - 1.900.000</t>
  </si>
  <si>
    <t>PROPIETARIA DEBE MAS DE 5 MILLONES DE ADMON, ESTA HACIENDO ACUERDO CON LA ADMON</t>
  </si>
  <si>
    <t>DITAIRES DE LCALÁ CASA 117 - 1.500.000</t>
  </si>
  <si>
    <t>RESERVA DEL PRADO 408 - 1.100.000</t>
  </si>
  <si>
    <t>PROPIETARIO LO ARRENDO CON OTRA AGENCIA</t>
  </si>
  <si>
    <t>CIUDADELA PRADO 513 - 950.000</t>
  </si>
  <si>
    <t>CLIENTE SE UBICO DIRECTO</t>
  </si>
  <si>
    <t>VILLA VERDE 1430 - 1.600.000</t>
  </si>
  <si>
    <t>INFORME ARRIENDOS ZONA LA ESTRELLA - ITAGUI –NOVIEMBRE 2022</t>
  </si>
  <si>
    <t>VILLA VERDE 1525</t>
  </si>
  <si>
    <t xml:space="preserve">CAPELLA 1018 </t>
  </si>
  <si>
    <t>CIUDADELA DEL PARQUE 627</t>
  </si>
  <si>
    <t>SENDERO VERDE 805</t>
  </si>
  <si>
    <t>RESERVAS DEL PRADO 213</t>
  </si>
  <si>
    <t>VILLA VERDE 1430</t>
  </si>
  <si>
    <t>PACIFICA 515 EMPALME</t>
  </si>
  <si>
    <t>PACIFICA 1101</t>
  </si>
  <si>
    <t>SENDERO VERDE 943</t>
  </si>
  <si>
    <t>VILLA DEL PARQUE 2109</t>
  </si>
  <si>
    <t>PACIFICA 1611 - 1.650.000</t>
  </si>
  <si>
    <t>ZANETTI 1220 - 1.900.000</t>
  </si>
  <si>
    <t>PROPIETARIO NO LO ARRIEDNA CON PORTDA</t>
  </si>
  <si>
    <t>VILLA VERDE 218 - 1.500.000</t>
  </si>
  <si>
    <t>PROPIETARIO ARRIENDA ON OTRA INMOBILIARIA</t>
  </si>
  <si>
    <t>AGUAS DEL BOSQUE 2020</t>
  </si>
  <si>
    <t>FLORES DEL CAMPO 1832</t>
  </si>
  <si>
    <t>ORION 409</t>
  </si>
  <si>
    <t>VILLAS DE ALCANTARA 1.600.000</t>
  </si>
  <si>
    <t>POLARIS 1206 - EMPALME</t>
  </si>
  <si>
    <t xml:space="preserve">MANDALA 903 </t>
  </si>
  <si>
    <t>AGUAS DEL BOSQUE 1604</t>
  </si>
  <si>
    <t>VENTTO 434</t>
  </si>
  <si>
    <t>AGUAS DEL BOSQUE 903 - 1.850.000</t>
  </si>
  <si>
    <t>POLARIS 316- 1.400.000</t>
  </si>
  <si>
    <t>PROPIETARIO ARRIENDA CON OTRA INMOBILIARIA</t>
  </si>
  <si>
    <t>PIEMONTI 9954 - 1.000.000</t>
  </si>
  <si>
    <t>INQUILINO DESEA VER MAS OPCIONES</t>
  </si>
  <si>
    <t>FELICITY 912</t>
  </si>
  <si>
    <t>AGUAS DEL BOSQUE 1801</t>
  </si>
  <si>
    <t> 15458</t>
  </si>
  <si>
    <t>CEIBAZUL 1703</t>
  </si>
  <si>
    <t>SIERRA MORENA 1620  - EMPALME</t>
  </si>
  <si>
    <t>ALDEA DEL SUR 1411</t>
  </si>
  <si>
    <t>AQUAVENTO 906 - EMPALME</t>
  </si>
  <si>
    <t>VIÑA DEL MAR 408 - 2.300.000</t>
  </si>
  <si>
    <t>INQUILINO NO PODIA ESPERAR MAS TIEMPO EL APTO</t>
  </si>
  <si>
    <t>SENDERO VERDE 124</t>
  </si>
  <si>
    <t>GUAYACANES DEL SUR 1107</t>
  </si>
  <si>
    <t>VILLA VERDE 2024 EMPALME</t>
  </si>
  <si>
    <t>CARRERA 46 N° 43 - 35 SAN JOSE</t>
  </si>
  <si>
    <t>DITAIRES DE ALCALA CASA 117</t>
  </si>
  <si>
    <t>68 N° 63 – 44 INT 201 CASA CALATRAVA</t>
  </si>
  <si>
    <t>CALLE 53 SUR N° 67 - 35 BARICHARA</t>
  </si>
  <si>
    <t>MATEO ROMERO BELLO</t>
  </si>
  <si>
    <t>COLINA DE ASIS 925</t>
  </si>
  <si>
    <t xml:space="preserve">AGUAS DEL BOSQUE 903 </t>
  </si>
  <si>
    <t>PIEMONTI 476 - 1.100.000</t>
  </si>
  <si>
    <t>PROPIETARIO ARRIENDA DIRECTO A UN FAMILIAR</t>
  </si>
  <si>
    <t>RESERVA DEL PRADO 1001- SUBROGACION</t>
  </si>
  <si>
    <t>CALLE 75 B SUR N° 56 – 51 INT 201 VILLAS DE A</t>
  </si>
  <si>
    <t>EDIFICIO GRACIELA SIMON B 301 - 1.400.000</t>
  </si>
  <si>
    <t>PROPIETARIA NO FIRMA EL CONTRATO</t>
  </si>
  <si>
    <t>ARRIENDOS MATEO SABANETA</t>
  </si>
  <si>
    <t>IGUAZU CASA 153</t>
  </si>
  <si>
    <t>MATEO</t>
  </si>
  <si>
    <t>ARRIENDOS PORTADA</t>
  </si>
  <si>
    <t>RESERVA DEL PRADO 9817 CAMBIO TOMADOR</t>
  </si>
  <si>
    <t>RESERVAS DEL PRADO 424 CESION</t>
  </si>
  <si>
    <t xml:space="preserve">DERLY </t>
  </si>
  <si>
    <t>RESERVAS DEL PRADO 425 CESION</t>
  </si>
  <si>
    <t>INFORME ARRIENDOS ZONA LA ESTRELLA - ITAGUI –DICIEMBRE 2022</t>
  </si>
  <si>
    <t>EN ESTUDIO</t>
  </si>
  <si>
    <t>CIUDADELA DEL PARQUE 1817 - 1.600.000</t>
  </si>
  <si>
    <t>LOCAL CACTUS 4.900.000</t>
  </si>
  <si>
    <t>CAPELLA 619 - 1.350.000</t>
  </si>
  <si>
    <t xml:space="preserve">CALLE 76 SUR N° 57 – 39 CASA TOLEDO 3.000.000 </t>
  </si>
  <si>
    <t>AQUAVENTO 912 EMPALME - 1.500.000</t>
  </si>
  <si>
    <t>MONTERIO 305 -  2.400.000</t>
  </si>
  <si>
    <t>FELICITY 409 - 1200.000 EMPALME</t>
  </si>
  <si>
    <t>VIÑA DEL MAR 407 - 2.300.000</t>
  </si>
  <si>
    <t>CASA BARILOCHE - 970.000</t>
  </si>
  <si>
    <t>CASA VIVIENDAS DEL SUR 2.500.000</t>
  </si>
  <si>
    <t>VENTTO 239 - 1.200.000</t>
  </si>
  <si>
    <t>MIRADOR DE LA HACIENDA 1704 - 900.000</t>
  </si>
  <si>
    <t xml:space="preserve">INFORME SEDE ESTRELLA (ITAGÜI) - ENERO </t>
  </si>
  <si>
    <t xml:space="preserve">MARCELA ALVAREZ </t>
  </si>
  <si>
    <t># CONTRATO</t>
  </si>
  <si>
    <t xml:space="preserve">PORCENTAJE PROPIETARIO </t>
  </si>
  <si>
    <t>DURACION DE CONTRATO</t>
  </si>
  <si>
    <t xml:space="preserve">OBSERVACION </t>
  </si>
  <si>
    <t>VALOR DEL CANON</t>
  </si>
  <si>
    <t>COMISION</t>
  </si>
  <si>
    <t xml:space="preserve">JOHAN MEJIA </t>
  </si>
  <si>
    <t>INDIVIDUAL  SHIRLEY FLOREZ</t>
  </si>
  <si>
    <t>INFORME GLOBAL ENERO  - SHIRLEY FLOREZ</t>
  </si>
  <si>
    <t xml:space="preserve">INFORME SEDE ESTRELLA (ITAGÜI) - FEBRERO </t>
  </si>
  <si>
    <t xml:space="preserve">LIQUIDAN EN BELLO </t>
  </si>
  <si>
    <t xml:space="preserve">KAREN CASTRO </t>
  </si>
  <si>
    <t>ORION 1904</t>
  </si>
  <si>
    <t xml:space="preserve">AGUAS DEL BOSQUE  1505 </t>
  </si>
  <si>
    <t xml:space="preserve">RESEVA DEL PRADO 425 </t>
  </si>
  <si>
    <t>ED. SAN MIGUEL 304</t>
  </si>
  <si>
    <t xml:space="preserve">ROMAZINO 305 </t>
  </si>
  <si>
    <t xml:space="preserve">CASA SANTA MARIA </t>
  </si>
  <si>
    <t>ESTRELLA</t>
  </si>
  <si>
    <t xml:space="preserve">RIO MISTICO 1810 </t>
  </si>
  <si>
    <t xml:space="preserve">RIO MISTICO 710 </t>
  </si>
  <si>
    <t xml:space="preserve">SABATTO 1305 </t>
  </si>
  <si>
    <t xml:space="preserve">MADEROS DEL CAMPO 1001 </t>
  </si>
  <si>
    <t xml:space="preserve">PORTAL DEL CARMERLO 1508 </t>
  </si>
  <si>
    <t xml:space="preserve">CIUDAD DEL BOSQUE 1207 </t>
  </si>
  <si>
    <t xml:space="preserve">LIVING 712 </t>
  </si>
  <si>
    <t xml:space="preserve">SABANETA </t>
  </si>
  <si>
    <t xml:space="preserve">TOTAL INDIVIDUAL </t>
  </si>
  <si>
    <t>INFORME GLOBAL FEBRERO  - SHIRLEY FLOREZ</t>
  </si>
  <si>
    <t xml:space="preserve">INFORME GLOBAL FEBRERO  - KAREN CASTRO </t>
  </si>
  <si>
    <t>TOTAL SEDE  LA ESTRELLA</t>
  </si>
  <si>
    <t xml:space="preserve">INFORME GLOBAL FEBRERO  - SEDE ESTRELLA </t>
  </si>
  <si>
    <t>INFORME SEDE ESTRELLA (ITAGÜI) - MARZO</t>
  </si>
  <si>
    <t xml:space="preserve">DANIEL RESTREPO </t>
  </si>
  <si>
    <t>COMISION PROPIETARIO</t>
  </si>
  <si>
    <t xml:space="preserve">AGUAS DEL BISQUE 1301 </t>
  </si>
  <si>
    <t xml:space="preserve">SARA AGUDELO </t>
  </si>
  <si>
    <t>TERRITORIO VERDE  1217</t>
  </si>
  <si>
    <t>AGUAS DEL BOSQUE 1301$ 1.250.000</t>
  </si>
  <si>
    <t>ROMAZINO 1313 $1.100.000</t>
  </si>
  <si>
    <t xml:space="preserve">INDIVIDUAL KAREN CASTRO </t>
  </si>
  <si>
    <t xml:space="preserve">GLOBAL KAREN CASTRO </t>
  </si>
  <si>
    <t xml:space="preserve">INFORME SEDE ESTRELLA (ITAGÜI) - ABRIL </t>
  </si>
  <si>
    <t xml:space="preserve">CASA SANTA MARIA LA NUEVA  </t>
  </si>
  <si>
    <t xml:space="preserve">PACIFICA 2202 </t>
  </si>
  <si>
    <t xml:space="preserve">ROMAZINO 910 </t>
  </si>
  <si>
    <t xml:space="preserve">SIERRA MORENA 1202 </t>
  </si>
  <si>
    <t>AGUAS DEL BOSQUE 623</t>
  </si>
  <si>
    <t>RESERVA DEL BOSQUE 1112</t>
  </si>
  <si>
    <t>GLOBAL KAREN CASTRO</t>
  </si>
  <si>
    <t>RESERVA DEL PARQUE 1605</t>
  </si>
  <si>
    <t xml:space="preserve">AGUAS DEL BOSQUE 623  </t>
  </si>
  <si>
    <t xml:space="preserve">INFORME SEDE ESTRELLA (ITAGÜI) - MAYO </t>
  </si>
  <si>
    <t xml:space="preserve">DANIEL RESTREPO - MAYO </t>
  </si>
  <si>
    <t xml:space="preserve">EMPALME VILLA VERDE 1426 - $1.036.000 </t>
  </si>
  <si>
    <t xml:space="preserve">SARA AGUDELO - MAYO </t>
  </si>
  <si>
    <t xml:space="preserve">POLARIS 1318 </t>
  </si>
  <si>
    <t>ALDEA DEL SUR AP 1613</t>
  </si>
  <si>
    <t>CALLE 75 AA SUR # 62 A 66 INT 201</t>
  </si>
  <si>
    <t xml:space="preserve">LUISA MARIN - MAYO </t>
  </si>
  <si>
    <t>PARQUE DE LOS BERNAL 2013</t>
  </si>
  <si>
    <t xml:space="preserve">SEDE LAURELES </t>
  </si>
  <si>
    <t>SANTA MONICA PLAZA 303</t>
  </si>
  <si>
    <t>CARRERA 87 # 37-13 AP 401</t>
  </si>
  <si>
    <t xml:space="preserve">LOCAL CARRERA 82 A # 30-63 </t>
  </si>
  <si>
    <t>LOS CABOS 428</t>
  </si>
  <si>
    <t xml:space="preserve">AURA 1810 </t>
  </si>
  <si>
    <t>SUBROGACION PLAZA CAMPESTRE 554</t>
  </si>
  <si>
    <t>LOCAL DIAGONAL 74B # 32B 49</t>
  </si>
  <si>
    <t>TORRE GALILEA 604</t>
  </si>
  <si>
    <t xml:space="preserve">CIUDADELA DEL VALLE 1620  </t>
  </si>
  <si>
    <t>ROMAZINO 1415 - 1.100.000</t>
  </si>
  <si>
    <t>ALPES PLAZA 702 1.750.000</t>
  </si>
  <si>
    <t xml:space="preserve">ADRIANA ZAPATA - MAYO </t>
  </si>
  <si>
    <t xml:space="preserve">INFORME SEDE ESTRELLA (ITAGÜI) - JUNIO </t>
  </si>
  <si>
    <t xml:space="preserve">SARA AGUDELO - JUNIO </t>
  </si>
  <si>
    <t>CALLE 63A  # 55 - 54</t>
  </si>
  <si>
    <t xml:space="preserve">Mamá no desea pasarse </t>
  </si>
  <si>
    <t xml:space="preserve">LUISA MARIN - JUNIO </t>
  </si>
  <si>
    <t>PDTE-1.200.000</t>
  </si>
  <si>
    <t xml:space="preserve">ADRIANA ZAPATA INDIVIDUAL - JUNIO </t>
  </si>
  <si>
    <t>SENDERO VERDE 315</t>
  </si>
  <si>
    <t xml:space="preserve">ADRIANA ZAPATA - JUNIO </t>
  </si>
  <si>
    <t xml:space="preserve">INFORME SEDE ESTRELLA (ITAGÜI) - JULIO </t>
  </si>
  <si>
    <t xml:space="preserve">SARA AGUDELO - JULIO </t>
  </si>
  <si>
    <t xml:space="preserve">DANIEL RESTREPO - JULIO </t>
  </si>
  <si>
    <t xml:space="preserve">ADRIANA ZAPATA INDIVIDUAL  - JULIO </t>
  </si>
  <si>
    <t xml:space="preserve">ADRIANA ZAPATA GLOBAL- JULIO </t>
  </si>
  <si>
    <t xml:space="preserve">INFORME SEDE ESTRELLA (ITAGÜI) - AGOSTO </t>
  </si>
  <si>
    <t>SARA AGUDELO - AGOSTO</t>
  </si>
  <si>
    <t>CALLE 66A # 43-92 ED DORAL</t>
  </si>
  <si>
    <t xml:space="preserve">DANIEL RESTREPO - AGOSTO </t>
  </si>
  <si>
    <t>CIUDADELA PRADO 513 - ojoo cliente portero</t>
  </si>
  <si>
    <t xml:space="preserve">CAPELLA 1415 </t>
  </si>
  <si>
    <t>PACIFICA 1116</t>
  </si>
  <si>
    <t>ADRIANA ZAPATA INDIVIDUAL  - AGOSTO</t>
  </si>
  <si>
    <t xml:space="preserve">VILLA LUNA 901 </t>
  </si>
  <si>
    <t>ADRIANA ZAPATA GLOBAL- AGOSTO</t>
  </si>
  <si>
    <t xml:space="preserve">ALDEA DEL SUR 1605 </t>
  </si>
  <si>
    <t>CALLE 85 # 57 - 8</t>
  </si>
  <si>
    <t xml:space="preserve">INFORME SEDE ESTRELLA (ITAGÜI) - SEPTIEMBRE </t>
  </si>
  <si>
    <t>SARA AGUDELO -SEPTIEMBRE</t>
  </si>
  <si>
    <t>RESERVAS DEL PARQUE 613- ojo cliente portero</t>
  </si>
  <si>
    <t>DANIEL RESTREPO - SEPTIEMBRE</t>
  </si>
  <si>
    <t xml:space="preserve">CALLE 75 B SUR # 56 -51 </t>
  </si>
  <si>
    <t>ADRIANA ZAPATA GLOBAL- SEPTIEMBRE</t>
  </si>
  <si>
    <t>INFORME SEDE ESTRELLA (ITAGÜI) - OCTUBRE</t>
  </si>
  <si>
    <t>SARA AGUDELO - OCTUBRE</t>
  </si>
  <si>
    <t>CACTUS 1302</t>
  </si>
  <si>
    <t>CR 57 N 76 SUR 24 APARTAESTUDIO TOLEDO</t>
  </si>
  <si>
    <t>PACIFICA 2610</t>
  </si>
  <si>
    <t>RESERVAS DE PRADO 9817 SUBROGACION</t>
  </si>
  <si>
    <t>DANIEL RESTREPO - OCTUBRE</t>
  </si>
  <si>
    <t xml:space="preserve">PACIFICA 515  </t>
  </si>
  <si>
    <t>RIVERA DE SURAMERICA 2003-1.900.000</t>
  </si>
  <si>
    <t>VEGAS DEL PARQUE CA 29 - 1.500.000</t>
  </si>
  <si>
    <t>VILLA VERDE 220 - 1.200.000</t>
  </si>
  <si>
    <t>LUISA QUINTERO - OCTUBRE</t>
  </si>
  <si>
    <t>CALLE 35 # 61-11 LOCAL102</t>
  </si>
  <si>
    <t xml:space="preserve">JARDINES DE LA HACIENDA 819  </t>
  </si>
  <si>
    <t xml:space="preserve">SIERRA MORENA 710 </t>
  </si>
  <si>
    <t xml:space="preserve">AIRES DE SAN FRANCISCO 201 </t>
  </si>
  <si>
    <t>CASA EL TABLAZO- 900.000</t>
  </si>
  <si>
    <t>SIERRA MORENA 610 1.000.000</t>
  </si>
  <si>
    <t>INQUILINO DESEA EL INMUEBLE PARA UN MES</t>
  </si>
  <si>
    <t>ADRIANA ZAPATA - OCTUBRE</t>
  </si>
  <si>
    <t>DERLY AREIZA GLOBAL - OCTUBRE</t>
  </si>
  <si>
    <t>SIMON BOLIVAR</t>
  </si>
  <si>
    <t xml:space="preserve">RESERVAS DEL PRADO 516 </t>
  </si>
  <si>
    <t>INFORME SEDE ESTRELLA (ITAGÜI) - NOVIEMBRE</t>
  </si>
  <si>
    <t>SARA AGUDELO - NOVIEMBRE</t>
  </si>
  <si>
    <t xml:space="preserve">CEIBAZUL 1904 </t>
  </si>
  <si>
    <t xml:space="preserve">SIERRA MORENA 1804 </t>
  </si>
  <si>
    <t xml:space="preserve">POLARIS 1202 </t>
  </si>
  <si>
    <t>CUIDADELA DEL VALLE 1626</t>
  </si>
  <si>
    <t>PACIFICA 916</t>
  </si>
  <si>
    <t>HUNGRIA 1408 - 1.550.000</t>
  </si>
  <si>
    <t>FELICITY 1714- 870.000</t>
  </si>
  <si>
    <t>PRADOS DEL SOL  IN 201</t>
  </si>
  <si>
    <t>INQUILINA NO CONTINUO CON EL PROCESO</t>
  </si>
  <si>
    <t>ALTOS DE SURAMERICA 1404 1.400.000</t>
  </si>
  <si>
    <t>DANIEL RESTREPO - NOVIEMBRE</t>
  </si>
  <si>
    <t>VILLANOVA 308 - SUBROGACION</t>
  </si>
  <si>
    <t>VEGAS DEL PARQUE - 1.500.000</t>
  </si>
  <si>
    <t>LOS ABUELOS 401 - 1.000.000</t>
  </si>
  <si>
    <t>ALTOS DE SURAMERICA- 1005 1.400.000</t>
  </si>
  <si>
    <t>PACIFICA 814- 1.400.000</t>
  </si>
  <si>
    <t>INQUILINA YA NO  DESEA TOMAR EL INMUEBLE</t>
  </si>
  <si>
    <t>LUISA QUINTERO - NOVIEMBRE</t>
  </si>
  <si>
    <t>CL 56 A # 56 A - 5 - EL TABLAZO</t>
  </si>
  <si>
    <t>CEIBAZUL 205</t>
  </si>
  <si>
    <t>BAHIA GRANDE 2614 1.400.000</t>
  </si>
  <si>
    <t>POLARIS 1206 -1.200.000</t>
  </si>
  <si>
    <t>AIRES DE SAN FRACISCO 201 - 850.000</t>
  </si>
  <si>
    <t>INQUILINA NO DESEA TOMAR EL APTO</t>
  </si>
  <si>
    <t>INQUILINA INFORMA QUE NO LE SIRVE EL SECTOR. DESISTE DEL ESTUDIO</t>
  </si>
  <si>
    <t>LA GRAN MANZANA 606 - 1.550.000</t>
  </si>
  <si>
    <t>DERLY AREIZA GLOBAL - NOVIEMBRE</t>
  </si>
  <si>
    <t xml:space="preserve">HUNGRIA 1408 </t>
  </si>
  <si>
    <t>INFORME SEDE ESTRELLA (ITAGÜI) - DICIEMBRE</t>
  </si>
  <si>
    <t>SARA AGUDELO - DICIEMBRE</t>
  </si>
  <si>
    <t>FACTURADO</t>
  </si>
  <si>
    <t>SI</t>
  </si>
  <si>
    <t>PACIFICA 813</t>
  </si>
  <si>
    <t>DANIEL RESTREPO - DICIEMBRE</t>
  </si>
  <si>
    <t xml:space="preserve">ROMAZINO 805 </t>
  </si>
  <si>
    <t>TORRES DE BAERCELONA 819</t>
  </si>
  <si>
    <t>RESERVA DEL BOSQE 1410- 1.400.000</t>
  </si>
  <si>
    <t>DE ESTE NEGOCIO SE PAGA LA CAPTACION (CAPTO DANIEL)</t>
  </si>
  <si>
    <t>SAGRADO CORAZON PENDIENTE INMUEBLE 1.300.000</t>
  </si>
  <si>
    <t>INQUILINO NO DESEA CINTINUAR CON EL PROCESO</t>
  </si>
  <si>
    <t>INQUILINO NO ENVIO DEUDOR</t>
  </si>
  <si>
    <t>POLARIS 1012 - 1.200.000</t>
  </si>
  <si>
    <t>LUISA QUINTERO - DICIEMBRE</t>
  </si>
  <si>
    <t>ALTOS DE SURAMERICA 1404</t>
  </si>
  <si>
    <t>DESISITIÓ</t>
  </si>
  <si>
    <t>DERLY AREIZA GLOBAL - DICIEMBRE</t>
  </si>
  <si>
    <t>ROMANZINO 506</t>
  </si>
  <si>
    <t>INFORME SEDE ESTRELLA (ITAGÜI) - ENERO 2022</t>
  </si>
  <si>
    <t>SARA AGUDELO - ENERO</t>
  </si>
  <si>
    <t>BAHIA GRANDE 2706</t>
  </si>
  <si>
    <t xml:space="preserve">SI </t>
  </si>
  <si>
    <t xml:space="preserve">SI  </t>
  </si>
  <si>
    <t xml:space="preserve">PACIFICA 2802 </t>
  </si>
  <si>
    <t>CACTUS TORRE DOS  2101</t>
  </si>
  <si>
    <t>CLIENTE NO DESEA PASARCE</t>
  </si>
  <si>
    <t>INQUILINO TOMA UN APTO MAS ECONOMICO</t>
  </si>
  <si>
    <t>CARRERA 48 # 88-24 PISO 2 - 1.700.000</t>
  </si>
  <si>
    <t>PROPIETARIA NO DESEA ARRENDAR EL APTO</t>
  </si>
  <si>
    <t>LOCAL - 500.000</t>
  </si>
  <si>
    <t>DANIEL RESTREPO - ENERO</t>
  </si>
  <si>
    <t>PRADOS DEL SOL  INT 201</t>
  </si>
  <si>
    <t>RESERVAS DEL PRADO 418</t>
  </si>
  <si>
    <t>RESERVAS DEL PRADO 802</t>
  </si>
  <si>
    <t>ROMAZINO 1407</t>
  </si>
  <si>
    <t>JARDINES DE LA HACIENDA 1003- 750.000</t>
  </si>
  <si>
    <t>CLIENTE INFORMA QUE LE QUEDA MUY LEJOS DEL TRANSPORTE</t>
  </si>
  <si>
    <t>COMISION ASESOR JUNIOR</t>
  </si>
  <si>
    <t>LUISA QUINTERO - ENERO</t>
  </si>
  <si>
    <t>MANTIA 601</t>
  </si>
  <si>
    <t xml:space="preserve">PACIFICA 911 </t>
  </si>
  <si>
    <t>NO HA PAGADO</t>
  </si>
  <si>
    <t xml:space="preserve">CACTUS TORRE DOS - 2102 </t>
  </si>
  <si>
    <t>ENTREBOSQUES 2601</t>
  </si>
  <si>
    <t>DERLY AREIZA GLOBAL - ENERO</t>
  </si>
  <si>
    <t>PRADOS DEL SOL 201</t>
  </si>
  <si>
    <t>RESERVA DEL PRADO 418</t>
  </si>
  <si>
    <t>RESERVA DE PRADO 802</t>
  </si>
  <si>
    <t>INFORME SEDE ESTRELLA (ITAGÜI) - FEBRERO 2022</t>
  </si>
  <si>
    <t>DANIEL RESTREPO - FEBRERO</t>
  </si>
  <si>
    <t>CACTUS 2104</t>
  </si>
  <si>
    <t>JARDINES DE LA HACIENDA -  603</t>
  </si>
  <si>
    <t xml:space="preserve">CAPELLA 1105 </t>
  </si>
  <si>
    <t>VILLATERRA 1605 - 1.400.000</t>
  </si>
  <si>
    <t>VILLANOVA 1713 1.250.000</t>
  </si>
  <si>
    <t>DESISTIO DEL PROCESO</t>
  </si>
  <si>
    <t>LUISA QUINTERO - FEBRERO</t>
  </si>
  <si>
    <t>SENDEROS DE SURAMERICA 608</t>
  </si>
  <si>
    <t xml:space="preserve">MIRADOR DE LA HACIENDA </t>
  </si>
  <si>
    <t xml:space="preserve">PACIFICA 2812 </t>
  </si>
  <si>
    <t>VILLATERRA 2202</t>
  </si>
  <si>
    <t xml:space="preserve">COLINA DE ASIS 1122 </t>
  </si>
  <si>
    <t>DERLY AREIZA GLOBAL - FEBRERO</t>
  </si>
  <si>
    <t>VILLATERRA 1605</t>
  </si>
  <si>
    <t>INFORME SEDE ESTRELLA (ITAGÜI) - MARZO 2022</t>
  </si>
  <si>
    <t>DANIEL RESTREPO - MARZO</t>
  </si>
  <si>
    <t xml:space="preserve">CIUDADELA DEL PARQUE 2126 </t>
  </si>
  <si>
    <t>CALLE 65 N° 58 – 45 AP 301 CASA FERRARA</t>
  </si>
  <si>
    <t>CARRERA 62 B N° 24 A - 67 - CASA BARILOCHE</t>
  </si>
  <si>
    <t>RESERVA DEL PRADIO 315</t>
  </si>
  <si>
    <t>ABRIL 01</t>
  </si>
  <si>
    <t>01 ABRIL</t>
  </si>
  <si>
    <t>LUISA QUINTERO - MARZO</t>
  </si>
  <si>
    <t>PORTON DE LA HACIENDA 807</t>
  </si>
  <si>
    <t>ALDEA DEL SUR 1410</t>
  </si>
  <si>
    <t xml:space="preserve">QUINTA ESTRELLA 402 </t>
  </si>
  <si>
    <t>VILLA REAL CASA 101 -31-33</t>
  </si>
  <si>
    <t>INQUILINA INFORMA NO LE CABE UNA BIBLIOTECA</t>
  </si>
  <si>
    <t>CLIENTE NO VOLVIO A CONTESTAR EL TELEFONO</t>
  </si>
  <si>
    <t>PROPIETARIA LO ARRRENDO OON OTRA INMOBILIARIA</t>
  </si>
  <si>
    <t>DERLY AREIZA GLOBAL - MARZO</t>
  </si>
  <si>
    <t>INFORME SEDE ESTRELLA (ITAGÜI) - ABRIL 2022</t>
  </si>
  <si>
    <t>DANIEL RESTREPO - ABRIL</t>
  </si>
  <si>
    <t xml:space="preserve">CIUDADELA DEL PARQUE 1225 </t>
  </si>
  <si>
    <t>CIUDADELA DEL VALLE 745</t>
  </si>
  <si>
    <t>ZANETTI 1709</t>
  </si>
  <si>
    <t>ZANETTI 1309</t>
  </si>
  <si>
    <t>LUISA QUINTERO - ABRIL</t>
  </si>
  <si>
    <t>COLINA VERDE 503 - EMPALME</t>
  </si>
  <si>
    <t>ENTREGA MAYO</t>
  </si>
  <si>
    <t>VILLANOVA 303 - SUBROGACION</t>
  </si>
  <si>
    <t>DERLY AREIZA GLOBAL - ABRIL</t>
  </si>
  <si>
    <t>VILLANOVA 303 - 1.200.000 SUBROGACION</t>
  </si>
  <si>
    <t>INFORME SEDE ESTRELLA (ITAGÜI) - MAYO 2022</t>
  </si>
  <si>
    <t>DANIEL RESTREPO - MAYO</t>
  </si>
  <si>
    <t>RESERVA DEL BOSQUE 1912 - 1.500.000</t>
  </si>
  <si>
    <t>A LA ESPOSA DEL CLIENTE NO LE GUSTO EL SECTOR</t>
  </si>
  <si>
    <t>LUISA QUINTERO - MAYO</t>
  </si>
  <si>
    <t xml:space="preserve"> CARRERA 66 N° 63 -30 AP 301</t>
  </si>
  <si>
    <t>MONTEFLOR 1911</t>
  </si>
  <si>
    <t>ESTE NEGOCIO LO REALIZÓ CON SABANETA</t>
  </si>
  <si>
    <t>SENDERO VERDE 315 - 1.300.000</t>
  </si>
  <si>
    <t>VERONICA MORALES - MAYO</t>
  </si>
  <si>
    <t xml:space="preserve">FELICITY 1513 </t>
  </si>
  <si>
    <t xml:space="preserve">CASA SAN JOSE </t>
  </si>
  <si>
    <t xml:space="preserve">PACIFICA 1105 </t>
  </si>
  <si>
    <t>DESISTIDOS</t>
  </si>
  <si>
    <t>RESERVA DEL PRADO - 1.000.000</t>
  </si>
  <si>
    <t>EL INQUILINO NO DESEA TOMAR EL INMUEBLE</t>
  </si>
  <si>
    <t>EL INQUILINO NO LE GUSTO EL SECTOR POR EL TRANSPORTE</t>
  </si>
  <si>
    <t>DERLY AREIZA GLOBAL - MAYO</t>
  </si>
  <si>
    <t>NEGOCIO DE CAMILA Y ALEJANDRO SEDE COLORES</t>
  </si>
  <si>
    <t>MANANTIALES DE SURAMERICA 2001 - 1.600.000</t>
  </si>
  <si>
    <t>PORTAL DE LA ESTRELLA 1104 - 1.300.000</t>
  </si>
  <si>
    <t xml:space="preserve">ZANETTI 2511 </t>
  </si>
  <si>
    <t>INFORME SEDE ESTRELLA (ITAGÜI) - JUNIO 2022</t>
  </si>
  <si>
    <t>DANIEL RESTREPO - JUNIO</t>
  </si>
  <si>
    <t xml:space="preserve">LA HORTENSIA 517 </t>
  </si>
  <si>
    <t xml:space="preserve">AGUAS DEL BOSQUE 706 </t>
  </si>
  <si>
    <t>CIUDADELA VILLA DEL BOSQUE  - 1.000.000</t>
  </si>
  <si>
    <t>CLIENTE NO DESEA TOMARLO, DICE QUE LE QUEDA MUY LEJOS</t>
  </si>
  <si>
    <t>FALTA EL GAS CLIENTE NO PUEDE ESPERAR</t>
  </si>
  <si>
    <t>LUISA QUINTERO - JUNIO</t>
  </si>
  <si>
    <t xml:space="preserve">CACTUS 1005 </t>
  </si>
  <si>
    <t>SENDERO VERDE 315 - 1.250.000 EMPALME</t>
  </si>
  <si>
    <t>LA RIVIERE 1326 - 2.200.000 poblado</t>
  </si>
  <si>
    <t xml:space="preserve">QUINTA ESTRELLA 902 </t>
  </si>
  <si>
    <t>CARRERA 55 B N° 79 BB SUR - 10 ESTRELLA DEL SUR</t>
  </si>
  <si>
    <t>AGUAS DEL BOSQUE 702</t>
  </si>
  <si>
    <t>FUENTE CLARA 1209 EMPALME sabaneta</t>
  </si>
  <si>
    <t>MANZANILLO 1130 - 750.000</t>
  </si>
  <si>
    <t>CLIENTE NO FIRMA EL CONTRATO, NO RESPONDE</t>
  </si>
  <si>
    <t>VERONICA MORALES - JUNIO</t>
  </si>
  <si>
    <t>CR 57 A 69 D 31 EL GUYABO</t>
  </si>
  <si>
    <t>CARRERA 52 A N° 72 - 90 CASA SANTAMARIA</t>
  </si>
  <si>
    <t>ALTOS DE SURAMERICA 1605 - 1.650.000</t>
  </si>
  <si>
    <t>CLIENTE NO DESEA TOMARLO DICE QUE MUY PEQUEÑO</t>
  </si>
  <si>
    <t>QUINTA ESTRELLA 601</t>
  </si>
  <si>
    <t>PROPIETARIA NO PUEDE DESOCUPAR HASTA JULIO CLIENTE NO ESPERA</t>
  </si>
  <si>
    <t>KAREN CASTRO SABANETA- JUNIO</t>
  </si>
  <si>
    <t>DERLY AREIZA GLOBAL - JUNIO</t>
  </si>
  <si>
    <t>INFORME SEDE ESTRELLA (ITAGÜI) - JULIO 2022</t>
  </si>
  <si>
    <t>DANIEL RESTREPO - JULIO</t>
  </si>
  <si>
    <t>SIERRA MORENA 1911 REUBICACION</t>
  </si>
  <si>
    <t>CEIBAZUL 604 - 1.700.000</t>
  </si>
  <si>
    <t>CIUDADELA DEL PARQUE 2126 -SUBROGACION</t>
  </si>
  <si>
    <t xml:space="preserve">SENDERO VERDE 710 </t>
  </si>
  <si>
    <t>CIUDADELA VILLA DEL BOSQUE 917</t>
  </si>
  <si>
    <t>ORION 907 - 1.650.000</t>
  </si>
  <si>
    <t>CLIENTE NO LE GUSTO POR LAS ZONAS COMUNES</t>
  </si>
  <si>
    <t>INQUILINO NO ESPERA EL APTO YA QUE LE FALTA EL GAS</t>
  </si>
  <si>
    <t>PROPIETARIA LO ARRENDÓ CON OTRA AGENCIA</t>
  </si>
  <si>
    <t>ORION 911 - 1.700.000</t>
  </si>
  <si>
    <t>PROPIETARIO LO ARRIENDA DIRECTO A UN FAMILIAR</t>
  </si>
  <si>
    <t>LUISA QUINTERO - JULIO</t>
  </si>
  <si>
    <t xml:space="preserve">CIUDADELA DEL PARQUE 1817 </t>
  </si>
  <si>
    <t xml:space="preserve">VILLA VERDE 530 </t>
  </si>
  <si>
    <t>ZANETTI 314</t>
  </si>
  <si>
    <t>LOCAL COMERCIAL GM</t>
  </si>
  <si>
    <t xml:space="preserve">PACIFICA 1616 </t>
  </si>
  <si>
    <t>RESERVA DEL PRADO 9912</t>
  </si>
  <si>
    <t>CAPELLA 1808 - 1.550.000</t>
  </si>
  <si>
    <t>PROPIETARIA NO ESTA DE ACUERDO CON EL CONTRATO</t>
  </si>
  <si>
    <t>CLIENTE NO DESEA TOMAR EL INMUEBLE POR UBICACION</t>
  </si>
  <si>
    <t>VILLA VERDE 2201 - 1.500.000</t>
  </si>
  <si>
    <t>INQUILINO DESISTE POR SER PISO ALTO, LA ESPOSA NO GUSTO</t>
  </si>
  <si>
    <t>ORION 2009 - 1.150.000</t>
  </si>
  <si>
    <t>VERONICA MORALES - JULIO</t>
  </si>
  <si>
    <t xml:space="preserve">ZANETTI SUBROGACION 2028 </t>
  </si>
  <si>
    <t>EDIFICIO MIRA - 501</t>
  </si>
  <si>
    <t>ARBOLEA DE LA ESTRELLA 605</t>
  </si>
  <si>
    <t>30 JULIO</t>
  </si>
  <si>
    <t>VILLA VERDE 530 - 1.400.000</t>
  </si>
  <si>
    <t>INQUILINO NO FIRMA DICE QUE YA NO LE INTERESA</t>
  </si>
  <si>
    <t>PROPIETARIO NO QUIZO FIRMAR EL CONTRATO</t>
  </si>
  <si>
    <t>CLIENTE DE REUBICACION SE VA DIRECTO CON OTRO PROP</t>
  </si>
  <si>
    <t>DERLY AREIZA GLOBAL - JULIO</t>
  </si>
  <si>
    <t>SENDERO VERDE 708</t>
  </si>
  <si>
    <t>SENDERO VERDE 1211 - 1.350.000</t>
  </si>
  <si>
    <t>INFORME SEDE ESTRELLA (ITAGÜI) - AGOSTO 2022</t>
  </si>
  <si>
    <t>DANIEL RESTREPO - AGOSTO</t>
  </si>
  <si>
    <t xml:space="preserve">CLIENTE NO VA TOMAR LA VIVIENDA, NO CONTESTA, DEJA EN VISTO </t>
  </si>
  <si>
    <t>CAPELLA 611 - 1.400.000</t>
  </si>
  <si>
    <t xml:space="preserve">CLIENTE TOMA OTRO APARTAMENTO CON OTRA INMOBILARIA </t>
  </si>
  <si>
    <t xml:space="preserve">CLIENTE ENCUENTRA UN APARTAMENTO MEJOR EN LA ZONA </t>
  </si>
  <si>
    <t>CLIENTE DESISTE PORQUE NO PUDO CONSEGUIR PARQUEA</t>
  </si>
  <si>
    <t>LUISA QUINTERO - AGOSTO</t>
  </si>
  <si>
    <t>PIEMONTE CASA 102</t>
  </si>
  <si>
    <t>MORATTO 1401</t>
  </si>
  <si>
    <t>BOSQUES DE SAUCES</t>
  </si>
  <si>
    <t xml:space="preserve">EDIFICIO MIRA 402 </t>
  </si>
  <si>
    <t>QUINTAS DE LA QUINTA  107</t>
  </si>
  <si>
    <t xml:space="preserve">CLIENTE INFORMA QUE NO TOMA PORQUE NO TIENE NO QUIERE NINGUN SERVICIO EN LEGALIZACIÓN </t>
  </si>
  <si>
    <t xml:space="preserve">CLIENTE NO DESEA CONTINUAR PROCESO POR TEMAS FAMILIARES </t>
  </si>
  <si>
    <t>VERONICA MORALES - AGOSTO</t>
  </si>
  <si>
    <t xml:space="preserve">FELICITY 701 </t>
  </si>
  <si>
    <t xml:space="preserve">CEIBAZUL 107 </t>
  </si>
  <si>
    <t xml:space="preserve">MIRADOR DE LA HACIENDA 618 </t>
  </si>
  <si>
    <t xml:space="preserve">FELICITY 1905 </t>
  </si>
  <si>
    <t>QUINTAS DE SAUSALITO CASA 153 - 2.600.000</t>
  </si>
  <si>
    <t>SENDERO VERDE 329 - 1.450.000</t>
  </si>
  <si>
    <t>CLIENTE NO LE GUSTA LA UBICACION</t>
  </si>
  <si>
    <t>DERLY AREIZA GLOBAL - AGOSTO</t>
  </si>
  <si>
    <t>RESERVAS DE PRADO 102</t>
  </si>
  <si>
    <t>INFORME SEDE ESTRELLA (ITAGÜI) - SEPTIEMBRE 2022</t>
  </si>
  <si>
    <t>CAPELLA 218</t>
  </si>
  <si>
    <t>VILLATERRA 501</t>
  </si>
  <si>
    <t>CAPELLA 815 - EMPALME</t>
  </si>
  <si>
    <t>GUAYACANANES DEL SUR 2105</t>
  </si>
  <si>
    <t xml:space="preserve">OK  </t>
  </si>
  <si>
    <t>CIUDADELA DEL PARQUE 1926</t>
  </si>
  <si>
    <t>CLIENTE NO LO TOMA PORQUE NO TIENE CUARTO UTIL</t>
  </si>
  <si>
    <t>AQUAVENTO 1.500.000</t>
  </si>
  <si>
    <t>PROPIETARIO SUBIO EL VALOR DEL CANON INQ NO ACEPTA</t>
  </si>
  <si>
    <t>CASA ABEDULES</t>
  </si>
  <si>
    <t>AL PAPA DE LA CLIENTE NO LE GUSTO LA CASA</t>
  </si>
  <si>
    <t>CALLE 76 SUR N° 57 – 39 CASA TOLEDO 3.000.000</t>
  </si>
  <si>
    <t>EL APTO NECESITA UNAS REPARACIONES MUY DEMORADAS</t>
  </si>
  <si>
    <t>LUISA QUINTERO - SEPTIEMBRE</t>
  </si>
  <si>
    <t>ALTOS DE SURAMERICA 505 - SUBROGACION</t>
  </si>
  <si>
    <t>CACTUS 1905 - 1.900.000</t>
  </si>
  <si>
    <t>INQUILINO ACTUAL RENOVO EL CONTRATO</t>
  </si>
  <si>
    <t>RESERVA DEL BOSQUE 413 - 1.550.000</t>
  </si>
  <si>
    <t>INQUILINA INDICA QUE NO PUEDE PAGAR EL CANON</t>
  </si>
  <si>
    <t>GUAYACANES DE PRADO 426 - 850.000</t>
  </si>
  <si>
    <t>CLIENTE NO LE GUSTA LA ZONA</t>
  </si>
  <si>
    <t>RESERVA DEL BOSQUE 1501 - 1.600.000</t>
  </si>
  <si>
    <t>CLIENTE NO PUEDE TOMAR EL APTO ESTE MES</t>
  </si>
  <si>
    <t>VERONICA MORALES - SEPTIEMBRE</t>
  </si>
  <si>
    <t>SIERRA MORENA  1905</t>
  </si>
  <si>
    <t xml:space="preserve">OK </t>
  </si>
  <si>
    <t xml:space="preserve">VILLATERRA 1406 </t>
  </si>
  <si>
    <t>VILLATERRA 501 - 2.100.000</t>
  </si>
  <si>
    <t>INQUILINO CONSIGUIO UNO MAS GRANDE EN SABANETA</t>
  </si>
  <si>
    <t>VILLA VERDE 105 - 1.700.000</t>
  </si>
  <si>
    <t>INQUILINA NO PODIA ESPERAR EL APTO</t>
  </si>
  <si>
    <t>FLORES DEL CAMPO 1129 - 1.100.000</t>
  </si>
  <si>
    <t>INQUILINA NO LE GUSTA POR QUE NO TIENE PARQUEADERO</t>
  </si>
  <si>
    <t xml:space="preserve">GUAYACANES DEL SUR </t>
  </si>
  <si>
    <t>LAURELES DEL VALLE 1813 - 1.600.000</t>
  </si>
  <si>
    <t>CLIENTE NO FIRMA EL CONTRATO Y NO VOLVIO  CONTESTAR</t>
  </si>
  <si>
    <t>cto 15065 propietari arrienda directo</t>
  </si>
  <si>
    <t>DERLY AREIZA GLOBAL - SEPTIEMBRE</t>
  </si>
  <si>
    <t>Se descuenta 48000 de CT 14265</t>
  </si>
  <si>
    <t>INFORME SEDE ESTRELLA (ITAGÜI) - OCTUBRE 2022</t>
  </si>
  <si>
    <t>VILLA VERDE 1008</t>
  </si>
  <si>
    <t xml:space="preserve">OK   </t>
  </si>
  <si>
    <t>VERDE VIVO CEIBA 3103 EMPALME</t>
  </si>
  <si>
    <t>CIUDADELA DEL VALLE 1601</t>
  </si>
  <si>
    <t>FELICITY 1314</t>
  </si>
  <si>
    <t>ORION 707</t>
  </si>
  <si>
    <t>ABEDULES CASA 101</t>
  </si>
  <si>
    <t>PTE FACTURA Y PAGO ADMON, PTE CORREO PAGO ADMON</t>
  </si>
  <si>
    <t>CACTUS 1805</t>
  </si>
  <si>
    <t>HUNGRIA 1507 - 1.800.000</t>
  </si>
  <si>
    <t xml:space="preserve">PITRIZA 909 </t>
  </si>
  <si>
    <t>FLORES DEL CAMPO 2202</t>
  </si>
  <si>
    <t>VILLA DEL PARQUE 911- 1.500.000</t>
  </si>
  <si>
    <t>OK PTE PREDIAL PARQUEADRO</t>
  </si>
  <si>
    <t>ORION 1602</t>
  </si>
  <si>
    <t>VILLA VERDE 425</t>
  </si>
  <si>
    <t>MANANTALES DE SURAMERICA 2403 - 1.500.000</t>
  </si>
  <si>
    <t>PROPIETARIA LE ARRIENDA A UN FAMILIAR</t>
  </si>
  <si>
    <t xml:space="preserve">AGUAS DEL BOSQUE 706 EMPALME </t>
  </si>
  <si>
    <t>VIILA VERDE 1430 - 1.600.000</t>
  </si>
  <si>
    <t>VERONICA MORALES - OCTUBRE</t>
  </si>
  <si>
    <t>FELICITY 510 - 1.200.000</t>
  </si>
  <si>
    <t>OKPTE PAGO ACUEDUCTO Y ALCALTARI</t>
  </si>
  <si>
    <t>CIUDADELA DEL PARQUE 2423 - EMPALME</t>
  </si>
  <si>
    <t>CAPELLA  305</t>
  </si>
  <si>
    <t>NATIVO ARENA 915 - 3.700.000 CAPTACION ENVIGADO</t>
  </si>
  <si>
    <t>AIRES DE SURAMERICA 1603 - 1.700.000</t>
  </si>
  <si>
    <t>CLIENTE SE SEPRARO DEL NOVIO Y YA no DESEAN TOMARLO</t>
  </si>
  <si>
    <t>CLIENTE SOLO QUIERE CONTRATO POR 3 MESES</t>
  </si>
  <si>
    <t>ABEDULES CASA 101 - 4.200.000</t>
  </si>
  <si>
    <t>RESERVA DEL BOSQUE 1405 - 1.700.000</t>
  </si>
  <si>
    <t>CAPELLA  305 - 1.600.000</t>
  </si>
  <si>
    <t>INFORME SEDE ESTRELLA (ITAGÜI) - NOVIEMBRE 2022</t>
  </si>
  <si>
    <t xml:space="preserve"> PTE PAGO EPM</t>
  </si>
  <si>
    <t>SIERRA MORENA 1620 - EMPALME</t>
  </si>
  <si>
    <t>PTE CORREO PAGO ADMON</t>
  </si>
  <si>
    <t>CARRERA 46 N° 43 - 35 - 1.200.000 SAN JOSE</t>
  </si>
  <si>
    <t>AGUAS DEL BOSQUE 903</t>
  </si>
  <si>
    <t>CALLE 75 B SUR N° 56 – 51 INT 201 VILLAS DE ALCANT</t>
  </si>
  <si>
    <t>CIUDADELA VILLA DEL BOSQUE 518 - 1.200.000</t>
  </si>
  <si>
    <t>INQUILINO NO LO TOMA POR EL VALOR YA QUE NO ERA NEG</t>
  </si>
  <si>
    <t>EDIFICIO GRACIELA SIMON BOLIVAR 301 - 1.400.000</t>
  </si>
  <si>
    <t>RESERVA DEL PRADO 1001 SUBROGACION</t>
  </si>
  <si>
    <t>ORION 409 - 1.200.000</t>
  </si>
  <si>
    <t>PTE FACTURA Y PAGO ADMON</t>
  </si>
  <si>
    <t>PTE FACTURA ADMON O PAZ Y SALVO</t>
  </si>
  <si>
    <t>GUAYACANES DEL SUR 1108</t>
  </si>
  <si>
    <t>PTE PAGO ADMON</t>
  </si>
  <si>
    <t>VILLA VERDE 2024 - EMPALME 1.600.000</t>
  </si>
  <si>
    <t xml:space="preserve">68 N° 63 – 44 INT 201 CASA CALATRAVA </t>
  </si>
  <si>
    <t>pte pago diferidos covid</t>
  </si>
  <si>
    <t>INQUILINA NO DESEA TOMARLO DICE QUE SE HIZO SIN SU CONCENTIMIENTO</t>
  </si>
  <si>
    <t>VERONICA MORALES - NOVIEMBRE</t>
  </si>
  <si>
    <t>CAPELLA 1018</t>
  </si>
  <si>
    <t>VILLA DEL PARQUE 2109 -1.900.000</t>
  </si>
  <si>
    <t>PIMONTI 9954</t>
  </si>
  <si>
    <t>INQUILINO DESEA VER MAS OPCIONES DE APTOS</t>
  </si>
  <si>
    <t>POLARIS 316 - 1.400.000</t>
  </si>
  <si>
    <t>PROPIETARIA ARRIENDA DIRECTO A UN FAMILIAR</t>
  </si>
  <si>
    <t>KAREN CASTRO SABANETA - NOVIEMBRE</t>
  </si>
  <si>
    <t>RESERVAS DEL PRADO 425 CESION CONTRATO</t>
  </si>
  <si>
    <t>RESERVAS DEL PRADO 424 CESION CONTRATO</t>
  </si>
  <si>
    <t>INFORME SEDE ESTRELLA (ITAGÜI) - DICIEMBRE 2022</t>
  </si>
  <si>
    <t>PTE PAGO EPM. PTE FACTURA ADMON Y PAGO,PTE COREO PAGO ADMON</t>
  </si>
  <si>
    <t>AQUAVENTO 912 - 1.500.000 EMPALME</t>
  </si>
  <si>
    <t>PROPIETARIA INCONFORME CON LA ENTREGA ARRIENDA DIRECTO</t>
  </si>
  <si>
    <t>VERONICA MORALES - DICIEMBRE</t>
  </si>
  <si>
    <t>CASA BARICHARA 970.000</t>
  </si>
  <si>
    <t>FELICITY 409 - 1.200.000 EMPALME</t>
  </si>
  <si>
    <t>MONTERIO 304 - 2.400.000</t>
  </si>
  <si>
    <t>CLIENTE ENCUENTRA ALGO MAS ECONOMICO</t>
  </si>
  <si>
    <t>INFORME DE CAPTACION ZONA ITAGUI - LA ESTRELLA  – ENERO 2021</t>
  </si>
  <si>
    <t>YERMANY CORREA ENERO 2021</t>
  </si>
  <si>
    <t>FECHA</t>
  </si>
  <si>
    <t>TIPO</t>
  </si>
  <si>
    <t xml:space="preserve">UNIDAD O DIRECCION </t>
  </si>
  <si>
    <t xml:space="preserve">SECTOR </t>
  </si>
  <si>
    <t>VALOR</t>
  </si>
  <si>
    <t xml:space="preserve">PORTERO O DIRECTO </t>
  </si>
  <si>
    <t xml:space="preserve">AVISOS </t>
  </si>
  <si>
    <t xml:space="preserve">FOTOS </t>
  </si>
  <si>
    <t>·#</t>
  </si>
  <si>
    <t>EJECUTIVA</t>
  </si>
  <si>
    <t>29/12/2020</t>
  </si>
  <si>
    <t>APTO</t>
  </si>
  <si>
    <t>FIORI VITA 2305</t>
  </si>
  <si>
    <t>FLORES</t>
  </si>
  <si>
    <t>NO</t>
  </si>
  <si>
    <t>QUINTA ESTRELLA 9709</t>
  </si>
  <si>
    <t>LA ESTRELLA</t>
  </si>
  <si>
    <t>PEREIRA</t>
  </si>
  <si>
    <t>30/12/2020</t>
  </si>
  <si>
    <t>AQUAVENTO 403</t>
  </si>
  <si>
    <t>FAJARDO</t>
  </si>
  <si>
    <t>FIORI VITA 2502</t>
  </si>
  <si>
    <t>RESTREPO</t>
  </si>
  <si>
    <t>AGUAS DEL BOSQUE 403</t>
  </si>
  <si>
    <t>OCAMPO</t>
  </si>
  <si>
    <t>CASA</t>
  </si>
  <si>
    <t>CASA JARDIN 030</t>
  </si>
  <si>
    <t>DIRECTO</t>
  </si>
  <si>
    <t>ORION 1112</t>
  </si>
  <si>
    <t>GOEZ</t>
  </si>
  <si>
    <t>ORION 504</t>
  </si>
  <si>
    <t>ORION 412</t>
  </si>
  <si>
    <t>13/01/2021</t>
  </si>
  <si>
    <t>ORION 507</t>
  </si>
  <si>
    <t>WILMAR ARENAS</t>
  </si>
  <si>
    <t>BOSQUE GRANDE 1721</t>
  </si>
  <si>
    <t>MUÑOZ</t>
  </si>
  <si>
    <t>14/01/2021</t>
  </si>
  <si>
    <t>ORION 301</t>
  </si>
  <si>
    <t>FIORI 1706</t>
  </si>
  <si>
    <t>19/01/2021</t>
  </si>
  <si>
    <t>ORION 1908</t>
  </si>
  <si>
    <t>ORION 509</t>
  </si>
  <si>
    <t>ESTRELLA DE MAR 404</t>
  </si>
  <si>
    <t>AQUAVENTO 1809</t>
  </si>
  <si>
    <t xml:space="preserve">FAJARDO </t>
  </si>
  <si>
    <t>20/01/2021</t>
  </si>
  <si>
    <t>COSTA AZUL 701</t>
  </si>
  <si>
    <t>21/01/2021</t>
  </si>
  <si>
    <t>MANANTIALES DE SURAMERICA 2401</t>
  </si>
  <si>
    <t>RODRIGUEZ</t>
  </si>
  <si>
    <t>CC VILLA GRANDE 110 PISO 2</t>
  </si>
  <si>
    <t>ENVIGADO</t>
  </si>
  <si>
    <t>22/01/2021</t>
  </si>
  <si>
    <t>APTO SAN PIO</t>
  </si>
  <si>
    <t>28/12/2020</t>
  </si>
  <si>
    <t>BRISAS DEL SUR 601</t>
  </si>
  <si>
    <t xml:space="preserve">ORION 1404 </t>
  </si>
  <si>
    <t>15/01/2021</t>
  </si>
  <si>
    <t>AQUAVENTO 1802</t>
  </si>
  <si>
    <t>PARQUE LA ESTRELLA 201</t>
  </si>
  <si>
    <t>ARBOLEDA DE LA ESTRELLA 1708</t>
  </si>
  <si>
    <t>GALLEGO</t>
  </si>
  <si>
    <t>ANDRES MIRANDA ENERO 2021</t>
  </si>
  <si>
    <t>TOLEDO CASA 89</t>
  </si>
  <si>
    <t>RUDA</t>
  </si>
  <si>
    <t>ENTREBOSQUES 2503</t>
  </si>
  <si>
    <t>YUDY</t>
  </si>
  <si>
    <t>ABEDULES 105</t>
  </si>
  <si>
    <t>JOHAN</t>
  </si>
  <si>
    <t>QUINTA ESTRELLA 1104</t>
  </si>
  <si>
    <t>PAMPLONA 233</t>
  </si>
  <si>
    <t xml:space="preserve">RODRIGO </t>
  </si>
  <si>
    <t>CACTUS 605</t>
  </si>
  <si>
    <t>ITIANY</t>
  </si>
  <si>
    <t>PITRIZA 511</t>
  </si>
  <si>
    <t>CAPELLA 1807</t>
  </si>
  <si>
    <t>SERNA</t>
  </si>
  <si>
    <t>ORION 802</t>
  </si>
  <si>
    <t>DIEGO ESCUDERO</t>
  </si>
  <si>
    <t>TEJADA</t>
  </si>
  <si>
    <t>FIORI 2001</t>
  </si>
  <si>
    <t>DIAZ</t>
  </si>
  <si>
    <t>18/01/2021</t>
  </si>
  <si>
    <t xml:space="preserve">RIVERA DE SURAMERICA </t>
  </si>
  <si>
    <t xml:space="preserve">DUVAN </t>
  </si>
  <si>
    <t>VIÑA DEL MAR 1221</t>
  </si>
  <si>
    <t>ELKIN</t>
  </si>
  <si>
    <t>PITRIZA 607</t>
  </si>
  <si>
    <t>ANDRES MUÑOZ</t>
  </si>
  <si>
    <t xml:space="preserve">PRADOS DEL CAMPO 2 </t>
  </si>
  <si>
    <t>SAN ANTONIO DE PRADO</t>
  </si>
  <si>
    <t>QUINTA DE LA QUINTA 107</t>
  </si>
  <si>
    <t xml:space="preserve">LOCAL </t>
  </si>
  <si>
    <t>CC VILLA GRANDE 110</t>
  </si>
  <si>
    <t xml:space="preserve">SANTA ANA 301 </t>
  </si>
  <si>
    <t>BELLO</t>
  </si>
  <si>
    <t>CC VILLA GRANDE 110 PISO 3</t>
  </si>
  <si>
    <t>PITRIZA 1103</t>
  </si>
  <si>
    <t>SENDERO DEL BOSQUE 303</t>
  </si>
  <si>
    <t>SENDEROS DEL BOSQUE 1403</t>
  </si>
  <si>
    <t>POLARIS 628</t>
  </si>
  <si>
    <t>RAMIREZ</t>
  </si>
  <si>
    <t>PROHISCO 101</t>
  </si>
  <si>
    <t>POLARIS 407</t>
  </si>
  <si>
    <t>ESTEBAN LOPEZ ENERO 2021</t>
  </si>
  <si>
    <t>SARA OSPINA</t>
  </si>
  <si>
    <t>RESERVA DEL BOSQUE 2509</t>
  </si>
  <si>
    <t>JHON ESPITIA</t>
  </si>
  <si>
    <t>MANTIA 1812</t>
  </si>
  <si>
    <t>RUSBEL</t>
  </si>
  <si>
    <t>RESERVA DEL PARQUE 2514</t>
  </si>
  <si>
    <t>CACTUS 1503</t>
  </si>
  <si>
    <t>RESERVA DEL BOSQUE 2315</t>
  </si>
  <si>
    <t>RESERVA DEL BOSQUE 514</t>
  </si>
  <si>
    <t>TORRES DE ARCANGEL 704</t>
  </si>
  <si>
    <t>ARELIS</t>
  </si>
  <si>
    <t>BAHIA GRANDE 2210</t>
  </si>
  <si>
    <t>RESERVA DEL BOSQUE 1809</t>
  </si>
  <si>
    <t>LOCAL</t>
  </si>
  <si>
    <t>PARQUE LLERAS PISO 2</t>
  </si>
  <si>
    <t>MEDELLIN</t>
  </si>
  <si>
    <t>CONDOMINIO ENTRE ARROYOS 1801</t>
  </si>
  <si>
    <t>VILLA VERDE 1521</t>
  </si>
  <si>
    <t>LILIANA MORALES</t>
  </si>
  <si>
    <t>VILLA VERDE 121</t>
  </si>
  <si>
    <t>FUENTE CLARA 104</t>
  </si>
  <si>
    <t>ENTRE ARROYOS 1701</t>
  </si>
  <si>
    <t>25/01/2021</t>
  </si>
  <si>
    <t>CL 12 43 B 45</t>
  </si>
  <si>
    <t>CL 31 69 15 APT 503</t>
  </si>
  <si>
    <t xml:space="preserve">ITAGUI </t>
  </si>
  <si>
    <t xml:space="preserve">CL 46 43 27 </t>
  </si>
  <si>
    <t>CAPELLA 724</t>
  </si>
  <si>
    <t>TOBIAS ROJO</t>
  </si>
  <si>
    <t>TORRES DE ARCANGEL 203</t>
  </si>
  <si>
    <t>PISO 1 VILLA LIA</t>
  </si>
  <si>
    <t>JOHAN MEJIA</t>
  </si>
  <si>
    <t>PALMAR DE SAN ANTONIO 115</t>
  </si>
  <si>
    <t>RESERVA DE PRADO ET 2 417</t>
  </si>
  <si>
    <t>SAN FRANCISCO 501</t>
  </si>
  <si>
    <t>LOMA LINDA</t>
  </si>
  <si>
    <t>CR 54 # 41 25 PISO 3</t>
  </si>
  <si>
    <t>EDISSON MONTOYA ENERO 2021</t>
  </si>
  <si>
    <t>CASA SAMARIA</t>
  </si>
  <si>
    <t>FRONTERA DE SURAMERICA 1504</t>
  </si>
  <si>
    <t>JUAN TUIRAN</t>
  </si>
  <si>
    <t>AIRES DEL BOSQUE 2016</t>
  </si>
  <si>
    <t>SABANETA</t>
  </si>
  <si>
    <t>PORTON DE LAS FLORES 502</t>
  </si>
  <si>
    <t>CARLOS PEREZ</t>
  </si>
  <si>
    <t>BRISA FRESCA</t>
  </si>
  <si>
    <t>RESERVA DEL PRADO 3 1103</t>
  </si>
  <si>
    <t>JARAMILLO</t>
  </si>
  <si>
    <t>ROTTERDAM 1403</t>
  </si>
  <si>
    <t>CACTUS 1304</t>
  </si>
  <si>
    <t>VILLA DEL PARQUE 2103</t>
  </si>
  <si>
    <t>PORTAL DEL LA ESTRELLA</t>
  </si>
  <si>
    <t>CIUDADELA DEL PARQUE 2016</t>
  </si>
  <si>
    <t>ADRIANA VILLA</t>
  </si>
  <si>
    <t>25/02/2021</t>
  </si>
  <si>
    <t>SIERRA MORENA 409</t>
  </si>
  <si>
    <t>CAPELLA 1621</t>
  </si>
  <si>
    <t>CL 52 A SUR 70 43</t>
  </si>
  <si>
    <t>CR 51 55 31</t>
  </si>
  <si>
    <t>RESERVA DEL PRADO 425</t>
  </si>
  <si>
    <t>MAURICIO</t>
  </si>
  <si>
    <t xml:space="preserve">FINCA </t>
  </si>
  <si>
    <t>CALLE 94 B SUR # 51 - 121</t>
  </si>
  <si>
    <t>PACIFICA 2601</t>
  </si>
  <si>
    <t>SANCHEZ</t>
  </si>
  <si>
    <t>RESERVAS DEL PRADO ETAPA 3 418</t>
  </si>
  <si>
    <t>COLINA VERDE 418</t>
  </si>
  <si>
    <t>AIRES DE SURAMERICA 902</t>
  </si>
  <si>
    <t>RAUL</t>
  </si>
  <si>
    <t>ALCAZAR DE LOS PRADOS 111</t>
  </si>
  <si>
    <t>PUERTO MONT 218</t>
  </si>
  <si>
    <t>AIRES DE SURAMERICA 1102</t>
  </si>
  <si>
    <t>DIREE</t>
  </si>
  <si>
    <t>MATEO ALVAREZ ENERO 2021</t>
  </si>
  <si>
    <t>EDIFICIO OASIS 501</t>
  </si>
  <si>
    <t>LISBOA 702</t>
  </si>
  <si>
    <t xml:space="preserve">EDWIN MORALES </t>
  </si>
  <si>
    <t>APARTAESTUDIO SAMARIA</t>
  </si>
  <si>
    <t>ED NUEVO SUR 201</t>
  </si>
  <si>
    <t>ENTRE BOSQUES 1415</t>
  </si>
  <si>
    <t>RESERVA DEL BOSQUE 2711</t>
  </si>
  <si>
    <t>DIEGO ESPITIA</t>
  </si>
  <si>
    <t>CASA LAS MARGARITAS</t>
  </si>
  <si>
    <t>LISBOA 1704</t>
  </si>
  <si>
    <t>PORTADA INMOBILIARIA ENERO 2021</t>
  </si>
  <si>
    <t>CALDAS 501</t>
  </si>
  <si>
    <t>CALDAS</t>
  </si>
  <si>
    <t>INFORME DE CAPTACION ZONA ITAGUI - LA ESTRELLA  – FEBRERO 2021</t>
  </si>
  <si>
    <t>YERMANY CORREA FEBRERO 2021</t>
  </si>
  <si>
    <t>27/01/2021</t>
  </si>
  <si>
    <t>CAPELLA 1809</t>
  </si>
  <si>
    <t>CAPELLA 421</t>
  </si>
  <si>
    <t>28/01/2021</t>
  </si>
  <si>
    <t>CAPELLA 1024</t>
  </si>
  <si>
    <t xml:space="preserve">ARAMUS 1001 </t>
  </si>
  <si>
    <t>CAPELLA 424</t>
  </si>
  <si>
    <t>30/01/2021</t>
  </si>
  <si>
    <t>CAPELLA 1321</t>
  </si>
  <si>
    <t>CAPELLA 1421</t>
  </si>
  <si>
    <t>MANANTIALES DE SURAMERICA 2103</t>
  </si>
  <si>
    <t>CAPELLA 414</t>
  </si>
  <si>
    <t>ORION 1505</t>
  </si>
  <si>
    <t>ORION 714</t>
  </si>
  <si>
    <t>LUIS MORALES</t>
  </si>
  <si>
    <t>PORTAL DE LA ESTRELLA 301</t>
  </si>
  <si>
    <t>JIMENEZ</t>
  </si>
  <si>
    <t>PORTAL DE LA ESTRELLA 1504</t>
  </si>
  <si>
    <t>ARBOLEDA DE LA ESTRELLA 502</t>
  </si>
  <si>
    <t>ORION 102</t>
  </si>
  <si>
    <t>PINO</t>
  </si>
  <si>
    <t>CAPELLA 720</t>
  </si>
  <si>
    <t>ALDEA DEL SUR 1313</t>
  </si>
  <si>
    <t>CAPELLA 524</t>
  </si>
  <si>
    <t>BOSQUE GRANDE 2624</t>
  </si>
  <si>
    <t xml:space="preserve">NO </t>
  </si>
  <si>
    <t>PORTAL DE LA ESTRELLA 1405</t>
  </si>
  <si>
    <t>ARREDONDO</t>
  </si>
  <si>
    <t>MANUEL</t>
  </si>
  <si>
    <t>16/02/2021</t>
  </si>
  <si>
    <t xml:space="preserve">LA FERRERIA </t>
  </si>
  <si>
    <t>LAS BRISAS</t>
  </si>
  <si>
    <t xml:space="preserve">SIERRA MORENA  1901 </t>
  </si>
  <si>
    <t>HURTADO</t>
  </si>
  <si>
    <t>ARBOLEDA DE LA ESTRELLA 902</t>
  </si>
  <si>
    <t>ALDEA DEL SUR 1603</t>
  </si>
  <si>
    <t>NICOLAS</t>
  </si>
  <si>
    <t>ANDRES MIRANDA FEBRERO 2021</t>
  </si>
  <si>
    <t>BILBAO 08</t>
  </si>
  <si>
    <t>VENECIA 308</t>
  </si>
  <si>
    <t>POLARIS 1611</t>
  </si>
  <si>
    <t>COSTA AZUL 504</t>
  </si>
  <si>
    <t>PITRIZA 1416</t>
  </si>
  <si>
    <t>TUKANA 101</t>
  </si>
  <si>
    <t>ROMAZINO 608</t>
  </si>
  <si>
    <t>23/02/2021</t>
  </si>
  <si>
    <t xml:space="preserve">APTO </t>
  </si>
  <si>
    <t xml:space="preserve">ORION 1314 </t>
  </si>
  <si>
    <t xml:space="preserve">GOES </t>
  </si>
  <si>
    <t>24/02/2021</t>
  </si>
  <si>
    <t>CENTRO COMERCIAL VENECIA 224</t>
  </si>
  <si>
    <t xml:space="preserve">MIRANDA </t>
  </si>
  <si>
    <t>17/02/2021</t>
  </si>
  <si>
    <t xml:space="preserve">PERALTA </t>
  </si>
  <si>
    <t>SIERRA MORENA 1506</t>
  </si>
  <si>
    <t xml:space="preserve">MORALES </t>
  </si>
  <si>
    <t>PUERTA DEL RODEO 1501</t>
  </si>
  <si>
    <t>AGUAS DEL BOSQUE 1301</t>
  </si>
  <si>
    <t>GUSTAVO</t>
  </si>
  <si>
    <t>ENTREBOSQUES 1415</t>
  </si>
  <si>
    <t>ENTREBOSQUES 307</t>
  </si>
  <si>
    <t>AGUAS DEL BOSQUE 1402</t>
  </si>
  <si>
    <t xml:space="preserve">DAVID </t>
  </si>
  <si>
    <t>18/02/2021</t>
  </si>
  <si>
    <t>PUERTO MONTT 211</t>
  </si>
  <si>
    <t xml:space="preserve">GARCIA </t>
  </si>
  <si>
    <t>19/02/2021</t>
  </si>
  <si>
    <t>VERDE VIVO 502</t>
  </si>
  <si>
    <t xml:space="preserve">FERNANDO </t>
  </si>
  <si>
    <t xml:space="preserve">CAPELLA 516 </t>
  </si>
  <si>
    <t>FLOREZ</t>
  </si>
  <si>
    <t xml:space="preserve">24/02/2021 </t>
  </si>
  <si>
    <t>RIVERA DE SURAMERICA 2012</t>
  </si>
  <si>
    <t>DUBAN</t>
  </si>
  <si>
    <t>SANDRA</t>
  </si>
  <si>
    <t>23/01/2021</t>
  </si>
  <si>
    <t xml:space="preserve">AGUAS DEL BOSQUE 302 </t>
  </si>
  <si>
    <t xml:space="preserve">DIRECTO </t>
  </si>
  <si>
    <t xml:space="preserve">VIÑA DEL MAR 401 </t>
  </si>
  <si>
    <t>ESTEBAN LOPEZ FEBRERO 2021</t>
  </si>
  <si>
    <t>BAHIA GRANDE 2408</t>
  </si>
  <si>
    <t>ENTRE COLINAS 507</t>
  </si>
  <si>
    <t xml:space="preserve">CL 84 A 52 D 80 </t>
  </si>
  <si>
    <t>15/02/2021</t>
  </si>
  <si>
    <t>KIWI 1804</t>
  </si>
  <si>
    <t>DIEGO JARAMILO</t>
  </si>
  <si>
    <t>RESERVA DEL BOSQUE 2714</t>
  </si>
  <si>
    <t xml:space="preserve">ALEXANDER </t>
  </si>
  <si>
    <t xml:space="preserve">GUILLERMO </t>
  </si>
  <si>
    <t xml:space="preserve">CRR  52 D  83- 21  </t>
  </si>
  <si>
    <t xml:space="preserve">16/02/2021 </t>
  </si>
  <si>
    <t>CRR 52 D 83-17</t>
  </si>
  <si>
    <t>17/01/2021</t>
  </si>
  <si>
    <t>CALLE 85 # 57-71 3 PISO</t>
  </si>
  <si>
    <t>RESERVA DEL BOSQUE 1009</t>
  </si>
  <si>
    <t xml:space="preserve">RESERVA DEL BOSQUE 1509 </t>
  </si>
  <si>
    <t>LOCAL CALLE 52 48- 31 PISO 1</t>
  </si>
  <si>
    <t>LOCAL CALLE 54 48-31 PISO 2</t>
  </si>
  <si>
    <t>LOCAL CALLE 54 48-31 PISO 3</t>
  </si>
  <si>
    <t xml:space="preserve">DIRECTO  </t>
  </si>
  <si>
    <t>BOSQUES DE SAUCES 1108</t>
  </si>
  <si>
    <t xml:space="preserve">LA TABLAZA </t>
  </si>
  <si>
    <t>22/02/2021</t>
  </si>
  <si>
    <t>PORTON DEL NORTE 605</t>
  </si>
  <si>
    <t>MACHADO</t>
  </si>
  <si>
    <t>CC. TESORO  LOCAL 1556</t>
  </si>
  <si>
    <t xml:space="preserve">POBLADO </t>
  </si>
  <si>
    <t>CASAS DE VALBUENA CASA 1080</t>
  </si>
  <si>
    <t>PALMAR DE SAN ANTONIO 507</t>
  </si>
  <si>
    <t xml:space="preserve">CACTUS 1702 </t>
  </si>
  <si>
    <t>SANDRA ROJO</t>
  </si>
  <si>
    <t>BAHIA GRANDE  1712</t>
  </si>
  <si>
    <t>TORRES DE BARCELONA 1911</t>
  </si>
  <si>
    <t>EDISSON MONTOYA FEBRERO 2021</t>
  </si>
  <si>
    <t>PACIFICA 2404</t>
  </si>
  <si>
    <t>ANDREA SANCHEZ</t>
  </si>
  <si>
    <t>CL 52 A SUR  70-43</t>
  </si>
  <si>
    <t>BARICHARA</t>
  </si>
  <si>
    <t>CIUDADELA DEL VALLE 9903</t>
  </si>
  <si>
    <t>SARA OSORIO</t>
  </si>
  <si>
    <t>VILLA DEL PARQUE 302</t>
  </si>
  <si>
    <t>PACIFICA 2408</t>
  </si>
  <si>
    <t xml:space="preserve">SANCHEZ </t>
  </si>
  <si>
    <t xml:space="preserve">VILLA VERDE 1828 </t>
  </si>
  <si>
    <t xml:space="preserve">LILIANA </t>
  </si>
  <si>
    <t>15/0/2021</t>
  </si>
  <si>
    <t xml:space="preserve">LOCAL PRIMER PISO LA RAYA </t>
  </si>
  <si>
    <t xml:space="preserve">PORTAL DE LAS FORES </t>
  </si>
  <si>
    <t>PACIFICICA 1802</t>
  </si>
  <si>
    <t>ANGEL</t>
  </si>
  <si>
    <t>CIUDADELA DEL VALLE 120</t>
  </si>
  <si>
    <t>OSORIO</t>
  </si>
  <si>
    <t>CAPELLA 1603</t>
  </si>
  <si>
    <t>BOSQUES DE SAUCES 1816</t>
  </si>
  <si>
    <t>CAPELLA 1124</t>
  </si>
  <si>
    <t xml:space="preserve">LAESTRELLA </t>
  </si>
  <si>
    <t xml:space="preserve">CASA BELEN </t>
  </si>
  <si>
    <t xml:space="preserve">CIUDADELA MONTEAZUL  1810 </t>
  </si>
  <si>
    <t>CASA PRADITO</t>
  </si>
  <si>
    <t>CRR 66 A 31 A SUR 8  COMPARTIR</t>
  </si>
  <si>
    <t>MANZANILLO 812</t>
  </si>
  <si>
    <t>AGUAS DEL BOSQUE 1505</t>
  </si>
  <si>
    <t xml:space="preserve">JOSE </t>
  </si>
  <si>
    <t>29/01/2021</t>
  </si>
  <si>
    <t>COLINA VERDE 202</t>
  </si>
  <si>
    <t>ALVAREZ</t>
  </si>
  <si>
    <t>CAPELLA 420</t>
  </si>
  <si>
    <t>PORTADA INMOBILIARIA FEBRERO 2021</t>
  </si>
  <si>
    <t>INFORME DE CAPTACION ZONA ITAGUI - LA ESTRELLA  – MARZO  2021</t>
  </si>
  <si>
    <t>YERMANI   MARZO 2021</t>
  </si>
  <si>
    <t>27/02/2021</t>
  </si>
  <si>
    <t>GUADULAES PARQUE RESIDENCIAL 1214</t>
  </si>
  <si>
    <t xml:space="preserve">TABLAZA </t>
  </si>
  <si>
    <t xml:space="preserve">SIERRA MORENA 107 </t>
  </si>
  <si>
    <t xml:space="preserve">PORTERO  </t>
  </si>
  <si>
    <t xml:space="preserve">ORION 914 </t>
  </si>
  <si>
    <t>PORTERO</t>
  </si>
  <si>
    <t>SENDERO DE SURAMERICA 405</t>
  </si>
  <si>
    <t xml:space="preserve">CAPELLA 1420 </t>
  </si>
  <si>
    <t xml:space="preserve">SIERRA MORENA 2009 </t>
  </si>
  <si>
    <t>ORION 612</t>
  </si>
  <si>
    <t xml:space="preserve">SENDERO DE SURAMERICA 202 </t>
  </si>
  <si>
    <t>WALTER</t>
  </si>
  <si>
    <t xml:space="preserve">COSTA AZUL 1104 </t>
  </si>
  <si>
    <t>15/03/2021</t>
  </si>
  <si>
    <t>BARLOVENTO 406</t>
  </si>
  <si>
    <t xml:space="preserve">CONDOMINIO CAMPESTRE SAN ISIDRO </t>
  </si>
  <si>
    <t xml:space="preserve">VEREDA SAN ISIDRO </t>
  </si>
  <si>
    <t>16/03/2021</t>
  </si>
  <si>
    <t>SIERRA MORENA 1210</t>
  </si>
  <si>
    <t xml:space="preserve">PORTERO </t>
  </si>
  <si>
    <t xml:space="preserve">BOSQUE GRANDE 1524 </t>
  </si>
  <si>
    <t xml:space="preserve">SENDERO DE SURAMERICA 603 </t>
  </si>
  <si>
    <t>PORTE</t>
  </si>
  <si>
    <t>18/03/2021</t>
  </si>
  <si>
    <t xml:space="preserve">SIERRA MORENA 1502 </t>
  </si>
  <si>
    <t xml:space="preserve">SIERRA MORENA 901 </t>
  </si>
  <si>
    <t>23/03/2021</t>
  </si>
  <si>
    <t>CAPELLA 1112</t>
  </si>
  <si>
    <t xml:space="preserve">SAUCES DEL SUR 605 </t>
  </si>
  <si>
    <t xml:space="preserve">CARDONA </t>
  </si>
  <si>
    <t>LAESTRELLA</t>
  </si>
  <si>
    <t>BOSQUE GRANDE 1322</t>
  </si>
  <si>
    <t>26/03/2021</t>
  </si>
  <si>
    <t>ANDRES MIRANDA  MARZO 2021</t>
  </si>
  <si>
    <t xml:space="preserve">ARBOLEDA DE LA ESTRELLA 1405 </t>
  </si>
  <si>
    <t xml:space="preserve">ARBOLEDA DE LA ESTRELLA 105 </t>
  </si>
  <si>
    <t>PITRIZA 613</t>
  </si>
  <si>
    <t>SENDEROS De SURAMERICA 903</t>
  </si>
  <si>
    <t>GUADULAES PARQUE RESIDENCIAL 1911</t>
  </si>
  <si>
    <t>LA TABLAZA</t>
  </si>
  <si>
    <t xml:space="preserve">COLINA DE ASIS 924 ETAPA B </t>
  </si>
  <si>
    <t xml:space="preserve">AGUAS DEL BOSQUE 1906 </t>
  </si>
  <si>
    <t>VERDE VIVO ARIZA 1913</t>
  </si>
  <si>
    <t>NATIVO APARATAMENTOS 302</t>
  </si>
  <si>
    <t>19/03/2021</t>
  </si>
  <si>
    <t>SAN AGUSTIN 189</t>
  </si>
  <si>
    <t>VIÑA DEL MAR 1110</t>
  </si>
  <si>
    <t xml:space="preserve">ROMAZINO 303 </t>
  </si>
  <si>
    <t>24/03/2021</t>
  </si>
  <si>
    <t>AGUAS DEL BOSQUE 1818</t>
  </si>
  <si>
    <t>TOINER</t>
  </si>
  <si>
    <t xml:space="preserve">ENTRE HOJAS 1902 </t>
  </si>
  <si>
    <t xml:space="preserve">OMAR </t>
  </si>
  <si>
    <t>25/03/2021</t>
  </si>
  <si>
    <t xml:space="preserve">LA CONCHA 106 </t>
  </si>
  <si>
    <t xml:space="preserve">COSTA AZUL 1506 </t>
  </si>
  <si>
    <t xml:space="preserve">COSTA AZUL 606 </t>
  </si>
  <si>
    <t>AQUAVENTO 1402</t>
  </si>
  <si>
    <t>MORATTO 702</t>
  </si>
  <si>
    <t xml:space="preserve"> EDISSON  MARZO 2021</t>
  </si>
  <si>
    <t>DITAIRES</t>
  </si>
  <si>
    <t>VILLA NOVA 1412</t>
  </si>
  <si>
    <t>JARDINES DE LA HACIENDA 1710</t>
  </si>
  <si>
    <t>CIUDADELA DEL VALLE 1851</t>
  </si>
  <si>
    <t xml:space="preserve">SENDERO DE SURAMERICA 906 </t>
  </si>
  <si>
    <t xml:space="preserve">JARDINES DE LA HACIENDA 1209 </t>
  </si>
  <si>
    <t>SENDERO VERDE 1213</t>
  </si>
  <si>
    <t xml:space="preserve">PACIFICA 1504 </t>
  </si>
  <si>
    <t xml:space="preserve">COLINA DE ASIS 1217 ETAPA B </t>
  </si>
  <si>
    <t>13/03/2021</t>
  </si>
  <si>
    <t xml:space="preserve">SAN GERMAN </t>
  </si>
  <si>
    <t>17/03/2021</t>
  </si>
  <si>
    <t xml:space="preserve">VILLA VERDE 2120 </t>
  </si>
  <si>
    <t xml:space="preserve">BOSQUES DE LA GLORIA 402 </t>
  </si>
  <si>
    <t>VILLA NOVA 21024</t>
  </si>
  <si>
    <t xml:space="preserve">APTO SANTA MARIA 50 -61 </t>
  </si>
  <si>
    <t>20/03/2021</t>
  </si>
  <si>
    <t xml:space="preserve">MANTIA 1209 </t>
  </si>
  <si>
    <t xml:space="preserve">RUSBEL </t>
  </si>
  <si>
    <t>RESERVA DEL PRADO 104</t>
  </si>
  <si>
    <t xml:space="preserve">SENDERO VERDE 604 </t>
  </si>
  <si>
    <t>CIUDADELA DEL PARQUE  1418</t>
  </si>
  <si>
    <t xml:space="preserve">ORION 1008 </t>
  </si>
  <si>
    <t xml:space="preserve">ENTRE VERDES CASA  16 </t>
  </si>
  <si>
    <t xml:space="preserve">PORTON DE LA HACIENDA 526 </t>
  </si>
  <si>
    <t xml:space="preserve">BRUJA BONITA 308 </t>
  </si>
  <si>
    <t xml:space="preserve">53-35 APTO 201 </t>
  </si>
  <si>
    <t xml:space="preserve">CIUDADDELA DEL VALLE 1851 </t>
  </si>
  <si>
    <t>ESTEBAN   MARZO 2021</t>
  </si>
  <si>
    <t>CRR 70 31-66</t>
  </si>
  <si>
    <t>RESERVA DEL PRADO 1112</t>
  </si>
  <si>
    <t>LOCAL 52-13</t>
  </si>
  <si>
    <t>SAN BERNARDO 71-37</t>
  </si>
  <si>
    <t xml:space="preserve">BELEN </t>
  </si>
  <si>
    <t>CANTARES 3 119</t>
  </si>
  <si>
    <t>AURORA</t>
  </si>
  <si>
    <t xml:space="preserve">BOSQUES DE LA GLORIA 601 </t>
  </si>
  <si>
    <t xml:space="preserve">BOSQUES DE LA GLORIA 503 </t>
  </si>
  <si>
    <t xml:space="preserve">LISBOA 704 </t>
  </si>
  <si>
    <t>MARZO 2021</t>
  </si>
  <si>
    <t xml:space="preserve">SAUCES DEL SUR 1106 </t>
  </si>
  <si>
    <t>g</t>
  </si>
  <si>
    <t>INFORME DE CAPTACION ZONA ITAGUI - LA ESTRELLA  – ABRIL  2021</t>
  </si>
  <si>
    <t>YERMANI   ABRIL 2021</t>
  </si>
  <si>
    <t>ALDEA DEL SUR 1312</t>
  </si>
  <si>
    <t>CLL 39  55A 31 PISO 1</t>
  </si>
  <si>
    <t>SIERRA MORENA 1202</t>
  </si>
  <si>
    <t>LA INMACULADA</t>
  </si>
  <si>
    <t>LA GRAN MANZANA 49-23 NIVEL 1</t>
  </si>
  <si>
    <t xml:space="preserve">ENTRE HOJAS 801 </t>
  </si>
  <si>
    <t>13/04/2021</t>
  </si>
  <si>
    <t xml:space="preserve">PLAZOLETA COMERCIAL ESTACION 52 </t>
  </si>
  <si>
    <t>AGUAS DEL BOSQUE 1902</t>
  </si>
  <si>
    <t xml:space="preserve">MEDITERRANEO APARTAMENTOS 1723 </t>
  </si>
  <si>
    <t xml:space="preserve">BELLO </t>
  </si>
  <si>
    <t>14/04/2021</t>
  </si>
  <si>
    <t>SIERRA MORENA 1616</t>
  </si>
  <si>
    <t xml:space="preserve">SIERRA MORENA 510 </t>
  </si>
  <si>
    <t>AIRES DE SURAMERICA 1004</t>
  </si>
  <si>
    <t>15/04/2021</t>
  </si>
  <si>
    <t xml:space="preserve">PARQUE ECOLOGICO LA ALDEA </t>
  </si>
  <si>
    <t>19/04/2021</t>
  </si>
  <si>
    <t>SENDERO DE SURAMERICA 203</t>
  </si>
  <si>
    <t>21/04/2021</t>
  </si>
  <si>
    <t xml:space="preserve">POLARIS  1714 </t>
  </si>
  <si>
    <t xml:space="preserve">SIERRA MORENA 1809 </t>
  </si>
  <si>
    <t xml:space="preserve">BARILOCHE 201 </t>
  </si>
  <si>
    <t>ALDEA DEL SUR 1804</t>
  </si>
  <si>
    <t>28/03/2021</t>
  </si>
  <si>
    <t>BOSQUE GRANDE 1624</t>
  </si>
  <si>
    <t xml:space="preserve">ORION 705 </t>
  </si>
  <si>
    <t xml:space="preserve">HACIENDA SANTA INES 425 </t>
  </si>
  <si>
    <t>PORTAL DE LA ESTRELLA 606</t>
  </si>
  <si>
    <t>FLORIDA DE NORTE AMERICA 1812</t>
  </si>
  <si>
    <t>MADEROS DEL CAMPO III 2302</t>
  </si>
  <si>
    <t xml:space="preserve">BAHIA GRANDE 2704 </t>
  </si>
  <si>
    <t xml:space="preserve">SALTAMONTES 1008 </t>
  </si>
  <si>
    <t xml:space="preserve">SEIRRA MORENA 1809 </t>
  </si>
  <si>
    <t>ANDRES  ABRIL 2021</t>
  </si>
  <si>
    <t>29/03/2021</t>
  </si>
  <si>
    <t>CAPELLA  1422</t>
  </si>
  <si>
    <t xml:space="preserve">CLL 66 A 44 A 16 SIMON BOLIVAR </t>
  </si>
  <si>
    <t>MORATTO 503</t>
  </si>
  <si>
    <t xml:space="preserve">LOS ARBOLES 2205 </t>
  </si>
  <si>
    <t xml:space="preserve">BIOCITY GRAN 317 </t>
  </si>
  <si>
    <t xml:space="preserve">ENVIGADO </t>
  </si>
  <si>
    <t>CASA FERRERIA 62 A 66</t>
  </si>
  <si>
    <t xml:space="preserve">YERBA BUENA  </t>
  </si>
  <si>
    <t xml:space="preserve">POBLADO  </t>
  </si>
  <si>
    <t>MORATTO 1202</t>
  </si>
  <si>
    <t xml:space="preserve">LISBOA 803 </t>
  </si>
  <si>
    <t xml:space="preserve">AQUAVENTO 104 </t>
  </si>
  <si>
    <t xml:space="preserve">SENDERO DEL BOSQUE 1502 </t>
  </si>
  <si>
    <t xml:space="preserve">ROMAZINO 1515 </t>
  </si>
  <si>
    <t>20/04/2021</t>
  </si>
  <si>
    <t>CAPELLA 613</t>
  </si>
  <si>
    <t>BOSQUES DE SAUCES 2018</t>
  </si>
  <si>
    <t xml:space="preserve">ROMAZINO 210 </t>
  </si>
  <si>
    <t>26/04/2021</t>
  </si>
  <si>
    <t xml:space="preserve">ARBOLEDA DE LA ESTRELLA 2105 </t>
  </si>
  <si>
    <t xml:space="preserve">CENTRO COMERCIAL VENECIA 223 </t>
  </si>
  <si>
    <t xml:space="preserve">AGUAS DEL BOSQUE 501 </t>
  </si>
  <si>
    <t>MANANTIALES DE SURAMERICA 903</t>
  </si>
  <si>
    <t>EDISSON  ABRIL 2021</t>
  </si>
  <si>
    <t xml:space="preserve">LAURELES DEL SUR 1401 </t>
  </si>
  <si>
    <t>30/03/2021</t>
  </si>
  <si>
    <t>GUAYACANES DE PRADO 512</t>
  </si>
  <si>
    <t>GUAYACANES DE PRADO 507</t>
  </si>
  <si>
    <t>GUAYACANES DE PRADO 509</t>
  </si>
  <si>
    <t>VILLA NOVA 2104</t>
  </si>
  <si>
    <t>VILLA VERDE 2123</t>
  </si>
  <si>
    <t>SENDERO VERDE 817</t>
  </si>
  <si>
    <t>PLAZA ARRAYANES LOCAL 215</t>
  </si>
  <si>
    <t xml:space="preserve">AIRES DE SURAMERICA 402 </t>
  </si>
  <si>
    <t xml:space="preserve">PORTERO   </t>
  </si>
  <si>
    <t xml:space="preserve">PACIFICA 2408 </t>
  </si>
  <si>
    <t>22/04/2021</t>
  </si>
  <si>
    <t xml:space="preserve">RESERVAS DEL PRADO  413 </t>
  </si>
  <si>
    <t>VILLA VERDE 1424</t>
  </si>
  <si>
    <t xml:space="preserve">VILLA VERDE 629 </t>
  </si>
  <si>
    <t xml:space="preserve">CLL 38 SUR  81 -06 </t>
  </si>
  <si>
    <t xml:space="preserve">VILLA VERDE 2024 </t>
  </si>
  <si>
    <t>PACIFICA 2005</t>
  </si>
  <si>
    <t xml:space="preserve">CIUDADELA SAN DIEGO  201 </t>
  </si>
  <si>
    <t xml:space="preserve">CIUDADELA DEL PARQUE 1418 </t>
  </si>
  <si>
    <t xml:space="preserve">PACIFICA 1301 </t>
  </si>
  <si>
    <t>PORTADA ABRIL 2021</t>
  </si>
  <si>
    <t>INFORME DE CAPTACION ZONA ITAGUI - LA ESTRELLA  – MAYO  2021</t>
  </si>
  <si>
    <t>YERMANI   MAYO  2021</t>
  </si>
  <si>
    <t xml:space="preserve">AGUA CLARA 1506 </t>
  </si>
  <si>
    <t>EDIFICIO GALES 2006</t>
  </si>
  <si>
    <t>NIQUIA</t>
  </si>
  <si>
    <t>29/04/2021</t>
  </si>
  <si>
    <t>MANANTIALES DE SAN JOSE 1711</t>
  </si>
  <si>
    <t xml:space="preserve">LOMA SAN JOSE </t>
  </si>
  <si>
    <t xml:space="preserve">VENTAS </t>
  </si>
  <si>
    <t>TRIGALES 2531</t>
  </si>
  <si>
    <t>NATURA 1718</t>
  </si>
  <si>
    <t xml:space="preserve">AVES MARIAS </t>
  </si>
  <si>
    <t>MONTEPARAISO 2011</t>
  </si>
  <si>
    <t>CALASANZ</t>
  </si>
  <si>
    <t>BOAVISTA 1109</t>
  </si>
  <si>
    <t>AMAZONIA BELLO</t>
  </si>
  <si>
    <t xml:space="preserve">CARRERA 52 A # 72 - 136 </t>
  </si>
  <si>
    <t xml:space="preserve">SANTA MARIA </t>
  </si>
  <si>
    <t xml:space="preserve">CARRERA 55B # 79 BB SUR 12 </t>
  </si>
  <si>
    <t xml:space="preserve">ESTRELLA DE SUR </t>
  </si>
  <si>
    <t>18/05/2021</t>
  </si>
  <si>
    <t xml:space="preserve">LA INMACULADA </t>
  </si>
  <si>
    <t>21/05/2021</t>
  </si>
  <si>
    <t>CAPELLA 711</t>
  </si>
  <si>
    <t xml:space="preserve">FERRERIA </t>
  </si>
  <si>
    <t>POLARIS 518</t>
  </si>
  <si>
    <t>AGUAS DEL BOSQUE 506</t>
  </si>
  <si>
    <t xml:space="preserve">CEIBA AZUL 904 </t>
  </si>
  <si>
    <t xml:space="preserve">LAS BRISAS </t>
  </si>
  <si>
    <t xml:space="preserve">CEIBA AZUL 402 </t>
  </si>
  <si>
    <t>CEIBA AZUL 1302</t>
  </si>
  <si>
    <t>ARBOLEDA DE LA ESTRELLA 501</t>
  </si>
  <si>
    <t xml:space="preserve">LA ALDEA </t>
  </si>
  <si>
    <t>ESTRELLAS DEL SUR -79BB SUR-12</t>
  </si>
  <si>
    <t xml:space="preserve">ALDEA DEL SUR 1101 </t>
  </si>
  <si>
    <t xml:space="preserve">LA  ALDEA </t>
  </si>
  <si>
    <t>ALDEA DEL SUR 206</t>
  </si>
  <si>
    <t xml:space="preserve">CARRERA 53 AB # 31-33 </t>
  </si>
  <si>
    <t>ROBLES DEL SUR</t>
  </si>
  <si>
    <t xml:space="preserve"> NO</t>
  </si>
  <si>
    <t xml:space="preserve">LUISA MARIN </t>
  </si>
  <si>
    <t>FRONTERAS DELL SUR 208</t>
  </si>
  <si>
    <t>14/052021</t>
  </si>
  <si>
    <t>SIERRA MORENA 1705</t>
  </si>
  <si>
    <t>15/05/2021</t>
  </si>
  <si>
    <t>SCALA 1906</t>
  </si>
  <si>
    <t>RESTREPO NARANJO</t>
  </si>
  <si>
    <t>20/05/2021</t>
  </si>
  <si>
    <t>LAR 803</t>
  </si>
  <si>
    <t>24/05/2021</t>
  </si>
  <si>
    <t>RIVERA DE SUMERICA 1612</t>
  </si>
  <si>
    <t xml:space="preserve">PORTON DE LA HACIENDA 1209 </t>
  </si>
  <si>
    <t>ANDRES MAYO  2021</t>
  </si>
  <si>
    <t xml:space="preserve">COSTA AZUL 509 </t>
  </si>
  <si>
    <t xml:space="preserve">TOLEDO </t>
  </si>
  <si>
    <t>VERDE UNO ARIZA 2008</t>
  </si>
  <si>
    <t>NATIVO 803</t>
  </si>
  <si>
    <t>CENTRO COMERCIAL VENECIA 223</t>
  </si>
  <si>
    <t xml:space="preserve">26/04/2021 </t>
  </si>
  <si>
    <t>ARBOLEDA DE L AESTRELLA 2105</t>
  </si>
  <si>
    <t>POLARIS 201</t>
  </si>
  <si>
    <t>POLARIS 1318</t>
  </si>
  <si>
    <t>PORTEO</t>
  </si>
  <si>
    <t>COSTA AZUL 509</t>
  </si>
  <si>
    <t>COSTA AZUL 1009</t>
  </si>
  <si>
    <t>CACTUS T2 704</t>
  </si>
  <si>
    <t xml:space="preserve">AQUAVENTO </t>
  </si>
  <si>
    <t>SIERRA MORENA 1704</t>
  </si>
  <si>
    <t>CALLE 67 # 48-07 INT 201</t>
  </si>
  <si>
    <t xml:space="preserve">SIMON BOLIVAR </t>
  </si>
  <si>
    <t>13/05/2021</t>
  </si>
  <si>
    <t>ROMAZINO 1608</t>
  </si>
  <si>
    <t>ROMAZINO 1415</t>
  </si>
  <si>
    <t>14/05/2021</t>
  </si>
  <si>
    <t>COSTA AZUL 906</t>
  </si>
  <si>
    <t>ALDEA DEL SUR 1613</t>
  </si>
  <si>
    <t>19/05/2021</t>
  </si>
  <si>
    <t>CALLE 45 # 86</t>
  </si>
  <si>
    <t xml:space="preserve">LA AMERICA </t>
  </si>
  <si>
    <t>COSTA AZUL 1412</t>
  </si>
  <si>
    <t>SENDERO DEL BOSQUE 1602</t>
  </si>
  <si>
    <t>25/05/2021</t>
  </si>
  <si>
    <t>LISBOA 1903</t>
  </si>
  <si>
    <t>CASA TARDIN 284</t>
  </si>
  <si>
    <t>SUEÑOS DE TAMPA 303</t>
  </si>
  <si>
    <t>BELLAVISTA</t>
  </si>
  <si>
    <t>EDISSON  MAYO  2021</t>
  </si>
  <si>
    <t>VILLA VERDE 821</t>
  </si>
  <si>
    <t xml:space="preserve">EL GUAYABO </t>
  </si>
  <si>
    <t>POBLADO DEL SUR 308</t>
  </si>
  <si>
    <t>27/05/2021</t>
  </si>
  <si>
    <t xml:space="preserve">JARDIENES DE LA HACIENDA 1709 </t>
  </si>
  <si>
    <t>28/04/2021</t>
  </si>
  <si>
    <t>RESERVA DEL PRADO 426</t>
  </si>
  <si>
    <t xml:space="preserve">EL VERGEL </t>
  </si>
  <si>
    <t>SENDERO VERDE 944</t>
  </si>
  <si>
    <t>TIERRA GRATA 2008</t>
  </si>
  <si>
    <t xml:space="preserve">EL ESMERALDAL </t>
  </si>
  <si>
    <t>RESERVA DEL BOSQUE 2211</t>
  </si>
  <si>
    <t>ARTEX</t>
  </si>
  <si>
    <t>GASCUÑA 274</t>
  </si>
  <si>
    <t>GUAYACANES DE PRADO 416</t>
  </si>
  <si>
    <t>PRADITO</t>
  </si>
  <si>
    <t>RESERVA DEL BOSQUE 2716</t>
  </si>
  <si>
    <t>CIUDADELA DEL VALLE 1847</t>
  </si>
  <si>
    <t>COLINA DE ASIS 331</t>
  </si>
  <si>
    <t xml:space="preserve">DITAIRES </t>
  </si>
  <si>
    <t>COLINA DE ASIS 330</t>
  </si>
  <si>
    <t>JARDINES DE LA HACIENDA 402</t>
  </si>
  <si>
    <t>PACIFICA 2303</t>
  </si>
  <si>
    <t xml:space="preserve">RESERVAS DEL PRADO 408 </t>
  </si>
  <si>
    <t>CALLE 63 A # 55-68 AP 301</t>
  </si>
  <si>
    <t>PORTADA  MAYO  2021</t>
  </si>
  <si>
    <t>AGUAS DEL BOSQUE 1201</t>
  </si>
  <si>
    <t>INFORME DE CAPTACION ZONA ITAGUI - LA ESTRELLA  – JUNIO  2021</t>
  </si>
  <si>
    <t>YERMANI  JUNIO  2021</t>
  </si>
  <si>
    <t>LLAVES</t>
  </si>
  <si>
    <t xml:space="preserve">CARRERA 62 # 81 SUR 77 AP 102 </t>
  </si>
  <si>
    <t xml:space="preserve">LOS TANQUES </t>
  </si>
  <si>
    <t>CITA</t>
  </si>
  <si>
    <t>CIUDADELA DEL VALLE 106</t>
  </si>
  <si>
    <t>TUKANA 208</t>
  </si>
  <si>
    <t>26/05/2021</t>
  </si>
  <si>
    <t>PORERO</t>
  </si>
  <si>
    <t>28/05/2021</t>
  </si>
  <si>
    <t xml:space="preserve">COSTA AZUL 1202 </t>
  </si>
  <si>
    <t xml:space="preserve">TOLEDA </t>
  </si>
  <si>
    <t>31/05/2021</t>
  </si>
  <si>
    <t>MANZANARES DE LA CUENCA 521</t>
  </si>
  <si>
    <t xml:space="preserve">LA CUENCA </t>
  </si>
  <si>
    <t>ARBOLEDA DEMLA ESTRELLA 602</t>
  </si>
  <si>
    <t>PORTERIA</t>
  </si>
  <si>
    <t>MANANTIALES DE SURAMERICA 203</t>
  </si>
  <si>
    <t>MANANTIALES DE SURAMERICA 1101</t>
  </si>
  <si>
    <t>ADRIANA ZAPATA</t>
  </si>
  <si>
    <t>AIRES DE SURAMERICA 1901</t>
  </si>
  <si>
    <t>ROMAZINO 612</t>
  </si>
  <si>
    <t>AQUAVENTO 1004</t>
  </si>
  <si>
    <t xml:space="preserve">LISBOA 1207 </t>
  </si>
  <si>
    <t>TUKANA 1901</t>
  </si>
  <si>
    <t>17/06/2021</t>
  </si>
  <si>
    <t>FRONTERA DE SURAMERICA 1804</t>
  </si>
  <si>
    <t xml:space="preserve">FLORES DEL CAMPO 1302 </t>
  </si>
  <si>
    <t>FLORES DEL CAMPO 104</t>
  </si>
  <si>
    <t>19/06/2021</t>
  </si>
  <si>
    <t>FLORES DEL CAMPO 1622</t>
  </si>
  <si>
    <t>22/06/2021</t>
  </si>
  <si>
    <t>ALCAZAR DE LOS PRADOS 112</t>
  </si>
  <si>
    <t>23/06/2021</t>
  </si>
  <si>
    <t>BODEGA</t>
  </si>
  <si>
    <t xml:space="preserve">PARQUEADERO SANTA RITA </t>
  </si>
  <si>
    <t xml:space="preserve">PORTERIA </t>
  </si>
  <si>
    <t>CALLE 82 # 50 A 98</t>
  </si>
  <si>
    <t>ANDRES JUNIO  2021</t>
  </si>
  <si>
    <t xml:space="preserve">AQUAVENTO 1815 </t>
  </si>
  <si>
    <t>VENTAS</t>
  </si>
  <si>
    <t>ALDEA DEL SUR 701</t>
  </si>
  <si>
    <t xml:space="preserve">ALDEA DEL SUR 801 </t>
  </si>
  <si>
    <t>CACTUS TORRE 2 AP 1404</t>
  </si>
  <si>
    <t>ALDEA DEL SUR 705</t>
  </si>
  <si>
    <t>POLARIS 1102</t>
  </si>
  <si>
    <t>CACTUS TORRE 2 AP 2105</t>
  </si>
  <si>
    <t xml:space="preserve">ED GIRADOLES V AP 401 </t>
  </si>
  <si>
    <t>LA MERCEDES</t>
  </si>
  <si>
    <t>CAPELLA 1204</t>
  </si>
  <si>
    <t>COSTA AZUL 1306</t>
  </si>
  <si>
    <t>15/06/2021</t>
  </si>
  <si>
    <t xml:space="preserve">ALDEA DEL SUR 1908 </t>
  </si>
  <si>
    <t>16/06/2021</t>
  </si>
  <si>
    <t xml:space="preserve">ED MYM IX AP 402 </t>
  </si>
  <si>
    <t>LISBOA 1103</t>
  </si>
  <si>
    <t>LISBOA 602</t>
  </si>
  <si>
    <t>AQUAVENTO 1815</t>
  </si>
  <si>
    <t>18/06/2021</t>
  </si>
  <si>
    <t>SENDERO DEL BOSQUE 712</t>
  </si>
  <si>
    <t>ALDEA DEL SUR 713</t>
  </si>
  <si>
    <t>24/06/2021</t>
  </si>
  <si>
    <t>COSTA AZUL 1004</t>
  </si>
  <si>
    <t>25/06/2021</t>
  </si>
  <si>
    <t xml:space="preserve">M&amp;M PRIMER PISO </t>
  </si>
  <si>
    <t>EDISSON  JUNIO  2021</t>
  </si>
  <si>
    <t>COLINA DE ASIS 1030</t>
  </si>
  <si>
    <t xml:space="preserve">RESERVAS DEL PRADO 1801 </t>
  </si>
  <si>
    <t>PLAZA ARRAYANES LC 130</t>
  </si>
  <si>
    <t>SENDERO VERDE 614</t>
  </si>
  <si>
    <t>EL GUAYABO</t>
  </si>
  <si>
    <t>RESERVA DEL PRADO 119</t>
  </si>
  <si>
    <t>EL VERGEL</t>
  </si>
  <si>
    <t>RESERVA DEL PRADO 512</t>
  </si>
  <si>
    <t>RESERVA DEL PRADO 9817</t>
  </si>
  <si>
    <t xml:space="preserve">CALLE 36 # 80 AA 24/26 </t>
  </si>
  <si>
    <t xml:space="preserve">LAURELES </t>
  </si>
  <si>
    <t>LAURELES</t>
  </si>
  <si>
    <t>BAHIA GRANDE 2301</t>
  </si>
  <si>
    <t>ITAGUI PLAZA 221</t>
  </si>
  <si>
    <t>SANTA MARIA</t>
  </si>
  <si>
    <t xml:space="preserve">APARTAESTUDIO </t>
  </si>
  <si>
    <t xml:space="preserve">CALLE 63 A # 55- 54 </t>
  </si>
  <si>
    <t xml:space="preserve">CALLE 52 # 49-71 AP 301 </t>
  </si>
  <si>
    <t xml:space="preserve">LOS NARANJOS </t>
  </si>
  <si>
    <t>JARDINES DE LA HACIENDA 717</t>
  </si>
  <si>
    <t>RESERVAS DE PRADO 9802</t>
  </si>
  <si>
    <t>JARDINES DE LA HACIENDA 1011</t>
  </si>
  <si>
    <t xml:space="preserve">SENDERO VERDE 416 </t>
  </si>
  <si>
    <t>PORTADA  JUNIO  2021</t>
  </si>
  <si>
    <t>13/06/2021</t>
  </si>
  <si>
    <t>INFORME DE CAPTACION ZONA ITAGUI - LA ESTRELLA  – JULIO  2021</t>
  </si>
  <si>
    <t>YERMANI  JULIO  2021</t>
  </si>
  <si>
    <t>29/06/2021</t>
  </si>
  <si>
    <t>POBLADO DEL SUR 805</t>
  </si>
  <si>
    <t>PORTAL DE LA ESTRELLA 1506</t>
  </si>
  <si>
    <t>FLORES DEL CAMPO 103</t>
  </si>
  <si>
    <t>21/07/2021</t>
  </si>
  <si>
    <t>FLORES DEL CAMPO 629</t>
  </si>
  <si>
    <t>26/06/2021</t>
  </si>
  <si>
    <t>M&amp;M AP 302</t>
  </si>
  <si>
    <t xml:space="preserve">ADRIANA ZAPATA </t>
  </si>
  <si>
    <t>28/06/2021</t>
  </si>
  <si>
    <t xml:space="preserve">JARDINES DE LA HACIENDA 519 </t>
  </si>
  <si>
    <t xml:space="preserve">BARICHARA </t>
  </si>
  <si>
    <t>APARTAESTUDIO</t>
  </si>
  <si>
    <t>FRONTERAS DE SURAMERICA 2403</t>
  </si>
  <si>
    <t>SIERRA MORENA 1910</t>
  </si>
  <si>
    <t>SENDEROS DEL BOSQUE 1111</t>
  </si>
  <si>
    <t>ALAMEDA 1202</t>
  </si>
  <si>
    <t xml:space="preserve">SENDEROS DEL BOSQUE 2010 </t>
  </si>
  <si>
    <t>FERRERIA</t>
  </si>
  <si>
    <t>13/07/2021</t>
  </si>
  <si>
    <t>AQUAVENTO 1706</t>
  </si>
  <si>
    <t>MANANTIALES DE SURAMERICA 1501</t>
  </si>
  <si>
    <t>14/07/2021</t>
  </si>
  <si>
    <t>MANANTIALES DE SURAMERICA 1803</t>
  </si>
  <si>
    <t>AQUAVENTO 1110</t>
  </si>
  <si>
    <t>LA LADEA</t>
  </si>
  <si>
    <t>19/07/2021</t>
  </si>
  <si>
    <t>MOTATTO 1101</t>
  </si>
  <si>
    <t>MORATTO 1201</t>
  </si>
  <si>
    <t>LA FERRERIA</t>
  </si>
  <si>
    <t xml:space="preserve">MANANTIALES DE SURAMERICA 2203 </t>
  </si>
  <si>
    <t xml:space="preserve">FIORI 701 </t>
  </si>
  <si>
    <t xml:space="preserve">ROMAZINO 1504 </t>
  </si>
  <si>
    <t xml:space="preserve">CALLE 65 # 55 - 32 PISO 2 </t>
  </si>
  <si>
    <t xml:space="preserve">FERRARA </t>
  </si>
  <si>
    <t xml:space="preserve">BODEGA </t>
  </si>
  <si>
    <t xml:space="preserve">CARRERA 55 # 77 SUR 146 </t>
  </si>
  <si>
    <t>BAVARIA</t>
  </si>
  <si>
    <t>ANDRES JULIO  2021</t>
  </si>
  <si>
    <t>30/06/2021</t>
  </si>
  <si>
    <t>AQUAVENTO 502</t>
  </si>
  <si>
    <t>VIÑA DEL MAR 415</t>
  </si>
  <si>
    <t>ALDEA DEL SUR 413</t>
  </si>
  <si>
    <t>LISBOA 1303</t>
  </si>
  <si>
    <t>PACIFICA 816</t>
  </si>
  <si>
    <t>MANTIA 1407</t>
  </si>
  <si>
    <t xml:space="preserve">PORVENIR </t>
  </si>
  <si>
    <t>22/07/2021</t>
  </si>
  <si>
    <t>ENTREHOJAS 1410</t>
  </si>
  <si>
    <t>ENTREHOJAS 1009</t>
  </si>
  <si>
    <t>EDISSON  JULIO  2021</t>
  </si>
  <si>
    <t xml:space="preserve">JARDINES DE LA HACIENDA 907 </t>
  </si>
  <si>
    <t xml:space="preserve">BRISA FRESCA </t>
  </si>
  <si>
    <t xml:space="preserve">CALLE 66 # 46-14 </t>
  </si>
  <si>
    <t>GUAYACANES DE PRADO 407</t>
  </si>
  <si>
    <t>SENDERO VERDE 828</t>
  </si>
  <si>
    <t>VILLA VERDE 819</t>
  </si>
  <si>
    <t>9/07/2021|</t>
  </si>
  <si>
    <t>RESERVA DEL PRADO 9911</t>
  </si>
  <si>
    <t xml:space="preserve">CITA </t>
  </si>
  <si>
    <t>RESERVA DE PRADO 9809</t>
  </si>
  <si>
    <t>17/07/2021</t>
  </si>
  <si>
    <t>PORTON DE LA HACIENDA 9901</t>
  </si>
  <si>
    <t>LISBOA 3011</t>
  </si>
  <si>
    <t xml:space="preserve">AVES MARIA </t>
  </si>
  <si>
    <t>23/07/2021</t>
  </si>
  <si>
    <t>SENDERO VERDE 1307</t>
  </si>
  <si>
    <t xml:space="preserve">VILLA AVENTURA </t>
  </si>
  <si>
    <t>PACIFICIA 713</t>
  </si>
  <si>
    <t>25/07/2021</t>
  </si>
  <si>
    <t>PACIFICA 1815</t>
  </si>
  <si>
    <t>26/07/2021</t>
  </si>
  <si>
    <t>PACIFICA 2716</t>
  </si>
  <si>
    <t>PACIFICA 604</t>
  </si>
  <si>
    <t>27/07/2021</t>
  </si>
  <si>
    <t xml:space="preserve">FELICITY 1907 </t>
  </si>
  <si>
    <t xml:space="preserve">PUEBLO VIEJO </t>
  </si>
  <si>
    <t xml:space="preserve">FELICITY 507 </t>
  </si>
  <si>
    <t>LUIS LOPEZ JULIO  2021</t>
  </si>
  <si>
    <t>ED EL AMANECER 401</t>
  </si>
  <si>
    <t>RIVERA DE SURAMERICA 707</t>
  </si>
  <si>
    <t xml:space="preserve">SANTA CATALINA </t>
  </si>
  <si>
    <t>CEIBA 2802</t>
  </si>
  <si>
    <t>CALLE 42 # 54-17 INT 302</t>
  </si>
  <si>
    <t>SATESCO</t>
  </si>
  <si>
    <t>EDIFICIO LA CEIBA 501</t>
  </si>
  <si>
    <t xml:space="preserve">SAN ISIDRO </t>
  </si>
  <si>
    <t>VILLA SOL 1018</t>
  </si>
  <si>
    <t>PORVENIR</t>
  </si>
  <si>
    <t xml:space="preserve">CARRERA 59 A # 69 C 18 </t>
  </si>
  <si>
    <t>15/07/2021</t>
  </si>
  <si>
    <t xml:space="preserve">PALMAR DE SAN ANTONIO </t>
  </si>
  <si>
    <t>CALLE 12 C SUR # 54 - 82</t>
  </si>
  <si>
    <t>BRAYAN AGUDELO JULIO  2021</t>
  </si>
  <si>
    <t>BAHIA GRANDE 2102</t>
  </si>
  <si>
    <t>VILLANOVA 2312</t>
  </si>
  <si>
    <t>VILLALUNA 1501</t>
  </si>
  <si>
    <t>KIWI 505</t>
  </si>
  <si>
    <t>PORTADA JULIO  2021</t>
  </si>
  <si>
    <t>POLARIS 1808</t>
  </si>
  <si>
    <t>$1.250.000</t>
  </si>
  <si>
    <t>INFORME DE CAPTACION ZONA ITAGUI - LA ESTRELLA  – AGOSTO  2021</t>
  </si>
  <si>
    <t>YERMANI  AGOSTO  2021</t>
  </si>
  <si>
    <t>18/08/2021</t>
  </si>
  <si>
    <t xml:space="preserve">FLORES DEL CAMPO 533 </t>
  </si>
  <si>
    <t>FLORES DEL CAMPO 1804</t>
  </si>
  <si>
    <t>20/08/2021</t>
  </si>
  <si>
    <t>25/08/2021</t>
  </si>
  <si>
    <t>RESERVA DEL PARQUE 2711</t>
  </si>
  <si>
    <t>SAUCES DEL SUR 901</t>
  </si>
  <si>
    <t>CEIBA AZUL 1804</t>
  </si>
  <si>
    <t xml:space="preserve">SALA DE VENTAS </t>
  </si>
  <si>
    <t>28/07/2021</t>
  </si>
  <si>
    <t>ORION 705</t>
  </si>
  <si>
    <t>29/07/2021</t>
  </si>
  <si>
    <t>AIRES DE SURAMERICA 903</t>
  </si>
  <si>
    <t>30/07/2021</t>
  </si>
  <si>
    <t xml:space="preserve">CEDROS DE BADAHOZ </t>
  </si>
  <si>
    <t>FLORES DEL CAMPO 2010</t>
  </si>
  <si>
    <t xml:space="preserve">GUADUALES PARQUE RESIDENCIAL 1408 </t>
  </si>
  <si>
    <t>EDIFICIO SANTA CATALINA 102</t>
  </si>
  <si>
    <t>EDIFICIO SANTA CATALINA 303</t>
  </si>
  <si>
    <t>EDIFICIO SANTA CATALINA 405</t>
  </si>
  <si>
    <t>EDIFICIO SANTA CATALINA 503</t>
  </si>
  <si>
    <t>EDIFICIO SANTA CATALINA 505</t>
  </si>
  <si>
    <t>TUKANA 207</t>
  </si>
  <si>
    <t>FLORES DEL CAMPO 225</t>
  </si>
  <si>
    <t xml:space="preserve">AGENCIA URIBIENES </t>
  </si>
  <si>
    <t>PORTAL DE LA ESTRELLA 504</t>
  </si>
  <si>
    <t>PORTAL DE LA ESTRELLA 605</t>
  </si>
  <si>
    <t xml:space="preserve">CONDOMINIO CAMPESTRE SAN ISIDRO - LISBOA </t>
  </si>
  <si>
    <t>RIVERA DE SURAMERICA 1510</t>
  </si>
  <si>
    <t>SIERRA MORENA 206</t>
  </si>
  <si>
    <t>FRONTERAS DE SURAMERICA 1701</t>
  </si>
  <si>
    <t>SURAMAMERICA</t>
  </si>
  <si>
    <t>EDIFICIO SANTA CATALINA 203</t>
  </si>
  <si>
    <t>21/08/2021</t>
  </si>
  <si>
    <t>CEDROS DE BADAJOZ PISO 2</t>
  </si>
  <si>
    <t>ANDRES AGOSTO  2021</t>
  </si>
  <si>
    <t>BAHIA GRANDE 2104</t>
  </si>
  <si>
    <t>RIVERA DE SURAMERICA 2206</t>
  </si>
  <si>
    <t xml:space="preserve">GUADUALES PARQUE RESIDENCIAL 1108 </t>
  </si>
  <si>
    <t>CIUDAD DEL BOSQUE 2009</t>
  </si>
  <si>
    <t>RESTREPO MIRANTO</t>
  </si>
  <si>
    <t>POLARIS 107</t>
  </si>
  <si>
    <t xml:space="preserve">TUKANA 1412 </t>
  </si>
  <si>
    <t>31/07/2021</t>
  </si>
  <si>
    <t>ALDEA DEL SUR 1501</t>
  </si>
  <si>
    <t>CASA PRADOS DEL CAMPO 56 A 53</t>
  </si>
  <si>
    <t>PRADO</t>
  </si>
  <si>
    <t>ARBOLEDA DE LA ESTRELLA 2103</t>
  </si>
  <si>
    <t>ALDEA DEL SUR 9904</t>
  </si>
  <si>
    <t>ROMAZINO 904</t>
  </si>
  <si>
    <t>ALABAMA CASA 76</t>
  </si>
  <si>
    <t>13/08/2021</t>
  </si>
  <si>
    <t xml:space="preserve">AGUAS DEL BOSQUE 419 </t>
  </si>
  <si>
    <t>MAXIBIENES</t>
  </si>
  <si>
    <t>18/07/2021</t>
  </si>
  <si>
    <t xml:space="preserve">CARRERA 63 C # 27-47 </t>
  </si>
  <si>
    <t>BARILOCHE</t>
  </si>
  <si>
    <t>19/08/2021</t>
  </si>
  <si>
    <t>AQUAVENTO 311</t>
  </si>
  <si>
    <t>COSTA AZUL 505</t>
  </si>
  <si>
    <t>TOLEDO</t>
  </si>
  <si>
    <t>24/08/2021</t>
  </si>
  <si>
    <t>VIÑA DEL MAR 9910</t>
  </si>
  <si>
    <t>LA QUINTA 515</t>
  </si>
  <si>
    <t xml:space="preserve">ANCON </t>
  </si>
  <si>
    <t>CEIBA AZUL 406</t>
  </si>
  <si>
    <t xml:space="preserve">ROMAZINO 905 </t>
  </si>
  <si>
    <t xml:space="preserve">BRAYAN AGUDELO </t>
  </si>
  <si>
    <t xml:space="preserve">CEIBA AZUL 606 </t>
  </si>
  <si>
    <t xml:space="preserve">CEIBA AZUL 306 </t>
  </si>
  <si>
    <t xml:space="preserve">VIÑA DEL MAR 701 </t>
  </si>
  <si>
    <t>ED MONTERRA 402</t>
  </si>
  <si>
    <t>26/08/2021</t>
  </si>
  <si>
    <t xml:space="preserve">MALL COMPLEX DITAIRES #20 </t>
  </si>
  <si>
    <t>EDISSON  AGOSTO  2021</t>
  </si>
  <si>
    <t>QUINTA ESTRELLA 904</t>
  </si>
  <si>
    <t xml:space="preserve">RESERVA DEL BOSQUE 1716 </t>
  </si>
  <si>
    <t>COMPLEX DITAIRES</t>
  </si>
  <si>
    <t>PACIFICA 2715</t>
  </si>
  <si>
    <t>PACIFICA 506</t>
  </si>
  <si>
    <t>PACIFICA 1111</t>
  </si>
  <si>
    <t xml:space="preserve">PACIFICA 1516 </t>
  </si>
  <si>
    <t xml:space="preserve">AIRES DE SURAMERICA 902 </t>
  </si>
  <si>
    <t>VILLA AVENTURA</t>
  </si>
  <si>
    <t>COLINA DE ASIS 223</t>
  </si>
  <si>
    <t>PACIFICA 1804</t>
  </si>
  <si>
    <t>GUAYACANES DEL SUR 1102</t>
  </si>
  <si>
    <t>23/08/2012</t>
  </si>
  <si>
    <t>SALA DE VENTAS</t>
  </si>
  <si>
    <t>PACIFICA 1811</t>
  </si>
  <si>
    <t>ENTRE COLINAS 420</t>
  </si>
  <si>
    <t xml:space="preserve">VIVIENDAS DEL SUR </t>
  </si>
  <si>
    <t>LUIS LOPEZ AGOSTO  2021</t>
  </si>
  <si>
    <t>VILLA LUNA 1501</t>
  </si>
  <si>
    <t>LAURELES DEL SUR 723</t>
  </si>
  <si>
    <t xml:space="preserve">RESERVA DEL PARQUE 2716 </t>
  </si>
  <si>
    <t xml:space="preserve">VILLA DEL PARQUE 1809 </t>
  </si>
  <si>
    <t>PARQUE RESIDENCIAL GUADUALES 1807</t>
  </si>
  <si>
    <t xml:space="preserve">VILLA DEL PARQUE 1711 - ojoo </t>
  </si>
  <si>
    <t xml:space="preserve">CALLE 68 # 52 69 </t>
  </si>
  <si>
    <t xml:space="preserve">MULTICENTRO ALIANZA 308 BODEGA </t>
  </si>
  <si>
    <t xml:space="preserve">CARRERA 48 # 42-29 </t>
  </si>
  <si>
    <t>LA GLORIA</t>
  </si>
  <si>
    <t>RESERVAS DEL PRADO 3 AP 1005</t>
  </si>
  <si>
    <t xml:space="preserve">CARRERA 56 D # 83 D SUR 15 </t>
  </si>
  <si>
    <t xml:space="preserve">EL CERRITO </t>
  </si>
  <si>
    <t xml:space="preserve">CALLE 71 # 48-48  PISO 3 </t>
  </si>
  <si>
    <t>23/08/2021</t>
  </si>
  <si>
    <t xml:space="preserve">EDIFICIO ESPARTA </t>
  </si>
  <si>
    <t xml:space="preserve">CALLE 85 # 57-6 </t>
  </si>
  <si>
    <t>PRIMER PISO</t>
  </si>
  <si>
    <t>SEBASTIAN LOPEZ  AGOSTO  2021</t>
  </si>
  <si>
    <t>SIERRA MORENA 501</t>
  </si>
  <si>
    <t>SIERRA MORENA 209</t>
  </si>
  <si>
    <t>ORION 701</t>
  </si>
  <si>
    <t>12/08/201</t>
  </si>
  <si>
    <t xml:space="preserve">VILLA DEL ROSARIO </t>
  </si>
  <si>
    <t xml:space="preserve">QUINTA ESTRELLA 1203 </t>
  </si>
  <si>
    <t xml:space="preserve">TIERRA FRESCA CASA 5 A </t>
  </si>
  <si>
    <t xml:space="preserve">AGUAS DEL BOSQUE 1606 TORRE 3 </t>
  </si>
  <si>
    <t xml:space="preserve">OFICINA </t>
  </si>
  <si>
    <t xml:space="preserve">CALLE 75 SUR # 52 G 76 </t>
  </si>
  <si>
    <t xml:space="preserve">GUADUALES PARQUE RESIDENCIAL </t>
  </si>
  <si>
    <t xml:space="preserve">CALLE 29 A # 61-7 </t>
  </si>
  <si>
    <t xml:space="preserve">BARILOCHE </t>
  </si>
  <si>
    <t xml:space="preserve">CALLE 75 AA # 53 - 180 CACTUS TORRE 2 </t>
  </si>
  <si>
    <t xml:space="preserve">CALLE 75 AA # 53 - 196 CACTUS TORRE 2 </t>
  </si>
  <si>
    <t>23/04/2021</t>
  </si>
  <si>
    <t>ESTRELLA DE MAR 701</t>
  </si>
  <si>
    <t>TUKANA 1104</t>
  </si>
  <si>
    <t xml:space="preserve">PACIFICA 614 </t>
  </si>
  <si>
    <t>BRAYAN AGUDELO AGOSTO  2021</t>
  </si>
  <si>
    <t>KIWI 2005</t>
  </si>
  <si>
    <t>CAPELLA 1923</t>
  </si>
  <si>
    <t>VILLANOVA 402</t>
  </si>
  <si>
    <t>VILLANOVA 2006</t>
  </si>
  <si>
    <t>VILLA DEL CAMPO 101</t>
  </si>
  <si>
    <t>PORTADA AGOSTO  2021</t>
  </si>
  <si>
    <t>CL 66 A 43 92</t>
  </si>
  <si>
    <t>LA ESMERALDA</t>
  </si>
  <si>
    <t>17/08/2021</t>
  </si>
  <si>
    <t>SUBROGACION CAPELLA 607</t>
  </si>
  <si>
    <t xml:space="preserve">CALLE 29 B # 54 B 39 </t>
  </si>
  <si>
    <t>SUBROGACION CAPELLA 2602</t>
  </si>
  <si>
    <t>INFORME DE CAPTACION ZONA ITAGUI - LA ESTRELLA  – SEPTIEMBRE  2021</t>
  </si>
  <si>
    <t>YERMANI  SEPTIEMBRE  2021</t>
  </si>
  <si>
    <t>22/09/2021</t>
  </si>
  <si>
    <t>CALLE 56 # 52-11</t>
  </si>
  <si>
    <t>VILLA PAULA</t>
  </si>
  <si>
    <t>20/09/2021</t>
  </si>
  <si>
    <t>HUNGRIA 505</t>
  </si>
  <si>
    <t>23/09/2021</t>
  </si>
  <si>
    <t xml:space="preserve">RIVERA DE SURAMRICA 2003 </t>
  </si>
  <si>
    <t>ANDRES SEPTIEMBRE  2021</t>
  </si>
  <si>
    <t>ABEDULES</t>
  </si>
  <si>
    <t>16/09/2021</t>
  </si>
  <si>
    <t>ESTRELLA DE MAR 402</t>
  </si>
  <si>
    <t>QUINTAS DE SAUZALITO CASA177</t>
  </si>
  <si>
    <t>30/08/2021</t>
  </si>
  <si>
    <t>TERRITORIO VERDE 2606</t>
  </si>
  <si>
    <t>SAN GABRIEL</t>
  </si>
  <si>
    <t>CEIBAZUL 504</t>
  </si>
  <si>
    <t>MIRADOR DEL SUR 701</t>
  </si>
  <si>
    <t>PARQUE</t>
  </si>
  <si>
    <t>2/09/201</t>
  </si>
  <si>
    <t xml:space="preserve">ARBOLEDA DE LA ESTRELLA 1204 </t>
  </si>
  <si>
    <t>CEIBAZUL 1604</t>
  </si>
  <si>
    <t>PORTERP</t>
  </si>
  <si>
    <t>QUINTA ESTRELLA 905</t>
  </si>
  <si>
    <t>PUERTA MADERA 806</t>
  </si>
  <si>
    <t xml:space="preserve">MADERA </t>
  </si>
  <si>
    <t>FERRERA</t>
  </si>
  <si>
    <t xml:space="preserve">ABEDULES 101 </t>
  </si>
  <si>
    <t>13/09/2021</t>
  </si>
  <si>
    <t>CAPELLA 516</t>
  </si>
  <si>
    <t>RESERVA DEL PARQUE 901</t>
  </si>
  <si>
    <t>14/09/2021</t>
  </si>
  <si>
    <t>CACTUS TORRE 2 2304</t>
  </si>
  <si>
    <t>21/09/2021</t>
  </si>
  <si>
    <t>UNIVERSAL</t>
  </si>
  <si>
    <t xml:space="preserve">VILLA VERDE 1220 </t>
  </si>
  <si>
    <t>VILLAVENTURA</t>
  </si>
  <si>
    <t xml:space="preserve">FELICITY 1115 </t>
  </si>
  <si>
    <t>FELICITY 1008</t>
  </si>
  <si>
    <t>25/09/2021</t>
  </si>
  <si>
    <t>ALDEA DEL SUR 703</t>
  </si>
  <si>
    <t>EDISSON  SEPTIEMBRE  2021</t>
  </si>
  <si>
    <t>COLINA DE ASIS 221</t>
  </si>
  <si>
    <t>18/09/2021</t>
  </si>
  <si>
    <t>CAMPIÑAS DE SAN ANTONIO 227</t>
  </si>
  <si>
    <t>27/08/2021</t>
  </si>
  <si>
    <t>RESERVA DEL BOSQUE 1509</t>
  </si>
  <si>
    <t>PACIFICA 708</t>
  </si>
  <si>
    <t>LOMA DE LOS BERNAL</t>
  </si>
  <si>
    <t>RESERVA DEL PRADO 206</t>
  </si>
  <si>
    <t>RESERVA DE PRADO 123</t>
  </si>
  <si>
    <t>31/08/2021</t>
  </si>
  <si>
    <t>MANTIA 1111</t>
  </si>
  <si>
    <t>MANTIA 120</t>
  </si>
  <si>
    <t>S</t>
  </si>
  <si>
    <t>SENDERO VERDE 172</t>
  </si>
  <si>
    <t>VILLA VERDE 2030</t>
  </si>
  <si>
    <t>COLINA VERDE 907</t>
  </si>
  <si>
    <t xml:space="preserve">SAN GABRIEL </t>
  </si>
  <si>
    <t>VILLA VERDE 1031</t>
  </si>
  <si>
    <t>RESERVAS DE PRADO 9822</t>
  </si>
  <si>
    <t>15/09/2021</t>
  </si>
  <si>
    <t>RESERVAS DE PRADO 9702</t>
  </si>
  <si>
    <t xml:space="preserve">15/09/2021 </t>
  </si>
  <si>
    <t>PACIFICA 1814</t>
  </si>
  <si>
    <t>FELICITY 102</t>
  </si>
  <si>
    <t>VILLA SOL 214</t>
  </si>
  <si>
    <t>ED SAN MARTIN 601</t>
  </si>
  <si>
    <t>SARA AGUDELO</t>
  </si>
  <si>
    <t>SEBASTIAN LOPEZ  SEPTIEMBRE  2021</t>
  </si>
  <si>
    <t xml:space="preserve">BAHIA GRANDE 1501 </t>
  </si>
  <si>
    <t>FIORI VITA 1906</t>
  </si>
  <si>
    <t>SIERRA MORENA 217</t>
  </si>
  <si>
    <t>VERDE VIVO CEIBA 3005</t>
  </si>
  <si>
    <t>VERDE VIVO CEIBA 3006</t>
  </si>
  <si>
    <t xml:space="preserve">CALLE 75 B SUR # 56-51 </t>
  </si>
  <si>
    <t xml:space="preserve">ALCANTARA </t>
  </si>
  <si>
    <t>AGUAS DEL BOSQUE TORRE 2 ap 2118</t>
  </si>
  <si>
    <t>SIERRA MORENA 101</t>
  </si>
  <si>
    <t>FRONTERA DE SURAMERICA 1004</t>
  </si>
  <si>
    <t>PANORAMA AURAL 1206</t>
  </si>
  <si>
    <t>CARRERA 76 A SUR # 55-41</t>
  </si>
  <si>
    <t>ALAMEDA</t>
  </si>
  <si>
    <t>CARRERA 54 A # 75 SUR 126</t>
  </si>
  <si>
    <t>SANTA CATALINA</t>
  </si>
  <si>
    <t>CARRERA 54 A # 75 SUR 134 INT 202</t>
  </si>
  <si>
    <t xml:space="preserve">ESTRELLA DE MAR 404 </t>
  </si>
  <si>
    <t>ANCON</t>
  </si>
  <si>
    <t>VERDE VIVO CEIBA 2604</t>
  </si>
  <si>
    <t>ENTRE HOJAS 1704</t>
  </si>
  <si>
    <t>POLARIS 317</t>
  </si>
  <si>
    <t>FIORI 1906</t>
  </si>
  <si>
    <t>ORION 1912</t>
  </si>
  <si>
    <t>ORION 1406</t>
  </si>
  <si>
    <t>17/09/2021</t>
  </si>
  <si>
    <t>VERDE VIVO CEIBA 3108</t>
  </si>
  <si>
    <t xml:space="preserve">FELICITY 1714 </t>
  </si>
  <si>
    <t>BRAYAN AGUDELO SEPTIEMBRE  2021</t>
  </si>
  <si>
    <t>VILLANOVA 2311</t>
  </si>
  <si>
    <t xml:space="preserve">EL PORVENIR </t>
  </si>
  <si>
    <t>ENSENADA 1517</t>
  </si>
  <si>
    <t xml:space="preserve">AMAZONIA </t>
  </si>
  <si>
    <t>ENTRE HOJAS 2403</t>
  </si>
  <si>
    <t>MANTIA 102</t>
  </si>
  <si>
    <t>PITRIZA 1906</t>
  </si>
  <si>
    <t xml:space="preserve">VILLANOVA 414 </t>
  </si>
  <si>
    <t>RESERVA DEL BOSQUE 2816</t>
  </si>
  <si>
    <t>1/09/201</t>
  </si>
  <si>
    <t>TORRE DE BARCELONA 1006</t>
  </si>
  <si>
    <t>PITRIZA 707</t>
  </si>
  <si>
    <t>MANTIA 1409</t>
  </si>
  <si>
    <t>PORTADA SEPTIEMBRE 2021</t>
  </si>
  <si>
    <t>MULTICENTRO ALIANZA BODEGA 501</t>
  </si>
  <si>
    <t>VIVIENDAS DEL SUR</t>
  </si>
  <si>
    <t>RESERVAS DEL PRADO ETAPA 1 AP 123</t>
  </si>
  <si>
    <t>SAUCES DEL SUR 406</t>
  </si>
  <si>
    <t>SAUCES DEL SUR 1206</t>
  </si>
  <si>
    <t xml:space="preserve">FLORES DEL CAMPO 322 </t>
  </si>
  <si>
    <t>RESERVA DEL PARQUE 613</t>
  </si>
  <si>
    <t>INFORME DE CAPTACION ZONA ITAGUI - LA ESTRELLA  – OCTUBRE  2021</t>
  </si>
  <si>
    <t>YERMANI  OCTUBRE  2021</t>
  </si>
  <si>
    <t>27/09/2021</t>
  </si>
  <si>
    <t>CAPELLA 115</t>
  </si>
  <si>
    <t xml:space="preserve">CAPELLA 1120 </t>
  </si>
  <si>
    <t>30/09/2021</t>
  </si>
  <si>
    <t>SIERRA MORENA 407</t>
  </si>
  <si>
    <t>RIVERA DE SURAMERICA 2305</t>
  </si>
  <si>
    <t>ANGELES DE MARIA 405</t>
  </si>
  <si>
    <t>CALLE QUINTA</t>
  </si>
  <si>
    <t>LA ALDEA</t>
  </si>
  <si>
    <t>SENDEROS DE SURAMERICA 1004</t>
  </si>
  <si>
    <t>SUEÑOS DE TAMPA 203</t>
  </si>
  <si>
    <t>CEIBAZUL 301</t>
  </si>
  <si>
    <t>SIERRA MORENA 524</t>
  </si>
  <si>
    <t xml:space="preserve">LUISA   </t>
  </si>
  <si>
    <t>15/10/2021</t>
  </si>
  <si>
    <t xml:space="preserve">CR 30 68 SUR 50 </t>
  </si>
  <si>
    <t>LA DOCTORA</t>
  </si>
  <si>
    <t>16/10/2021</t>
  </si>
  <si>
    <t>20/10/2021</t>
  </si>
  <si>
    <t>21/10/2021</t>
  </si>
  <si>
    <t>CR 55 B # 72 A 154</t>
  </si>
  <si>
    <t>ED SANTA CATALINA 204</t>
  </si>
  <si>
    <t>22/10/2021</t>
  </si>
  <si>
    <t xml:space="preserve">CR 49 53 -26 </t>
  </si>
  <si>
    <t>SIERRA MORENA 117</t>
  </si>
  <si>
    <t>23/10/2021</t>
  </si>
  <si>
    <t>1.000.000</t>
  </si>
  <si>
    <t xml:space="preserve">SARA  </t>
  </si>
  <si>
    <t>25/10/2021</t>
  </si>
  <si>
    <t>CEIBAZUL 306</t>
  </si>
  <si>
    <t>ANDRES OCTUBRE 2021</t>
  </si>
  <si>
    <t>PACIFICA 1315</t>
  </si>
  <si>
    <t>13/10/2021</t>
  </si>
  <si>
    <t>ROMAZINO 1611</t>
  </si>
  <si>
    <t>CEIBAZUL 101</t>
  </si>
  <si>
    <t>SENDERO DEL BOSQUE 1311</t>
  </si>
  <si>
    <t>VIÑA DEL MAR 702</t>
  </si>
  <si>
    <t>FELICITY 1601</t>
  </si>
  <si>
    <t>PUEBLO VIEJO</t>
  </si>
  <si>
    <t>PTE</t>
  </si>
  <si>
    <t>14/10/2021</t>
  </si>
  <si>
    <t>CENTRO COMERCIAL VENECIA LOC 227</t>
  </si>
  <si>
    <t>EDIFICIO VENECIA 609</t>
  </si>
  <si>
    <t>SENDERO DEL BOSQUE 1709</t>
  </si>
  <si>
    <t>ESTRELLA DEL MAR 504</t>
  </si>
  <si>
    <t>CALLE 56 # 56 A 05</t>
  </si>
  <si>
    <t>EL TABLAZO</t>
  </si>
  <si>
    <t>ENTREBOSQUES 2111</t>
  </si>
  <si>
    <t>INDUSTRIAS ITAGUI 139</t>
  </si>
  <si>
    <t>BOTERO SOTO</t>
  </si>
  <si>
    <t>INDUSTRIAS ITAGUI 104</t>
  </si>
  <si>
    <t>INDUSTRIAS ITAGUI 4269</t>
  </si>
  <si>
    <t>CAPELLA 1319</t>
  </si>
  <si>
    <t>CAPELLA 619</t>
  </si>
  <si>
    <t>EDISSON  OCTUBRE  2021</t>
  </si>
  <si>
    <t>ED VIILLA LUZ 301</t>
  </si>
  <si>
    <t>SAN JOSE</t>
  </si>
  <si>
    <t>RESERVA DEL BOSQUE 2214</t>
  </si>
  <si>
    <t>CRA 49 # 53-26</t>
  </si>
  <si>
    <t>PACIFICA 1216</t>
  </si>
  <si>
    <t>RIVERA DE SURAMERICA 810</t>
  </si>
  <si>
    <t>CARRERA 47 # 51-63</t>
  </si>
  <si>
    <t>PACIFICA 1016</t>
  </si>
  <si>
    <t>VILLA VERDE 921</t>
  </si>
  <si>
    <t>LOS ABUELOS 201</t>
  </si>
  <si>
    <t>LOS ABUELOS 301</t>
  </si>
  <si>
    <t>LOS ABUELOS 401</t>
  </si>
  <si>
    <t>LOS ABUELOS 501</t>
  </si>
  <si>
    <t>VILLA VERDE 220</t>
  </si>
  <si>
    <t>RESERVA DEL PRADO ET 3 516</t>
  </si>
  <si>
    <t>SENDERO VERDE 755</t>
  </si>
  <si>
    <t>JARDINES DE LA HACIENDA 1408</t>
  </si>
  <si>
    <t>25/10/2025</t>
  </si>
  <si>
    <t>PACIFICA 2015</t>
  </si>
  <si>
    <t>PACIFICA 2403</t>
  </si>
  <si>
    <t>SEBASTIAN LOPEZ  OCTUBRE  2021</t>
  </si>
  <si>
    <t>BOSQUES DE SAUCES 715</t>
  </si>
  <si>
    <t>TABLAZA</t>
  </si>
  <si>
    <t>FIORI VITA 2804</t>
  </si>
  <si>
    <t>GUADUALES PARQUE RESIDENCIAL 707</t>
  </si>
  <si>
    <t>COSTA AZUL 803</t>
  </si>
  <si>
    <t>PORTREO</t>
  </si>
  <si>
    <t>29/09/2021</t>
  </si>
  <si>
    <t>VERDE VIVO 805</t>
  </si>
  <si>
    <t xml:space="preserve">SARA   </t>
  </si>
  <si>
    <t>VERDE VIVO CEIBA 1703</t>
  </si>
  <si>
    <t>CRA 57 # 76 SUR 22 INT 101</t>
  </si>
  <si>
    <t>VILLAMARIA</t>
  </si>
  <si>
    <t>FIORI VITA 1301</t>
  </si>
  <si>
    <t>POLARIS 705</t>
  </si>
  <si>
    <t>FERERIA</t>
  </si>
  <si>
    <t>ALTOS DE SURAMERICA 505</t>
  </si>
  <si>
    <t>19/10/2021</t>
  </si>
  <si>
    <t>ALTOS DE SURAMERICA 1005</t>
  </si>
  <si>
    <t>ORION 1701</t>
  </si>
  <si>
    <t>CR 42 # 67 A -151 LOCAL 42-81</t>
  </si>
  <si>
    <t>INDUSTRIAL ITAGUI</t>
  </si>
  <si>
    <t>$6.345.000</t>
  </si>
  <si>
    <t>DIRECTA</t>
  </si>
  <si>
    <t>ADMINISTRACION</t>
  </si>
  <si>
    <t>CR 42 # 67 A -151 LOCAL 119</t>
  </si>
  <si>
    <t>$4.590.000</t>
  </si>
  <si>
    <t>CR 42 # 67 A -151 LOCAL 105</t>
  </si>
  <si>
    <t>$6.750.000</t>
  </si>
  <si>
    <t>CR 42 # 67 A -151 LOCAL 101</t>
  </si>
  <si>
    <t>$5.400.000</t>
  </si>
  <si>
    <t>CR 42 # 67 A -151 LOCAL 112</t>
  </si>
  <si>
    <t>$8.145.000</t>
  </si>
  <si>
    <t>CR 42 # 67 A -151 LOCAL 111</t>
  </si>
  <si>
    <t>$4.410.000</t>
  </si>
  <si>
    <t>POLARIS 1303</t>
  </si>
  <si>
    <t>CL 37 SUR # 37 30 LOC 101</t>
  </si>
  <si>
    <t>MESA</t>
  </si>
  <si>
    <t>LOCAL DEL LADO</t>
  </si>
  <si>
    <t>BRAYAN AGUDELO OCTUBRE  2021</t>
  </si>
  <si>
    <t>CACTUS TORRE 1 2101</t>
  </si>
  <si>
    <t>PORTADA OCTUBRE 2021</t>
  </si>
  <si>
    <t>GUAYABALIA DOS 114</t>
  </si>
  <si>
    <t>GUAYABAL</t>
  </si>
  <si>
    <t>CL 76 SUR 57 39</t>
  </si>
  <si>
    <t>AIRES DE SAN GRANCISCO 201</t>
  </si>
  <si>
    <t>INFORME DE CAPTACION ZONA ITAGUI - LA ESTRELLA  – NOVIEMBRE  2021</t>
  </si>
  <si>
    <t>YERMANI  NOVIEMBRE  2021</t>
  </si>
  <si>
    <t>28/10/2021</t>
  </si>
  <si>
    <t>SIERRA MORENA 1405</t>
  </si>
  <si>
    <t>LA SIERRA CA 40</t>
  </si>
  <si>
    <t>23/11/2021</t>
  </si>
  <si>
    <t>CENTRO COMERCIAL GRAN MANZANA 705</t>
  </si>
  <si>
    <t>ITAGUI CENTRO</t>
  </si>
  <si>
    <t>CENTRO COMERCIAL GRAN MANZANA 606</t>
  </si>
  <si>
    <t>26/10/2021</t>
  </si>
  <si>
    <t>CEIBAZUL 606</t>
  </si>
  <si>
    <t>PORTAL DE LA ESTRELLA 1102</t>
  </si>
  <si>
    <t>27/10/2021</t>
  </si>
  <si>
    <t>SIERRA MORENA 1121</t>
  </si>
  <si>
    <t>FLORES DEL CAMPO 1219</t>
  </si>
  <si>
    <t>30/10/2021</t>
  </si>
  <si>
    <t>CR 50 # 70 - 55 AP 502</t>
  </si>
  <si>
    <t>EL CARMELO</t>
  </si>
  <si>
    <t xml:space="preserve">CR 78 B # 52- 63 </t>
  </si>
  <si>
    <t>LOS COLORES</t>
  </si>
  <si>
    <t xml:space="preserve">CAMINO DEL VIENTO 1021 </t>
  </si>
  <si>
    <t>AMAZONIA</t>
  </si>
  <si>
    <t>CONDOMINIO CAMPESTRE SAN ISIDRO PATAGONIA</t>
  </si>
  <si>
    <t>PORTAL DE LA ESTRELLA 201</t>
  </si>
  <si>
    <t>RESTREPO NARANJJO</t>
  </si>
  <si>
    <t>16/11/2021</t>
  </si>
  <si>
    <t>LA GRAN MANZANA 1102</t>
  </si>
  <si>
    <t>EDIFICIO SANTA CATALINA 205</t>
  </si>
  <si>
    <t>LA GRAN MANZANA LOCAL 119</t>
  </si>
  <si>
    <t>LA GRAN MANZANA 705</t>
  </si>
  <si>
    <t>17/11/2021</t>
  </si>
  <si>
    <t>CC LA GRAN MANZANA 402</t>
  </si>
  <si>
    <t>CC LA GRAN MANZANA 401</t>
  </si>
  <si>
    <t>CC LA GRAN MANZANA 118</t>
  </si>
  <si>
    <t>CC LA GRAN MANZANA 210</t>
  </si>
  <si>
    <t>18/11/2021</t>
  </si>
  <si>
    <t>CC LA GRAN MANZANA 606</t>
  </si>
  <si>
    <t>22/11/2021</t>
  </si>
  <si>
    <t>CC LA GRAN MANZANA LOC 8</t>
  </si>
  <si>
    <t>CC LA GRAN MANZANA LOC 9</t>
  </si>
  <si>
    <t>ANDRES NOVIEMBRE 2021</t>
  </si>
  <si>
    <t>AQUAVENTO 1506</t>
  </si>
  <si>
    <t>29/10/2021</t>
  </si>
  <si>
    <t>ROMAZINO 1006</t>
  </si>
  <si>
    <t>SIERRA MORENA 1720</t>
  </si>
  <si>
    <t>INMACULADA</t>
  </si>
  <si>
    <t>SENDEROS DEL BOSQUE 1909</t>
  </si>
  <si>
    <t>ROMAZINO 809</t>
  </si>
  <si>
    <t>EDIFICIO MARIA ELENA 201</t>
  </si>
  <si>
    <t>19/11/2021</t>
  </si>
  <si>
    <t>POLARIS 1012</t>
  </si>
  <si>
    <t>ROMANZINO 1613</t>
  </si>
  <si>
    <t>EDISSON  NOVIEMBRE  2021</t>
  </si>
  <si>
    <t>RESERVAS DEL PRADO 9815</t>
  </si>
  <si>
    <t>AQUAVENTO 413</t>
  </si>
  <si>
    <t>TORRES DE BARCELONA 2405</t>
  </si>
  <si>
    <t>MAZANILLO 9914</t>
  </si>
  <si>
    <t>BOSQUES DEL PINAR</t>
  </si>
  <si>
    <t>VILLA VERDE 2224</t>
  </si>
  <si>
    <t>CIUDADELA DEL VALLE 1626</t>
  </si>
  <si>
    <t>MONTEFLOR 1810</t>
  </si>
  <si>
    <t>RESERVA DEL BOSQUE 3016</t>
  </si>
  <si>
    <t>SAGRADO CORAZON  201</t>
  </si>
  <si>
    <t>SAN PIO</t>
  </si>
  <si>
    <t>CL 83 A 50 A 23</t>
  </si>
  <si>
    <t>CUIDADELA DEL VALLE 1126</t>
  </si>
  <si>
    <t xml:space="preserve">SIERRA MORENA 1423 </t>
  </si>
  <si>
    <t>20/11/2021</t>
  </si>
  <si>
    <t>CUIUDADELA DEL PARQUE</t>
  </si>
  <si>
    <t>SENDERO DEL BOSQUE 1106</t>
  </si>
  <si>
    <t>MALL PLAZA 77 LOC 119</t>
  </si>
  <si>
    <t>MALL PLAZA 77 LOC 105</t>
  </si>
  <si>
    <t>24/11/2021</t>
  </si>
  <si>
    <t>RESERVA DE PRADO 426</t>
  </si>
  <si>
    <t>RESERVA DE PRADO</t>
  </si>
  <si>
    <t>SEBASTIAN LOPEZ  NOVIEMBRE  2021</t>
  </si>
  <si>
    <t>29-10-2021</t>
  </si>
  <si>
    <t>CAPELLA 1201</t>
  </si>
  <si>
    <t>ARBOLEDA DE LA ESTRELLA 2104</t>
  </si>
  <si>
    <t>FIORI VITA 608</t>
  </si>
  <si>
    <t>27/10/201</t>
  </si>
  <si>
    <t>POLARIS 605</t>
  </si>
  <si>
    <t>CL 76 SUR 54 B 30 CASA</t>
  </si>
  <si>
    <t>ALCANTARA</t>
  </si>
  <si>
    <t>CAPELLA 601</t>
  </si>
  <si>
    <t>ALTOS DE SURAMERICA 1104</t>
  </si>
  <si>
    <t>ARBOLEDA DE LA ESTRELLA 906</t>
  </si>
  <si>
    <t>6/10/202</t>
  </si>
  <si>
    <t>BAHIA GRNDE 2614</t>
  </si>
  <si>
    <t>CL 76 SUR # 56-21</t>
  </si>
  <si>
    <t xml:space="preserve">VILLA DE ALCANTARA </t>
  </si>
  <si>
    <t>AGUAS DEL BOSQUE</t>
  </si>
  <si>
    <t xml:space="preserve">ORION 1710 </t>
  </si>
  <si>
    <t>13/11/2021</t>
  </si>
  <si>
    <t>TORRE ASIS 403</t>
  </si>
  <si>
    <t>PARQUE PRINCIPAL</t>
  </si>
  <si>
    <t xml:space="preserve">ORION 1205 </t>
  </si>
  <si>
    <t>QUINTAS DE SAUSALITO 134</t>
  </si>
  <si>
    <t>BAHIA GRANDE 2611</t>
  </si>
  <si>
    <t xml:space="preserve">CLARO VERDE </t>
  </si>
  <si>
    <t>TORRES DEL SUR 1114</t>
  </si>
  <si>
    <t>ORION 1709</t>
  </si>
  <si>
    <t>MALL PLAZA 77 LOC 120</t>
  </si>
  <si>
    <t>MALL PLAZA 77 LOC 123</t>
  </si>
  <si>
    <t>MALL PLAZA 77 LOC 124</t>
  </si>
  <si>
    <t>MALL PLAZA 77 LOC 125</t>
  </si>
  <si>
    <t>BRAYAN AGUDELO NOVIEMBRE  2021</t>
  </si>
  <si>
    <t>PORTADA NOVIEMBRE 2021</t>
  </si>
  <si>
    <t>RIVERA DE SURAMERICA 712</t>
  </si>
  <si>
    <t>INFORME DE CAPTACION ZONA ITAGUI - LA ESTRELLA  – DICIEMBRE  2021</t>
  </si>
  <si>
    <t>YERMANI  DICIEMBRE  2021</t>
  </si>
  <si>
    <t>16/12/2021</t>
  </si>
  <si>
    <t>COSTA AZUL 502</t>
  </si>
  <si>
    <t>22/12/2021</t>
  </si>
  <si>
    <t>SIERRA MORENA 605</t>
  </si>
  <si>
    <t>QUINTA ESTRELLA 606</t>
  </si>
  <si>
    <t>26/11/2021</t>
  </si>
  <si>
    <t>CL 34 B 53 26 PISO 2</t>
  </si>
  <si>
    <t>LAS MARGARITAS</t>
  </si>
  <si>
    <t>29/11/2021</t>
  </si>
  <si>
    <t>SIERRA MORENA 1222</t>
  </si>
  <si>
    <t>30/11/2021</t>
  </si>
  <si>
    <t>POLARIS 1218</t>
  </si>
  <si>
    <t>MARIA ELENA 9902</t>
  </si>
  <si>
    <t>ESTRELLA CENTRO</t>
  </si>
  <si>
    <t>POBLADO REAL 409</t>
  </si>
  <si>
    <t>SAN DIEGO</t>
  </si>
  <si>
    <t>SIERRA MORENA 520</t>
  </si>
  <si>
    <t>AIRES DE VIGIA DEL FUERTE</t>
  </si>
  <si>
    <t>SAN LUCAS</t>
  </si>
  <si>
    <t>13/12/2021</t>
  </si>
  <si>
    <t>AGUAS DEL BOSQUE 201</t>
  </si>
  <si>
    <t>14/12/2021</t>
  </si>
  <si>
    <t>HUNGRIA 1708</t>
  </si>
  <si>
    <t>17/12/2021</t>
  </si>
  <si>
    <t>SIERRA MORENA 923</t>
  </si>
  <si>
    <t>21/12/2021</t>
  </si>
  <si>
    <t>SIERRA MORENA 1719</t>
  </si>
  <si>
    <t>C.C VENECIA LOC 221</t>
  </si>
  <si>
    <t>23/12/2021</t>
  </si>
  <si>
    <t>BRISAS</t>
  </si>
  <si>
    <t>TUKANA 1804</t>
  </si>
  <si>
    <t>ANDRES DICIEMBRE 2021</t>
  </si>
  <si>
    <t>18/12/2021</t>
  </si>
  <si>
    <t>ENTREHOJAS 1502</t>
  </si>
  <si>
    <t>FIORI 1505</t>
  </si>
  <si>
    <t>GRAN MANZANA 402</t>
  </si>
  <si>
    <t>29/12/2021</t>
  </si>
  <si>
    <t>AGUAS DEL BOSQUE T2 1518</t>
  </si>
  <si>
    <t>CR 63 # 81 SUR 78</t>
  </si>
  <si>
    <t>AIRES DE SURAMERICA</t>
  </si>
  <si>
    <t>ALDEA DEL SUR 1304</t>
  </si>
  <si>
    <t xml:space="preserve">ENTREBOSQUES 2601 </t>
  </si>
  <si>
    <t>POLARIS 1115</t>
  </si>
  <si>
    <t>TRANSV 34 SUR 33 -53 AP 301</t>
  </si>
  <si>
    <t>OBRERO ENVIGADO</t>
  </si>
  <si>
    <t>LOMA LINDA 2302</t>
  </si>
  <si>
    <t>AVES MARIA</t>
  </si>
  <si>
    <t>AQUAVENTO 209</t>
  </si>
  <si>
    <t>SAN CAYETANO CL 36 A 42 - 11</t>
  </si>
  <si>
    <t>LA INDEPENDENCIA</t>
  </si>
  <si>
    <t>15/12/2021</t>
  </si>
  <si>
    <t>RESERVA DEL PRADO 403</t>
  </si>
  <si>
    <t>SALTAMONTES 817</t>
  </si>
  <si>
    <t>ESCOBERO</t>
  </si>
  <si>
    <t>CL 11 SUR 52 12</t>
  </si>
  <si>
    <t>ENTREHOJAS 1102</t>
  </si>
  <si>
    <t>CENTRO COMEERCIAL VENECIA 140</t>
  </si>
  <si>
    <t>CENTRO COMEERCIAL VENECIA 138</t>
  </si>
  <si>
    <t>CENTRO COMEERCIAL VENECIA 126</t>
  </si>
  <si>
    <t>CENTRO COMEERCIAL VENECIA 212</t>
  </si>
  <si>
    <t>CENTRO COMEERCIAL VENECIA 201</t>
  </si>
  <si>
    <t>CENTRO COMEERCIAL VENECIA 220</t>
  </si>
  <si>
    <t>AGUAS DEL BOSQUE T2 518</t>
  </si>
  <si>
    <t>EDISSON  DICIEMBRE  2021</t>
  </si>
  <si>
    <t>TORRES DE BARCELONA 614</t>
  </si>
  <si>
    <t>SENDERO VERDE 214</t>
  </si>
  <si>
    <t>SEBASTIAN LOPEZ  DICIEMBRE  2021</t>
  </si>
  <si>
    <t>AGUAZUL 104</t>
  </si>
  <si>
    <t>PROPIETARIO</t>
  </si>
  <si>
    <t>ORION 105</t>
  </si>
  <si>
    <t>VERGEL</t>
  </si>
  <si>
    <t>BOSQUE GRANDE 423</t>
  </si>
  <si>
    <t>BILBAO CASA 27</t>
  </si>
  <si>
    <t>MORATTO 1604</t>
  </si>
  <si>
    <t>MALL PLAZA 77 LOC 9904</t>
  </si>
  <si>
    <t>MALL PLAZA 77 LOC 9905</t>
  </si>
  <si>
    <t>MALL PLAZA 77 LOC 9906</t>
  </si>
  <si>
    <t>LA SIERRA CASA 010</t>
  </si>
  <si>
    <t>BILBAO CASA 14</t>
  </si>
  <si>
    <t>ORION 708</t>
  </si>
  <si>
    <t>URIBIENES</t>
  </si>
  <si>
    <t>RESERVA DEL PRADO 522</t>
  </si>
  <si>
    <t>PANORAMA AURAL 315</t>
  </si>
  <si>
    <t>GUADUALES PARQUE RESIDENCIAL LOC 01</t>
  </si>
  <si>
    <t>GUADUALES PARQUE RESIDENCIAL LOC 02</t>
  </si>
  <si>
    <t>GUADUALES PARQUE RESIDENCIAL LOC 03</t>
  </si>
  <si>
    <t>GUADUALES PARQUE RESIDENCIAL LOC 04</t>
  </si>
  <si>
    <t>GUADUALES PARQUE RESIDENCIAL LOC 05</t>
  </si>
  <si>
    <t>ESTRELLA DE MAR LOC 35</t>
  </si>
  <si>
    <t>CC VENECIA 108</t>
  </si>
  <si>
    <t>CC VENECIA 214</t>
  </si>
  <si>
    <t>CC VENECIA 114</t>
  </si>
  <si>
    <t>PORTADA DICIEMBRE 2021</t>
  </si>
  <si>
    <t>FRONTERA DEL SUR 1604</t>
  </si>
  <si>
    <t>CR 48 88 24 INT 201</t>
  </si>
  <si>
    <t>PROPIETARIA</t>
  </si>
  <si>
    <t>CL 75 AA SUR 62 A 66 INT 201</t>
  </si>
  <si>
    <t>BOSQUES DE SURAMERICA 107</t>
  </si>
  <si>
    <t>DANIEL RESTREPO DICIEMBRE 2021</t>
  </si>
  <si>
    <t>RESERVA DEL BOSQUE 1410</t>
  </si>
  <si>
    <t>INFORME DE CAPTACION ZONA ITAGUI - LA ESTRELLA  – ENERO  2022</t>
  </si>
  <si>
    <t>YERMANI  ENERO  2022</t>
  </si>
  <si>
    <t>30/12/2021</t>
  </si>
  <si>
    <t>HUNGRIA  1005</t>
  </si>
  <si>
    <t>HUNGRIA  906</t>
  </si>
  <si>
    <t>HUNGRIA  1305</t>
  </si>
  <si>
    <t>HUNGRIA  1603</t>
  </si>
  <si>
    <t>30/12/2011</t>
  </si>
  <si>
    <t>HUNGRIA   905</t>
  </si>
  <si>
    <t>CACTUS 801</t>
  </si>
  <si>
    <t>28/12/2021</t>
  </si>
  <si>
    <t>VEREDA LA MOSQUITA CASA 89B</t>
  </si>
  <si>
    <t>EL BORRACHERO GUARNE</t>
  </si>
  <si>
    <t>JARDINES DE LA HACIENDA 1707</t>
  </si>
  <si>
    <t>ARBOLEDA DEL RODEO 1808</t>
  </si>
  <si>
    <t>RODEO ALTO</t>
  </si>
  <si>
    <t>POLARIS 614</t>
  </si>
  <si>
    <t>18/01/2022</t>
  </si>
  <si>
    <t>WORK OFICCE PISO 5</t>
  </si>
  <si>
    <t>WORK OFICCE PISO 4</t>
  </si>
  <si>
    <t>CASA COMERCIAL</t>
  </si>
  <si>
    <t>CR 80 N°36 29</t>
  </si>
  <si>
    <t>19/01/2022</t>
  </si>
  <si>
    <t>24/01/2022</t>
  </si>
  <si>
    <t>CR 54 A 75 SUR 13 LOC 22</t>
  </si>
  <si>
    <t>CR 54 A 75 SUR 13 LOC 14</t>
  </si>
  <si>
    <t>CR 54 A 75 SUR 13 LOC 24</t>
  </si>
  <si>
    <t>CR 54 A 75 SUR 13 LOC 15</t>
  </si>
  <si>
    <t>25/01/2022</t>
  </si>
  <si>
    <t>PORTON DE LA HACIENDA 702</t>
  </si>
  <si>
    <t>ANDRES ENERO 2022</t>
  </si>
  <si>
    <t>14/01/2022</t>
  </si>
  <si>
    <t>ROMAZINO 214</t>
  </si>
  <si>
    <t>17/01/2022</t>
  </si>
  <si>
    <t>TUKANA 216</t>
  </si>
  <si>
    <t>20/01/2022</t>
  </si>
  <si>
    <t>VIÑA DEL MAR 1213</t>
  </si>
  <si>
    <t>ALDEA DEL SUR 1811</t>
  </si>
  <si>
    <t>EDISSON  ENERO 2022</t>
  </si>
  <si>
    <t>SENDERO DEL BOSQUE 2008</t>
  </si>
  <si>
    <t>VERDE VIVO ARIZA 512</t>
  </si>
  <si>
    <t xml:space="preserve">CL 11 SUR N° 52-13 </t>
  </si>
  <si>
    <t>EL CHINGUI</t>
  </si>
  <si>
    <t>POTERIA</t>
  </si>
  <si>
    <t>PACIFICA 2016</t>
  </si>
  <si>
    <t>VERDE VIVO CEIBA 1903</t>
  </si>
  <si>
    <t>PACIFICA 701</t>
  </si>
  <si>
    <t xml:space="preserve">MANTIA 601 </t>
  </si>
  <si>
    <t>13/01/2022</t>
  </si>
  <si>
    <t>RESERVAS DE PRADO T3 418</t>
  </si>
  <si>
    <t>15/01/2022</t>
  </si>
  <si>
    <t>17/10/2022</t>
  </si>
  <si>
    <t>AOTO</t>
  </si>
  <si>
    <t>SEBASTIAN LOPEZ  ENERO 2022</t>
  </si>
  <si>
    <t>20/1/2022</t>
  </si>
  <si>
    <t>TUKANA 306</t>
  </si>
  <si>
    <t>INQUILINA</t>
  </si>
  <si>
    <t>PACIFICA 1112</t>
  </si>
  <si>
    <t>27/12/2021</t>
  </si>
  <si>
    <t>CACTUS TORRE 1 - 1405</t>
  </si>
  <si>
    <t>FELICITY 1606</t>
  </si>
  <si>
    <t>ROBLEDALES 234</t>
  </si>
  <si>
    <t>ROBLEDO</t>
  </si>
  <si>
    <t>MANZANILLO 613</t>
  </si>
  <si>
    <t>CACTUS TORRE 2 - 601</t>
  </si>
  <si>
    <t>QUINTA ESTRELLA 1603</t>
  </si>
  <si>
    <t>CL 71 N° 48-48</t>
  </si>
  <si>
    <t>VIÑA DEL MAR 807</t>
  </si>
  <si>
    <t>CL 77 SUR 69-61 LOC 110</t>
  </si>
  <si>
    <t>FERREIRA</t>
  </si>
  <si>
    <t>ABIERTO</t>
  </si>
  <si>
    <t>SAN AGUSTIN CASA 190</t>
  </si>
  <si>
    <t>ABEDULES CASA 105</t>
  </si>
  <si>
    <t>ARBOLEDA DE LA ESTRELLA 907</t>
  </si>
  <si>
    <t>CALLE 77 A SUR 55-100 LOC 201</t>
  </si>
  <si>
    <t>21/01/2022</t>
  </si>
  <si>
    <t>CALLE 34 B 52-16 LOC 101</t>
  </si>
  <si>
    <t>MARGARITAS</t>
  </si>
  <si>
    <t>QUINTA DE LA QUINTA 132</t>
  </si>
  <si>
    <t>CALLE 81 SUR 61-13 LOC 8</t>
  </si>
  <si>
    <t>PARQUE LA ESTRELLA</t>
  </si>
  <si>
    <t>CALLE 81 SUR 61-13 LOC 3</t>
  </si>
  <si>
    <t>CALLE 81 SUR 61-13 LOC 7</t>
  </si>
  <si>
    <t>CALLE 81 SUR 61-13 LOC 6</t>
  </si>
  <si>
    <t>PORTADA ENERO 2022</t>
  </si>
  <si>
    <t xml:space="preserve">JARDINES DE LA HACIENDA </t>
  </si>
  <si>
    <t>22/01/2022</t>
  </si>
  <si>
    <t>CACTUS 2101</t>
  </si>
  <si>
    <t>LUISA QUINTERO  ENERO 2022</t>
  </si>
  <si>
    <t>ARAMUS STYLE 1505</t>
  </si>
  <si>
    <t>INFORME DE CAPTACION ZONA ITAGUI - LA ESTRELLA  – FEBRERO  2022</t>
  </si>
  <si>
    <t>YERMANI  FEBRERO  2022</t>
  </si>
  <si>
    <t>31/01/2022</t>
  </si>
  <si>
    <t>ORION 204</t>
  </si>
  <si>
    <t>18/02/2022</t>
  </si>
  <si>
    <t>ZANETTI 2020</t>
  </si>
  <si>
    <t>23/03/2022</t>
  </si>
  <si>
    <t>26/01/2022</t>
  </si>
  <si>
    <t>28/01/2022</t>
  </si>
  <si>
    <t>SIERRA MORENA 316</t>
  </si>
  <si>
    <t>SIERRA MORENA 205</t>
  </si>
  <si>
    <t>JARDINES DE LA HACIENDA 712</t>
  </si>
  <si>
    <t xml:space="preserve">ROMAZINO 1315 </t>
  </si>
  <si>
    <t>CEIBAZUL 1005</t>
  </si>
  <si>
    <t>CL 10 N° 42-45 LOC 106</t>
  </si>
  <si>
    <t>EL POBLADO</t>
  </si>
  <si>
    <t>ADMINISTACION</t>
  </si>
  <si>
    <t>SIERRA MORENA 1122</t>
  </si>
  <si>
    <t>SENDERO DEL BOSQUE 813</t>
  </si>
  <si>
    <t>14/02/2022</t>
  </si>
  <si>
    <t>GUAYABALIA</t>
  </si>
  <si>
    <t>14/02/2021</t>
  </si>
  <si>
    <t>FLORES DEL CAMPO 1319</t>
  </si>
  <si>
    <t>22/02/2022</t>
  </si>
  <si>
    <t>TERRAZINO 1203</t>
  </si>
  <si>
    <t>CUMBRES</t>
  </si>
  <si>
    <t>ANDRES FEBRERO 2022</t>
  </si>
  <si>
    <t>TOLEDO CASAS CASA 106</t>
  </si>
  <si>
    <t>VILLA DEL BOSQUE 1125</t>
  </si>
  <si>
    <t>LIMONAR</t>
  </si>
  <si>
    <t>AIRES DE SURAMERICA 502</t>
  </si>
  <si>
    <t>AGUAS DEL BOSQUE 1918</t>
  </si>
  <si>
    <t>SNO</t>
  </si>
  <si>
    <t>EDISSON  FEBRERO 2022</t>
  </si>
  <si>
    <t>ARIZA 2515</t>
  </si>
  <si>
    <t>15/02/2022</t>
  </si>
  <si>
    <t>RESERVAS DEL PRADO 320</t>
  </si>
  <si>
    <t>RESERVAS DEL PRADO 9910</t>
  </si>
  <si>
    <t>RESERVAS DEL PRADO ET 2 315</t>
  </si>
  <si>
    <t>VILLANOVA 1713</t>
  </si>
  <si>
    <t>CL 36 A N° 40-68</t>
  </si>
  <si>
    <t>CL 48 SUR N° 66 B 129</t>
  </si>
  <si>
    <t>RESERVAS DE PRADO ET 3 318</t>
  </si>
  <si>
    <t>RESERVAS DE PRADO ET 3 9911</t>
  </si>
  <si>
    <t>17/02/2022</t>
  </si>
  <si>
    <t>21/02/2022</t>
  </si>
  <si>
    <t xml:space="preserve">COLINA DE ASIS 230 </t>
  </si>
  <si>
    <t>CALLE 31 N° 43-43 201</t>
  </si>
  <si>
    <t>24/02/2022</t>
  </si>
  <si>
    <t>PORTAL DE LA ESTRELLA LOC 13</t>
  </si>
  <si>
    <t>SEBASTIAN LOPEZ  FEBRERO 2022</t>
  </si>
  <si>
    <t>aAPTO</t>
  </si>
  <si>
    <t>ORION 1113</t>
  </si>
  <si>
    <t>16/02/2022</t>
  </si>
  <si>
    <t>ALTOS DE SURAMERICA 201</t>
  </si>
  <si>
    <t>AGUAS DEL BOSQUE 1501</t>
  </si>
  <si>
    <t>27/01/2022</t>
  </si>
  <si>
    <t>CL 72 N° 50-40 LOC 101</t>
  </si>
  <si>
    <t>SANTAMARIA</t>
  </si>
  <si>
    <t>CL 72 N° 50-40 AP 201</t>
  </si>
  <si>
    <t>29/01/2022</t>
  </si>
  <si>
    <t>CR 49 N° 52-40 CASA 101</t>
  </si>
  <si>
    <t>LOS NARANJOS</t>
  </si>
  <si>
    <t xml:space="preserve">CL 42 SUR N° 66-03 </t>
  </si>
  <si>
    <t>CC VENECIA LOC 120</t>
  </si>
  <si>
    <t>FIORI VITA LOC 101</t>
  </si>
  <si>
    <t>CL 48 N° 88-18 LOC 101</t>
  </si>
  <si>
    <t>LA RAYA</t>
  </si>
  <si>
    <t xml:space="preserve">CR 48 N° 88-26 PRIMER PISO </t>
  </si>
  <si>
    <t>CL 79 SUR N° 52-59</t>
  </si>
  <si>
    <t>SAN AGUSTIN</t>
  </si>
  <si>
    <t>BOSQUE GRANDE 618</t>
  </si>
  <si>
    <t>VERDE VIVO CEIBA 502</t>
  </si>
  <si>
    <t>17/07/2022</t>
  </si>
  <si>
    <t>CAPELLA 1420</t>
  </si>
  <si>
    <t>MAZZARO 812</t>
  </si>
  <si>
    <t>VEREDA SAN JOSE</t>
  </si>
  <si>
    <t xml:space="preserve">ALDEA DEL SUR 1010 </t>
  </si>
  <si>
    <t>23/02/2022</t>
  </si>
  <si>
    <t xml:space="preserve">COLINA DE ASIS 107 </t>
  </si>
  <si>
    <t>PORTADA FEBRERO 2022</t>
  </si>
  <si>
    <t>CASA JARDIN # 30</t>
  </si>
  <si>
    <t>VILLASOL 1529</t>
  </si>
  <si>
    <t>CL 76 A SUR 55 41 CA 101</t>
  </si>
  <si>
    <t>COLINA DE ASIS 1126</t>
  </si>
  <si>
    <t>EDIFICIO LA FINQUITA 101</t>
  </si>
  <si>
    <t>25/02/2022</t>
  </si>
  <si>
    <t xml:space="preserve">CIDADELA DEL VALLE 1214 </t>
  </si>
  <si>
    <t>BRAYAN FEBRERO 2022</t>
  </si>
  <si>
    <t>DEPARTAMENTO VIRTUAL FEBRERO 2022</t>
  </si>
  <si>
    <t>DURECTO</t>
  </si>
  <si>
    <t>INFORME DE CAPTACION ZONA ITAGUI - LA ESTRELLA  – MARZO 2022</t>
  </si>
  <si>
    <t>YERMANI  MARZO  2022</t>
  </si>
  <si>
    <t>28/02/2022</t>
  </si>
  <si>
    <t>MANATIALES DE SURAMERICA 802</t>
  </si>
  <si>
    <t>15/03/2022</t>
  </si>
  <si>
    <t>PORTAL DE LA ESTRELLA 1304</t>
  </si>
  <si>
    <t>17/08/2022</t>
  </si>
  <si>
    <t>TUKANA 1401</t>
  </si>
  <si>
    <t>SAN GERMAN</t>
  </si>
  <si>
    <t>BELLA VISTA</t>
  </si>
  <si>
    <t>MIRADOR DE LAS VEGAS</t>
  </si>
  <si>
    <t>ENTREAMIGOS</t>
  </si>
  <si>
    <t>ALABAMA 51</t>
  </si>
  <si>
    <t>SIERRA MORENA 419 1.200.000</t>
  </si>
  <si>
    <t xml:space="preserve">TIERRA FRESCA CASA 70 </t>
  </si>
  <si>
    <t xml:space="preserve">SIERRA MORENA 718 </t>
  </si>
  <si>
    <t>14/03/2022</t>
  </si>
  <si>
    <t>16/03/2022</t>
  </si>
  <si>
    <t>EDIFICIO MARIA ELENA AP 9902</t>
  </si>
  <si>
    <t>SIERRA MORENA 119</t>
  </si>
  <si>
    <t>18/03/2022</t>
  </si>
  <si>
    <t>17/03/2022</t>
  </si>
  <si>
    <t>22/03/2022</t>
  </si>
  <si>
    <t>EDIFICIO MONTECASTELLO 401</t>
  </si>
  <si>
    <t>CRISTO REY</t>
  </si>
  <si>
    <t>EDIFICIO MONTECASTELLO 301</t>
  </si>
  <si>
    <t>CEIBAZUL 1803</t>
  </si>
  <si>
    <t>EDISSON  MARZO 2022</t>
  </si>
  <si>
    <t>CACTUS TORRE 2 1702</t>
  </si>
  <si>
    <t>CRA 38 N° 18-401 LOC 9935 MALL PALMA GRANDE</t>
  </si>
  <si>
    <t>25/03/2022</t>
  </si>
  <si>
    <t>CLL 56 N° 55 B - 07</t>
  </si>
  <si>
    <t>26/02/2022</t>
  </si>
  <si>
    <t>PORTON DE LA HACIENDA 613</t>
  </si>
  <si>
    <t>CIUDADELA DEL PARQUE 1326</t>
  </si>
  <si>
    <t>CL 53 B SUR N°70-100</t>
  </si>
  <si>
    <t>CR 62 B N° 24 A - 67</t>
  </si>
  <si>
    <t>RESERVAS DEL PRADO 9928</t>
  </si>
  <si>
    <t>14/3/2022</t>
  </si>
  <si>
    <t>PLAZA ARRAYANES LOC 410</t>
  </si>
  <si>
    <t>CRA 62 A N° 24-48 CASA 201</t>
  </si>
  <si>
    <t>VILLA VERDE 1131</t>
  </si>
  <si>
    <t>RESERVAS DEL PRADO 9804</t>
  </si>
  <si>
    <t>24/03/2022</t>
  </si>
  <si>
    <t>AGUACATALA</t>
  </si>
  <si>
    <t>FLORES DEL CAMPO 917</t>
  </si>
  <si>
    <t>VIENA 502</t>
  </si>
  <si>
    <t>ASTURIAS</t>
  </si>
  <si>
    <t>SEBASTIAN LOPEZ  MARZO 2022</t>
  </si>
  <si>
    <t>ARBOLEDA DE LA ESTRELLA</t>
  </si>
  <si>
    <t>LA  ALDEA</t>
  </si>
  <si>
    <t xml:space="preserve">TORRE PICASSO </t>
  </si>
  <si>
    <t>PARQUE ESTRELLA</t>
  </si>
  <si>
    <t>ALDEA DEL SUR 803</t>
  </si>
  <si>
    <t>ALDEA DEL SUR 506</t>
  </si>
  <si>
    <t>CALLE 65 N° 58-45</t>
  </si>
  <si>
    <t>CALATRAVA</t>
  </si>
  <si>
    <t>VILLA REAL CASA 31-33</t>
  </si>
  <si>
    <t>ORION 1306</t>
  </si>
  <si>
    <t>CALLE 72 N° 50-40</t>
  </si>
  <si>
    <t>CASA FINCA TRES MARIAS</t>
  </si>
  <si>
    <t>TORRE PICASSO</t>
  </si>
  <si>
    <t>CENTRO ESTRELLA</t>
  </si>
  <si>
    <t>CC VENECIA LOC 14</t>
  </si>
  <si>
    <t>CC VENECIA LOC 15</t>
  </si>
  <si>
    <t>CC VENECIA LOC 1 PISO 3</t>
  </si>
  <si>
    <t>CC VENECIA LOC 1 PISO 5</t>
  </si>
  <si>
    <t>CALLE 51 A N° 52-23</t>
  </si>
  <si>
    <t>PARQUE ITAGUI</t>
  </si>
  <si>
    <t>GUADUALES DEL PARQUE 1505</t>
  </si>
  <si>
    <t>ORION 1902</t>
  </si>
  <si>
    <t>BRAYAN MARZO 2022</t>
  </si>
  <si>
    <t xml:space="preserve">GUAYABALIA </t>
  </si>
  <si>
    <t>TOMAS MARZO 2022</t>
  </si>
  <si>
    <t>QUINTA ESTRELLA 1006</t>
  </si>
  <si>
    <t>QUINTA ESTRELLA 1202</t>
  </si>
  <si>
    <t>ALDEA DEL SUR 2002</t>
  </si>
  <si>
    <t>LEÑO VERDE CASA 10</t>
  </si>
  <si>
    <t>GUADUALES PARQUE RESIDENCIAL 2008</t>
  </si>
  <si>
    <t>CALLE 8 SUR N° 58-31 CASA 101</t>
  </si>
  <si>
    <t>CALLE 55 N° 49-14 PRIMER PISO</t>
  </si>
  <si>
    <t>CENTRO ITAGUI</t>
  </si>
  <si>
    <t>CALLE 49 N° 50-39 TERCER PISO</t>
  </si>
  <si>
    <t>LA CAPILLA</t>
  </si>
  <si>
    <t xml:space="preserve">CALLE 49 N°48 41 </t>
  </si>
  <si>
    <t>ALEJANDRO MARZO 2022</t>
  </si>
  <si>
    <t>VILLA VERDE 1331</t>
  </si>
  <si>
    <t>VILLATERRA 1905</t>
  </si>
  <si>
    <t>PORTADA MARZO 2022</t>
  </si>
  <si>
    <t>CR 56 BB 83 D SUR 06 </t>
  </si>
  <si>
    <t>CERRITO</t>
  </si>
  <si>
    <t>ROMAZINO 1410 SUBROGACION</t>
  </si>
  <si>
    <t>INFORME DE CAPTACION ZONA ITAGUI - LA ESTRELLA  – ABRIL 2022</t>
  </si>
  <si>
    <t>YERMANI  ABRIL 2022</t>
  </si>
  <si>
    <t>21/4/2022</t>
  </si>
  <si>
    <t>FINCA CARMEN DE VIBORAL</t>
  </si>
  <si>
    <t>VEREDA LA PALMA</t>
  </si>
  <si>
    <t>CRA 66 N° 48-48 AP 301</t>
  </si>
  <si>
    <t>LA MISEROCORDIA COPAC</t>
  </si>
  <si>
    <t>29/03/2022</t>
  </si>
  <si>
    <t>SAUCES DEL SUR 204</t>
  </si>
  <si>
    <t xml:space="preserve">CALLE 24 N° 61-70 </t>
  </si>
  <si>
    <t>CALLE 65 N° 45 A 32 LOC 1</t>
  </si>
  <si>
    <t>CALLE 65 N° 45 A 32 LOC 2</t>
  </si>
  <si>
    <t>CALLE 65 N° 45 A 32 LOC 3</t>
  </si>
  <si>
    <t>CALLE 65 N° 45 A 32 LOC 4</t>
  </si>
  <si>
    <t>FRONTERAS DEL SUR 414</t>
  </si>
  <si>
    <t>FRONTERAS DEL SUR 1304</t>
  </si>
  <si>
    <t xml:space="preserve">AQUAVENTO 405 </t>
  </si>
  <si>
    <t>FRONTERAS DEL SUR 1807</t>
  </si>
  <si>
    <t>13/4/2022</t>
  </si>
  <si>
    <t xml:space="preserve">AQUAVENTO 1806 </t>
  </si>
  <si>
    <t>CACTUS TORRE 2</t>
  </si>
  <si>
    <t>25/4/2022</t>
  </si>
  <si>
    <t>MANANTIALES DE SURAMERICA 502</t>
  </si>
  <si>
    <t>BALCONES DEL TRIANA PISO 1</t>
  </si>
  <si>
    <t>TRINA</t>
  </si>
  <si>
    <t>VERONICA MORALES</t>
  </si>
  <si>
    <t>PORTAL DE LA ESTRELLA LOCAL 11</t>
  </si>
  <si>
    <t>1.293.200</t>
  </si>
  <si>
    <t>PORTAL DE LA ESTRELLA LOCAL 2</t>
  </si>
  <si>
    <t>PORTAL DE LA ESTRELLA LOCAL 10</t>
  </si>
  <si>
    <t>EDISSON  ABRIL 2022</t>
  </si>
  <si>
    <t>28/03/2022</t>
  </si>
  <si>
    <t>RESERVAS DEL PRADO 9813</t>
  </si>
  <si>
    <t>31/03/2022</t>
  </si>
  <si>
    <t>MANTIA 208</t>
  </si>
  <si>
    <t>07/041/2022</t>
  </si>
  <si>
    <t>RESERVAS DEL PRADO 9701</t>
  </si>
  <si>
    <t>19/04/2022</t>
  </si>
  <si>
    <t xml:space="preserve">VILLA VERDE 1530 </t>
  </si>
  <si>
    <t>26/03/2022</t>
  </si>
  <si>
    <t>RESERVAS DEL PRADO 301</t>
  </si>
  <si>
    <t>RESERVAS DEL PRADO 9925</t>
  </si>
  <si>
    <t>MANZANILLO 1634</t>
  </si>
  <si>
    <t>JARDINES DE LA HACIENDA AP 1211</t>
  </si>
  <si>
    <t>CRA 57 N° 75 AA SUR - 13 TOLEDO</t>
  </si>
  <si>
    <t>RESERVAS DEL PRADO 106</t>
  </si>
  <si>
    <t>PARQUES DE SANTA CATALINA 501</t>
  </si>
  <si>
    <t>RESERVA DEL PRADO 513</t>
  </si>
  <si>
    <t>18/4/2022</t>
  </si>
  <si>
    <t>ED. SANFER 302</t>
  </si>
  <si>
    <t>19/4/2022</t>
  </si>
  <si>
    <t xml:space="preserve">CL 39 SUR 81-66 </t>
  </si>
  <si>
    <t>LAS MARAVILLAS</t>
  </si>
  <si>
    <t>21/4/2021</t>
  </si>
  <si>
    <t>RESERVAS DE PRADO 9812</t>
  </si>
  <si>
    <t>COLINA VERDE 723</t>
  </si>
  <si>
    <t>SEBASTIAN LOPEZ  ABRIL 2022</t>
  </si>
  <si>
    <t>MAZZARO 119</t>
  </si>
  <si>
    <t>FIORI VITTA 2305</t>
  </si>
  <si>
    <t>CIUDADELA DEL PRADO 511</t>
  </si>
  <si>
    <t>AGUAS DEL BOSQUE 520</t>
  </si>
  <si>
    <t>CALLE 75 AA SUR N° 57-135 TOLEDO</t>
  </si>
  <si>
    <t>ALTOS DE SURAMERICA 1501</t>
  </si>
  <si>
    <t xml:space="preserve">BRUJA BONITA 607 </t>
  </si>
  <si>
    <t>LOMA DE LAS BRUJAS</t>
  </si>
  <si>
    <t>POLARIS 513</t>
  </si>
  <si>
    <t>CALLE 119 A N° 64 C - 17</t>
  </si>
  <si>
    <t>BOYACA LAS BRISAS</t>
  </si>
  <si>
    <t>TUKANA 1502</t>
  </si>
  <si>
    <t>CARRERA 54 A N° 75 SUR -120</t>
  </si>
  <si>
    <t>FLORES DEL CAMPO 706</t>
  </si>
  <si>
    <t>PARQUES DE SANTA CATALINA 202</t>
  </si>
  <si>
    <t>20/4/2022</t>
  </si>
  <si>
    <t>CC VENECIA LOC 201</t>
  </si>
  <si>
    <t>CENTRO LA ESTRELLA</t>
  </si>
  <si>
    <t>ESTRELLA DE MAR 902</t>
  </si>
  <si>
    <t>25/04/2022</t>
  </si>
  <si>
    <t xml:space="preserve">CALLE 77 A SUR 55 A 20 </t>
  </si>
  <si>
    <t>PORTADA ABRIL 2022</t>
  </si>
  <si>
    <t>29/3/2022</t>
  </si>
  <si>
    <t>19/4/2020</t>
  </si>
  <si>
    <t>VILLANOVA 303</t>
  </si>
  <si>
    <t>22/4/2022</t>
  </si>
  <si>
    <t>INFORME DE CAPTACION ZONA ITAGUI - LA ESTRELLA  – MAYO 2022</t>
  </si>
  <si>
    <t>YERMANI  MAYO 2022</t>
  </si>
  <si>
    <t>28/4/2022</t>
  </si>
  <si>
    <t>BOSQUE GRANDE 722</t>
  </si>
  <si>
    <t>27/4/2022</t>
  </si>
  <si>
    <t>30/4/2022</t>
  </si>
  <si>
    <t>EDISSON  MAYO 2022</t>
  </si>
  <si>
    <t>27/04/2022</t>
  </si>
  <si>
    <t>VILLA VERDE 1230</t>
  </si>
  <si>
    <t>ZANETTI 1615</t>
  </si>
  <si>
    <t xml:space="preserve">RESERVA DEL PARQUE 1813 </t>
  </si>
  <si>
    <t>20/5/2022</t>
  </si>
  <si>
    <t>CIUDADELA DEL PARQUE 1224</t>
  </si>
  <si>
    <t xml:space="preserve">PORTERO    </t>
  </si>
  <si>
    <t>RESERVAS DE PRADO 9701</t>
  </si>
  <si>
    <t>EDIFICIO NIGOL 401</t>
  </si>
  <si>
    <t>SAN ISIDRO</t>
  </si>
  <si>
    <t>RESERVA DEL PRADO 417</t>
  </si>
  <si>
    <t>EDIFICIO BOUNARO 301</t>
  </si>
  <si>
    <t>CALLE LARGA</t>
  </si>
  <si>
    <t>EDIFICIO BOUNARO 701</t>
  </si>
  <si>
    <t>EDIFICIO BOUNARO 802</t>
  </si>
  <si>
    <t>14/5/2022</t>
  </si>
  <si>
    <t>16/5/2022</t>
  </si>
  <si>
    <t>CRA 66 N° 63-30 AP 301</t>
  </si>
  <si>
    <t>CALATRABA</t>
  </si>
  <si>
    <t>CRA 46 N° 43-35</t>
  </si>
  <si>
    <t>17/5/2022</t>
  </si>
  <si>
    <t>CL 52 D SUR N° 70 -105</t>
  </si>
  <si>
    <t>19/5/2022</t>
  </si>
  <si>
    <t>GUAYACANES DE PRADO 528</t>
  </si>
  <si>
    <t>23/5/2022</t>
  </si>
  <si>
    <t>25/5/2022</t>
  </si>
  <si>
    <t>RESERVAS DE PRADO 1004</t>
  </si>
  <si>
    <t>SEBASTIAN LOPEZ MAYO 2022</t>
  </si>
  <si>
    <t>PELICANOS 3 AP 05026</t>
  </si>
  <si>
    <t xml:space="preserve">PARCELACION LA PRADERA </t>
  </si>
  <si>
    <t>SAN FELIX</t>
  </si>
  <si>
    <t>24/4/2022</t>
  </si>
  <si>
    <t>VERDE VIVO CEIBA 704</t>
  </si>
  <si>
    <t>FLORES DEL CAMPO 428</t>
  </si>
  <si>
    <t>EDIFICIO NIGOL 402</t>
  </si>
  <si>
    <t>13/5/2022</t>
  </si>
  <si>
    <t>ED VILLA DEL ROSARIO LOC 101</t>
  </si>
  <si>
    <t>ED VILLA DEL ROSARIO 402</t>
  </si>
  <si>
    <t>VILLA DEL ROSARIO 201</t>
  </si>
  <si>
    <t>ARBOLEDA DE LA ESTRELLA 1105</t>
  </si>
  <si>
    <t>SIERRA MORENA 1917</t>
  </si>
  <si>
    <t>OFICINA</t>
  </si>
  <si>
    <t>CRA 50 N° 93 SUR 40 OF 101</t>
  </si>
  <si>
    <t>SIERRA MORENA 518</t>
  </si>
  <si>
    <t>CRA 75 N°37 D SUR 14 PISI 1</t>
  </si>
  <si>
    <t>CEIBAZUL LOC 104</t>
  </si>
  <si>
    <t>JHON ESTIVEN CANO MAYO 2022</t>
  </si>
  <si>
    <t>CALLE 64 B N° 43 -93 AP 501</t>
  </si>
  <si>
    <t>CALLE 49 N° 45-00</t>
  </si>
  <si>
    <t>CAMPO ALEGRE</t>
  </si>
  <si>
    <t>CALLE 63 N° 43-88</t>
  </si>
  <si>
    <t>CRA 51 N° 48-34</t>
  </si>
  <si>
    <t xml:space="preserve">CC GM </t>
  </si>
  <si>
    <t>ALEJANDRO VILLEGAS MAYO 2022</t>
  </si>
  <si>
    <t xml:space="preserve">COLINAS DEL RODEO </t>
  </si>
  <si>
    <t>RODEL ALTO</t>
  </si>
  <si>
    <t>JARDINES DEL SUR 1412</t>
  </si>
  <si>
    <t>JARDINES DEL SUR 1014</t>
  </si>
  <si>
    <t>SIERRA MORENA 1606</t>
  </si>
  <si>
    <t>PORTADA MAYO 2022</t>
  </si>
  <si>
    <t>CONJUNTO RESIDENCIAL LA HORTENSIA 517</t>
  </si>
  <si>
    <t>21/5/2022</t>
  </si>
  <si>
    <t>LUISA QUINTERO MAYO 2022</t>
  </si>
  <si>
    <t>VILLASOL 1535</t>
  </si>
  <si>
    <t>INFORME DE CAPTACION ZONA ITAGUI - LA ESTRELLA  – JUNIO 2022</t>
  </si>
  <si>
    <t>EDISSON  JUNIO 2022</t>
  </si>
  <si>
    <t>23/6/2022</t>
  </si>
  <si>
    <t>VILLANOVA 1212</t>
  </si>
  <si>
    <t>22/6/2022</t>
  </si>
  <si>
    <t>VERDE VIVO CEIBA 705</t>
  </si>
  <si>
    <t>26/05/2022</t>
  </si>
  <si>
    <t>31/5/2022</t>
  </si>
  <si>
    <t>CIUDADELA DEL PARQUE 2127</t>
  </si>
  <si>
    <t>MONTEFLOR 1617</t>
  </si>
  <si>
    <t>RESERVA DEL BOSQUE 613</t>
  </si>
  <si>
    <t>MANANTIALES DE SURAMERICA 2302</t>
  </si>
  <si>
    <t>13/6/2022</t>
  </si>
  <si>
    <t>14/6/2022</t>
  </si>
  <si>
    <t>16/6/2022</t>
  </si>
  <si>
    <t>VILLATERRA 902</t>
  </si>
  <si>
    <t>CRA 76 N° 41 SUR 04</t>
  </si>
  <si>
    <t>HORIZONTES</t>
  </si>
  <si>
    <t>21/6/2022</t>
  </si>
  <si>
    <t>24/6/2022</t>
  </si>
  <si>
    <t>SEBASTIAN LOPEZ JUNIO 2022</t>
  </si>
  <si>
    <t>ORION 206</t>
  </si>
  <si>
    <t>CACTUS 2302</t>
  </si>
  <si>
    <t>26/5/2022</t>
  </si>
  <si>
    <t>27/5/2022</t>
  </si>
  <si>
    <t>ESTRELLA DEL SUR CASA 10</t>
  </si>
  <si>
    <t>CALLE 79 SUR N° 55-30 LOC 126</t>
  </si>
  <si>
    <t>GUADUALES PARQUE RESIDENCIAL 715</t>
  </si>
  <si>
    <t>BOSQUES DE LA GLORIA 601</t>
  </si>
  <si>
    <t>ESTRELLA DE MAR 501</t>
  </si>
  <si>
    <t>FLORES DEL CAMPO 1110</t>
  </si>
  <si>
    <t>15/6/2022</t>
  </si>
  <si>
    <t>ALTOS DE VALPARAISO 1605</t>
  </si>
  <si>
    <t>PRADOS DE SABANETA</t>
  </si>
  <si>
    <t>17/6/2022</t>
  </si>
  <si>
    <t>QUINTA ESTRELLA 1005</t>
  </si>
  <si>
    <t>JHON ESTIVEN CANO JUNIO 2022</t>
  </si>
  <si>
    <t>31/05/2022</t>
  </si>
  <si>
    <t>CALLE 51 N° 46-40 AP 501</t>
  </si>
  <si>
    <t>ITAGUI PARQUE</t>
  </si>
  <si>
    <t>LA ESMERALDA 104</t>
  </si>
  <si>
    <t>ALEJANDRO VILLEGAS JUNIO 2022</t>
  </si>
  <si>
    <t>MANZANILLO 1113</t>
  </si>
  <si>
    <t>MANZANILLO</t>
  </si>
  <si>
    <t>25/6/2022</t>
  </si>
  <si>
    <t>CAPELLA 501</t>
  </si>
  <si>
    <t>MIRADOR DE LA HACIENDA 115</t>
  </si>
  <si>
    <t>FRONTERA DEL SUR 1218</t>
  </si>
  <si>
    <t>SIERRA MORENA 211</t>
  </si>
  <si>
    <t>EL REMANZO 217</t>
  </si>
  <si>
    <t>LIMONAR 2</t>
  </si>
  <si>
    <t>CRA 51 N° 98 SUR 237</t>
  </si>
  <si>
    <t>CRA 51 N° 98 SUR 238</t>
  </si>
  <si>
    <t>PANORAMA AURAL 1230</t>
  </si>
  <si>
    <t>REMANSO 198</t>
  </si>
  <si>
    <t xml:space="preserve">LIMONAR  </t>
  </si>
  <si>
    <t>CIUDADELA VILLA DEL BOSQUE 224</t>
  </si>
  <si>
    <t>SAN FRANCISCO</t>
  </si>
  <si>
    <t>SIERRA MORENA 1909</t>
  </si>
  <si>
    <t>MANZANILLO 1529</t>
  </si>
  <si>
    <t>POLARIS 1907</t>
  </si>
  <si>
    <t>MAXIMILIANO ARBOLEDA JUNIO 2022</t>
  </si>
  <si>
    <t>22/06/2022</t>
  </si>
  <si>
    <t>SAN AGUSTIN CASA 132</t>
  </si>
  <si>
    <t>LOTE</t>
  </si>
  <si>
    <t>EL RINCON DE LA DOCTORA</t>
  </si>
  <si>
    <t>CARRERA 59 N° 73 SUR 65</t>
  </si>
  <si>
    <t>MELEGUINDO TARAPACA</t>
  </si>
  <si>
    <t>28/5/2022</t>
  </si>
  <si>
    <t>TUKANA 1907</t>
  </si>
  <si>
    <t>GALACIAS</t>
  </si>
  <si>
    <t>CORRALA CALDAS</t>
  </si>
  <si>
    <t>AGUA FRESCA</t>
  </si>
  <si>
    <t>AIRES DE SAN FRANCISCO 510</t>
  </si>
  <si>
    <t>SAN DIEGO LA ESTRELLA CL 83 A SUR 59-11</t>
  </si>
  <si>
    <t>STOCK CENTER</t>
  </si>
  <si>
    <t>14/0/2022</t>
  </si>
  <si>
    <t>CRA 61 N° 77 SUR 27 LOCAL 213</t>
  </si>
  <si>
    <t>CALLE 82 SUR 56 C 16 SAN BENITO 302</t>
  </si>
  <si>
    <t>AÑORANZAS 201</t>
  </si>
  <si>
    <t>CALDAS PARQUE</t>
  </si>
  <si>
    <t>JUAN DAVID BUSTAMANTE JUNIO 2022</t>
  </si>
  <si>
    <t>ENTREPINO 301</t>
  </si>
  <si>
    <t>GUAYACANES DEL SUR 404</t>
  </si>
  <si>
    <t>RESERVAS DEL RIO 913</t>
  </si>
  <si>
    <t>CIUDAD DEL RIO</t>
  </si>
  <si>
    <t>GUAYACANES DEL SUR 2108</t>
  </si>
  <si>
    <t xml:space="preserve">CALLE 75 N°52-35 </t>
  </si>
  <si>
    <t>CARRERA 65 N° 27-34 AP 301</t>
  </si>
  <si>
    <t>GUAYACANES DEL SUR 2004</t>
  </si>
  <si>
    <t>21/6/202</t>
  </si>
  <si>
    <t xml:space="preserve">CALLE 24 N° 61 -52 </t>
  </si>
  <si>
    <t>VBARILOCHE</t>
  </si>
  <si>
    <t>ANDRES RESTREPO JUNIO 2022</t>
  </si>
  <si>
    <t>CRA 52 A 72-90</t>
  </si>
  <si>
    <t>ARBOLEDA DE SAN ANTONIO 301</t>
  </si>
  <si>
    <t>LUISA QUINTERO JUNIO 2022</t>
  </si>
  <si>
    <t>27/05/2022</t>
  </si>
  <si>
    <t>EDIFICIO NAPOLES 302</t>
  </si>
  <si>
    <t>CONQUISTADORES</t>
  </si>
  <si>
    <t>PORTADA JUNIO 2022</t>
  </si>
  <si>
    <t>CR 57 A 69 D 31</t>
  </si>
  <si>
    <t>SIERRA MORENA 1911</t>
  </si>
  <si>
    <t>ZANETTI 2028</t>
  </si>
  <si>
    <t>INQUILINO</t>
  </si>
  <si>
    <t>INFORME DE CAPTACION ZONA ITAGUI - LA ESTRELLA  – JULIO 2022</t>
  </si>
  <si>
    <t>EDISSON  JULIO 2022</t>
  </si>
  <si>
    <t>28/6/2022</t>
  </si>
  <si>
    <t>CIUDADELA DEL PARQUE 2022</t>
  </si>
  <si>
    <t>30/6/2022</t>
  </si>
  <si>
    <t>CACTUS TORRE DOS 1101</t>
  </si>
  <si>
    <t>RESERVAS DE PRADO 327</t>
  </si>
  <si>
    <t>ALTOS DE MANANTIALES 1102</t>
  </si>
  <si>
    <t>CIUDADELA DEL PARQUE 2014</t>
  </si>
  <si>
    <t>CL 31 N° 43-43 SAN PIO 202</t>
  </si>
  <si>
    <t>29/6/2022</t>
  </si>
  <si>
    <t>VILLATERRA 1006</t>
  </si>
  <si>
    <t>CACTUS 905</t>
  </si>
  <si>
    <t>RESERVA DEL BOSQUE 1815</t>
  </si>
  <si>
    <t>RESERVA DE PRADO 9912</t>
  </si>
  <si>
    <t>RESERVA DE PRADO 1102</t>
  </si>
  <si>
    <t>14/7/2022</t>
  </si>
  <si>
    <t>15/7/2022</t>
  </si>
  <si>
    <t>16/7/2022</t>
  </si>
  <si>
    <t>18/7/2022</t>
  </si>
  <si>
    <t xml:space="preserve">COMPLEX DITAIRES 127 </t>
  </si>
  <si>
    <t>19/7/2022</t>
  </si>
  <si>
    <t>MONTEFLOR 1902</t>
  </si>
  <si>
    <t>FLORES DEL CAMPO 329</t>
  </si>
  <si>
    <t>21/7/0022</t>
  </si>
  <si>
    <t>VILLATERRA 1108</t>
  </si>
  <si>
    <t>21/7/2022</t>
  </si>
  <si>
    <t>SEBASTIAN LOPEZ JULIO 2022</t>
  </si>
  <si>
    <t>GUADUALES PARQUE RESIDENCIAL 1902</t>
  </si>
  <si>
    <t>ORION 804</t>
  </si>
  <si>
    <t>FLORES DEL CAMPO 1516</t>
  </si>
  <si>
    <t>CASA TOLEDO CL 75 AA SUR 57 -135</t>
  </si>
  <si>
    <t>ORION 2004</t>
  </si>
  <si>
    <t>CALLE 119 A N° 64 C 17</t>
  </si>
  <si>
    <t>FLORES DEL CAMPO 703</t>
  </si>
  <si>
    <t>PIE MONTI 317</t>
  </si>
  <si>
    <t>AQUAVENTO 207</t>
  </si>
  <si>
    <t>ORION 911</t>
  </si>
  <si>
    <t>13/7/2022</t>
  </si>
  <si>
    <t>CRA 67 N° 41 A SUR 82 AP 301</t>
  </si>
  <si>
    <t>SAN ANTONIO</t>
  </si>
  <si>
    <t>CRA 67 N° 41 A SUR 82 AP 101</t>
  </si>
  <si>
    <t>BAHIA GRANDE 231</t>
  </si>
  <si>
    <t>FLORES DEL CAMPO 606</t>
  </si>
  <si>
    <t>ALEJANDRO VILLEGAS JULIO 2022</t>
  </si>
  <si>
    <t>RESERVA DEL PRADO 9926</t>
  </si>
  <si>
    <t>AIRES DE SAN FRANCISCO 202</t>
  </si>
  <si>
    <t>FLORES Y COLORES ET 1 212</t>
  </si>
  <si>
    <t>CAPELLA 2003</t>
  </si>
  <si>
    <t>25/7/2022</t>
  </si>
  <si>
    <t xml:space="preserve">VILLA DEL BOSQUE </t>
  </si>
  <si>
    <t>MAXIMILIANO ARBOLEDA JULIO 2022</t>
  </si>
  <si>
    <t>FLORES DEL CAMPO 2032</t>
  </si>
  <si>
    <t>QUINTAS DE LA QUINTA CASA 125</t>
  </si>
  <si>
    <t>TOLEDO CASA CL 76 SUR N° 57 D 41 CASA 122</t>
  </si>
  <si>
    <t>CRA 56 B N° 83 D SUR 17</t>
  </si>
  <si>
    <t>VERDE VIVO ARIZA 411</t>
  </si>
  <si>
    <t>POLARIS 1313</t>
  </si>
  <si>
    <t>22/7/2022</t>
  </si>
  <si>
    <t>JUAN DAVID BUSTAMANTE JULIO 2022</t>
  </si>
  <si>
    <t>23/7/2022</t>
  </si>
  <si>
    <t>MONTEFLOR 2120</t>
  </si>
  <si>
    <t>RESERVA DEL PRADO 514</t>
  </si>
  <si>
    <t>29/06/2022</t>
  </si>
  <si>
    <t>GUAYACANES DEL SUR 2204</t>
  </si>
  <si>
    <t>CARRERA 51 A 44-22</t>
  </si>
  <si>
    <t xml:space="preserve">SAN PIO </t>
  </si>
  <si>
    <t>ZANETTI 2011</t>
  </si>
  <si>
    <t>GUAYACANES DEL SUR 1106</t>
  </si>
  <si>
    <t>CARRERA 64 A N° 29-17</t>
  </si>
  <si>
    <t>MONTEFLOR</t>
  </si>
  <si>
    <t>LA FINQUITA CALLE 29 AA 56 A 22</t>
  </si>
  <si>
    <t>LA FINQUITA</t>
  </si>
  <si>
    <t>CALLE 25 N° 79-298</t>
  </si>
  <si>
    <t>BELEN LA PALMA</t>
  </si>
  <si>
    <t>CALLE 52 B SUR N° 70-104</t>
  </si>
  <si>
    <t>CARRERA 65 A N°39 B 25 AP 201</t>
  </si>
  <si>
    <t>VILLA LIA</t>
  </si>
  <si>
    <t>CALLE 37 B N° 58-123</t>
  </si>
  <si>
    <t>PILSEN</t>
  </si>
  <si>
    <t>CARRERA 31 N° 37 SUR 61 AP 301</t>
  </si>
  <si>
    <t>MESA ENVIGADO</t>
  </si>
  <si>
    <t>CARRERA 31 N° 37 SUR 61 AP 201</t>
  </si>
  <si>
    <t>ANDRES RESTREPO JULIO 2022</t>
  </si>
  <si>
    <t>CRA 51 N° 83-20</t>
  </si>
  <si>
    <t>LUISA JULIO 2022</t>
  </si>
  <si>
    <t>GIRASOLES 503</t>
  </si>
  <si>
    <t>CALAZANS 503</t>
  </si>
  <si>
    <t>PORTADA JULIO 2022</t>
  </si>
  <si>
    <t>30/06/2022</t>
  </si>
  <si>
    <t>EDIFICIO EL PACIFICO 501</t>
  </si>
  <si>
    <t>RECIBIMIENTO</t>
  </si>
  <si>
    <t>JARDINES DE LA HACIENDA 510</t>
  </si>
  <si>
    <t xml:space="preserve">FLORES DEL CAMPO 510 </t>
  </si>
  <si>
    <t xml:space="preserve">CAPELLA 1109 </t>
  </si>
  <si>
    <t>SUBROGACION</t>
  </si>
  <si>
    <t xml:space="preserve">SENDERO VERDE 530 </t>
  </si>
  <si>
    <t>EL GUAYAVO</t>
  </si>
  <si>
    <t xml:space="preserve">COLINA VERDE 514 </t>
  </si>
  <si>
    <t>CIDADEDELA DEL PARQUE 2126</t>
  </si>
  <si>
    <t>PORTDA</t>
  </si>
  <si>
    <t>26/7/2022</t>
  </si>
  <si>
    <t>INFORME DE CAPTACION ZONA ITAGUI - LA ESTRELLA  – AGOSTO 2022</t>
  </si>
  <si>
    <t>EDISSON  AGOSTO 2022</t>
  </si>
  <si>
    <t>GUAYACANES DE PRADO 525</t>
  </si>
  <si>
    <t xml:space="preserve">PRADITO </t>
  </si>
  <si>
    <t>16/8/2022</t>
  </si>
  <si>
    <t>VILLA VERDE 931</t>
  </si>
  <si>
    <t>18/8/2022</t>
  </si>
  <si>
    <t>RESERVAS DE PRADO 119</t>
  </si>
  <si>
    <t>18/82022</t>
  </si>
  <si>
    <t>RESERVAS DE PRADO 512</t>
  </si>
  <si>
    <t>30/7/2022</t>
  </si>
  <si>
    <t>VILLATERRA 2206</t>
  </si>
  <si>
    <t>MIRADOR DE LA HACIENDA 618</t>
  </si>
  <si>
    <t>VILLA VERDE 506</t>
  </si>
  <si>
    <t>VILLA VERDE 1004</t>
  </si>
  <si>
    <t xml:space="preserve">VILLAVENTURA </t>
  </si>
  <si>
    <t xml:space="preserve">ENTREHOJAS 703 </t>
  </si>
  <si>
    <t xml:space="preserve">VERONICA MORALES </t>
  </si>
  <si>
    <t>ARLDYS</t>
  </si>
  <si>
    <t>NOGALES 2001</t>
  </si>
  <si>
    <t xml:space="preserve">LOMA DE LAS BRUJAS </t>
  </si>
  <si>
    <t>MIRADOR DE LA HACIENDA 611</t>
  </si>
  <si>
    <t xml:space="preserve">LUISA QUINTERO </t>
  </si>
  <si>
    <t>PORTADA P</t>
  </si>
  <si>
    <t>RESERVA DE PRADO 109</t>
  </si>
  <si>
    <t>HACIENDA SANTA INES 206</t>
  </si>
  <si>
    <t>17/8/2022</t>
  </si>
  <si>
    <t xml:space="preserve">VILLATERRA 2008 </t>
  </si>
  <si>
    <t>20/8/2022</t>
  </si>
  <si>
    <t>VILLA VERDE 2125</t>
  </si>
  <si>
    <t>VILLA LOMA 402</t>
  </si>
  <si>
    <t xml:space="preserve">22/8/2022 </t>
  </si>
  <si>
    <t>BOUNARO 602</t>
  </si>
  <si>
    <t>22/8/2022</t>
  </si>
  <si>
    <t>VILLA VERDE 1705</t>
  </si>
  <si>
    <t>23/8/2022</t>
  </si>
  <si>
    <t>RESERVAS DEL PRADO 104</t>
  </si>
  <si>
    <t>SEBASTIAN LOPEZ AGOSTO 2022</t>
  </si>
  <si>
    <t>FLORES DEL CAMPO 423</t>
  </si>
  <si>
    <t>28/7/2022</t>
  </si>
  <si>
    <t>CRA 49 N° 52-54</t>
  </si>
  <si>
    <t>FELICITY 701</t>
  </si>
  <si>
    <t>FELICITY</t>
  </si>
  <si>
    <t>ORION 1109</t>
  </si>
  <si>
    <t>QUINTAS DE SAUSALITO CASA 153</t>
  </si>
  <si>
    <t>CRA 68 N° 63-44</t>
  </si>
  <si>
    <t>FLORES DEL CAMPO 328</t>
  </si>
  <si>
    <t>4/82022</t>
  </si>
  <si>
    <t>FLORES DEL CAMPO 1413</t>
  </si>
  <si>
    <t>BAHIA GRANDE 2914</t>
  </si>
  <si>
    <t>FINCA EL ROBLE 102</t>
  </si>
  <si>
    <t>SALADO</t>
  </si>
  <si>
    <t>FINCA EL ROBLE 101</t>
  </si>
  <si>
    <t>CEIBAZUL 1101</t>
  </si>
  <si>
    <t>ORION</t>
  </si>
  <si>
    <t>ALEJANDRO VILLEGAS AGOSTO 2022</t>
  </si>
  <si>
    <t>FLORES DEL CAMPO 1123</t>
  </si>
  <si>
    <t>CIUDAELA DEL PRADO ET 2 -210</t>
  </si>
  <si>
    <t>ENTREBOSQUES 2514</t>
  </si>
  <si>
    <t>FLORES DEL CAMPO 318</t>
  </si>
  <si>
    <t>FRONTERAS DEL SUR 410</t>
  </si>
  <si>
    <t>PIEMONTI 0175</t>
  </si>
  <si>
    <t>PANORAMA AURAL 114</t>
  </si>
  <si>
    <t>PANORAMA AURAL 931</t>
  </si>
  <si>
    <t xml:space="preserve">CALLE 50 A N° 41 - 35 </t>
  </si>
  <si>
    <t xml:space="preserve">LAS MERCEDES </t>
  </si>
  <si>
    <t>CARRERA 46 N° 49-39</t>
  </si>
  <si>
    <t>PLAYA RICA</t>
  </si>
  <si>
    <t>EN EL LOCAL</t>
  </si>
  <si>
    <t>13/8/2022</t>
  </si>
  <si>
    <t>PANORAMA AURAL 705</t>
  </si>
  <si>
    <t>FRONTERA DEL SUR 1912</t>
  </si>
  <si>
    <t>19/8/2022</t>
  </si>
  <si>
    <t xml:space="preserve">FELICITY 312 </t>
  </si>
  <si>
    <t>25/8/2022</t>
  </si>
  <si>
    <t>LOCAL SAN ISIDRO CRA 50 # 39 - 6</t>
  </si>
  <si>
    <t>LOCAL SAN ISIDRO CRA. 50 A # 79 - 07</t>
  </si>
  <si>
    <t>ABEDULES 409</t>
  </si>
  <si>
    <t>MAXIMILIANO ARBOLEDA AGOSTO 2022</t>
  </si>
  <si>
    <t>PARCELACION ALTOS DE ESCOCIA</t>
  </si>
  <si>
    <t xml:space="preserve">BOREAL TUKANA </t>
  </si>
  <si>
    <t>27/7/2022</t>
  </si>
  <si>
    <t>CEIBAZUL 107</t>
  </si>
  <si>
    <t>APT</t>
  </si>
  <si>
    <t>CEIBAZUL 1205</t>
  </si>
  <si>
    <t>CAMINO DEL VIENTO 1515</t>
  </si>
  <si>
    <t>JUAN DAVID BUSTAMANTE AGOSTO 2022</t>
  </si>
  <si>
    <t>CARRERA 68 N° 63-44 AP 201</t>
  </si>
  <si>
    <t>CARRERA 68 N° 63-44 AP 301</t>
  </si>
  <si>
    <t>JARDINES DE LA HACIENDA 620</t>
  </si>
  <si>
    <t>VILLANOVA 2104</t>
  </si>
  <si>
    <t>EL PORVENIR</t>
  </si>
  <si>
    <t>SENDERO VERDE 329</t>
  </si>
  <si>
    <t>CALLE 28 A N° 56 B - 17 INT 301</t>
  </si>
  <si>
    <t>CALLE 29  AA N° 56 A - 22 INT 301</t>
  </si>
  <si>
    <t>ANDRES RESTREPO AGOSTO 2022</t>
  </si>
  <si>
    <t>VERONICA MORALES AGOSTO 2022</t>
  </si>
  <si>
    <t>19/08/2022</t>
  </si>
  <si>
    <t>C ASA</t>
  </si>
  <si>
    <t>PARCELACION BOSQUES DE TRAPICHE CASA 27</t>
  </si>
  <si>
    <t>MELEGUINDO</t>
  </si>
  <si>
    <t>PORTADA AGOSTO 2022</t>
  </si>
  <si>
    <t>PRIMITIVA PARQUE NATURAL 431 (VIRTUAL AURA)</t>
  </si>
  <si>
    <t>DERLY A REIZA</t>
  </si>
  <si>
    <t>VILLA VERDE 1031 EMPALME</t>
  </si>
  <si>
    <t xml:space="preserve">ENTRECOLINAS 416 </t>
  </si>
  <si>
    <t>24/8/2022</t>
  </si>
  <si>
    <t>CL 85 57 8 segundo piso</t>
  </si>
  <si>
    <t xml:space="preserve">TIKANA 1108 </t>
  </si>
  <si>
    <t>INFORME DE CAPTACION ZONA ITAGUI - LA ESTRELLA  – SEPTIEMBRE 2022</t>
  </si>
  <si>
    <t>EDISSON  SEPTIEMBRE 2022</t>
  </si>
  <si>
    <t>VILLA VERDE APTO 1830</t>
  </si>
  <si>
    <t>EDIFICIO MIXTO ALCÁZARES APTO 1206</t>
  </si>
  <si>
    <t>20/9/2022</t>
  </si>
  <si>
    <t>LAURELES DEL VALLE 305</t>
  </si>
  <si>
    <t>21/9/2022</t>
  </si>
  <si>
    <t>CALLE 54 SUR # 55 D - 25 CASA 101</t>
  </si>
  <si>
    <t>ARAGON</t>
  </si>
  <si>
    <t>26/8/2022</t>
  </si>
  <si>
    <t>29/8/2022</t>
  </si>
  <si>
    <t>RESERVAS DE PRADO ETAPA 1 APTO 312</t>
  </si>
  <si>
    <t>CONJUNTO RESIDENCIAL MI MUNDO APTO 1706</t>
  </si>
  <si>
    <t>13/9/2022</t>
  </si>
  <si>
    <t>14/9/2022</t>
  </si>
  <si>
    <t>16/9/2022</t>
  </si>
  <si>
    <t>19/9/2022</t>
  </si>
  <si>
    <t>PRIMITIVA 1936</t>
  </si>
  <si>
    <t>23/9/2022</t>
  </si>
  <si>
    <t>VILLATERRA 1201</t>
  </si>
  <si>
    <t>SEBASTIAN LOPEZ SEPTIEMBRE 2022</t>
  </si>
  <si>
    <t>CAPELLA 1908</t>
  </si>
  <si>
    <t>17/9/2022</t>
  </si>
  <si>
    <t xml:space="preserve">FLORES DEL CAMPO 918 </t>
  </si>
  <si>
    <t>ORION 1808</t>
  </si>
  <si>
    <t>30/8/2022</t>
  </si>
  <si>
    <t>GUADUALES 1517</t>
  </si>
  <si>
    <t xml:space="preserve">ORION 804 </t>
  </si>
  <si>
    <t>FLORES DEL CAMPO 1233</t>
  </si>
  <si>
    <t>ORION 201</t>
  </si>
  <si>
    <t>NATIVO 1504</t>
  </si>
  <si>
    <t>15/9/2022</t>
  </si>
  <si>
    <t xml:space="preserve">ESTRELLA DE MAR 701 </t>
  </si>
  <si>
    <t>CR 50A#51-73 APTO 201  EDIFICIO</t>
  </si>
  <si>
    <t>FLORES DEL CAMPO APTO 1832</t>
  </si>
  <si>
    <t>22/9/2022</t>
  </si>
  <si>
    <t>ALTOS DE SAN GRABRIEL 102</t>
  </si>
  <si>
    <t>CALLE 75 SUR # 54A-150 FIORI</t>
  </si>
  <si>
    <t>CAPELLA  1711</t>
  </si>
  <si>
    <t>ALEJANDRO VILLEGAS SEPTIEMBRE 2022</t>
  </si>
  <si>
    <t>RESERVA DEL PRADO 9914</t>
  </si>
  <si>
    <t>BOSQUES DE SAUCES APTO 1917</t>
  </si>
  <si>
    <t>25/9/2022</t>
  </si>
  <si>
    <t>RESERVA DEL PRADO 9919</t>
  </si>
  <si>
    <t>RESERVAS DEL PRADO 9914</t>
  </si>
  <si>
    <t>VILLA DEL BOSQUE 924</t>
  </si>
  <si>
    <t> FRONTERA DEL SUR APTO 819</t>
  </si>
  <si>
    <t>CIUDADELA VILLA DEL BOSQUE 1825</t>
  </si>
  <si>
    <t>PIEMONTI 631</t>
  </si>
  <si>
    <t>PIEMONTI 9901</t>
  </si>
  <si>
    <t>MAXIMILIANO ARBOLEDA SEPTIEMBRE 2022</t>
  </si>
  <si>
    <t>26/08/2022</t>
  </si>
  <si>
    <t>24/9/2022</t>
  </si>
  <si>
    <t xml:space="preserve">FELICITY 406 </t>
  </si>
  <si>
    <t>FINCA</t>
  </si>
  <si>
    <t>CARRERA 51 EL TRINCHO (AMAGÁ)</t>
  </si>
  <si>
    <t>AMAGA</t>
  </si>
  <si>
    <t>CEIBAZUL 1804</t>
  </si>
  <si>
    <t>ALDEA DEL SUR 804</t>
  </si>
  <si>
    <t>FELICITY 814</t>
  </si>
  <si>
    <t>CENTRAL PARK BUILDING APTO 1001</t>
  </si>
  <si>
    <t>FRONTERA DE SURAMERICA 502</t>
  </si>
  <si>
    <t>PORTERI</t>
  </si>
  <si>
    <t>AQUAVENTO 1407</t>
  </si>
  <si>
    <t>JUAN DAVID BUSTAMANTE SEPTIEMBRE 2022</t>
  </si>
  <si>
    <t>GUAYACANES DEL SUR 1502</t>
  </si>
  <si>
    <t>ANDRES RESTREPO SEPTIEMBRE 2022</t>
  </si>
  <si>
    <t>LISBOA 1101</t>
  </si>
  <si>
    <t>RESERVA DEL BOSQUE 306</t>
  </si>
  <si>
    <t>CR 70 32 01 SAN GABRIEL</t>
  </si>
  <si>
    <t>CR69A #48-18 CASA 201 PROP NO CONTESTA</t>
  </si>
  <si>
    <t>CALLE 77 #52B-12</t>
  </si>
  <si>
    <t>CALLE 77 #52B-14</t>
  </si>
  <si>
    <t>CALLE 42 48-19</t>
  </si>
  <si>
    <t>CR 51 SUR 78 A 25 ARBOLEDA DE SAN ANTONIO 401</t>
  </si>
  <si>
    <t>CALLE 56 SUR 68 A 16</t>
  </si>
  <si>
    <t>LUISA QUINTERO Y VERONICA SEPTIEMBRE 2022</t>
  </si>
  <si>
    <t>ORION 2007 LUISA</t>
  </si>
  <si>
    <t>FRUTOS VERDE 611 LUISA</t>
  </si>
  <si>
    <t>EL TRIANON</t>
  </si>
  <si>
    <t>13/9/202</t>
  </si>
  <si>
    <t>URBANIZACION ALBORADA 203 VERONICA MORALES</t>
  </si>
  <si>
    <t>SANTA MONICA</t>
  </si>
  <si>
    <t>NATIVO ARENA 915 VERONICA MORALES</t>
  </si>
  <si>
    <t>PORTADA SEPTIEMBRE 2022</t>
  </si>
  <si>
    <t>RECIBIMENTO</t>
  </si>
  <si>
    <t>FRUTOS VERDE 707</t>
  </si>
  <si>
    <t>CAPELLA 818</t>
  </si>
  <si>
    <t>CIUDADELA DEL VALLE 714</t>
  </si>
  <si>
    <t xml:space="preserve">CASA TOLEDO </t>
  </si>
  <si>
    <t>INFORME DE CAPTACION ZONA ITAGUI - LA ESTRELLA  – OCTUBRE 2022</t>
  </si>
  <si>
    <t>EDISSON  OCTUBRE 2022</t>
  </si>
  <si>
    <t>26/9/2022</t>
  </si>
  <si>
    <t xml:space="preserve">VILLA VERDE 805 </t>
  </si>
  <si>
    <t xml:space="preserve"> VENTAS</t>
  </si>
  <si>
    <t>29/9/2022</t>
  </si>
  <si>
    <t>RESERVA DE PRADO 9907</t>
  </si>
  <si>
    <t>PORTON DE LA HACIENDA 1019</t>
  </si>
  <si>
    <t>RESERVA DE PRADO ETAPA 3 APTO 9705</t>
  </si>
  <si>
    <t>CRA. 62A # 24 - 48 CASA 201</t>
  </si>
  <si>
    <t>15/10/2022</t>
  </si>
  <si>
    <t>RESERVA DE PRADO 408</t>
  </si>
  <si>
    <t>19/10/2022</t>
  </si>
  <si>
    <t>PIEMONTI 404</t>
  </si>
  <si>
    <t>20/10/2022</t>
  </si>
  <si>
    <t>VILLAVETURA</t>
  </si>
  <si>
    <t>VILLA VERDE 1205</t>
  </si>
  <si>
    <t>21/10/2022</t>
  </si>
  <si>
    <t>SENDERO VERDE 644</t>
  </si>
  <si>
    <t>22/10/2022</t>
  </si>
  <si>
    <t>24/10/2022</t>
  </si>
  <si>
    <t>VILLA VERDE 218</t>
  </si>
  <si>
    <t>SEBASTIAN LOPEZ OCTUBRE 2022</t>
  </si>
  <si>
    <t>27/9/2022</t>
  </si>
  <si>
    <t>CALLE76 SUR#57-39 57-40 TOLEDO CASA 40</t>
  </si>
  <si>
    <t>SAUCES DEL SUR 402</t>
  </si>
  <si>
    <t>PIEMONTI 9963</t>
  </si>
  <si>
    <t>FLORES DEL CAMPO 2007</t>
  </si>
  <si>
    <t>FLORES DEL CAMPO 2026</t>
  </si>
  <si>
    <t>CALLE 74 SUR#48-19 ISABELA</t>
  </si>
  <si>
    <t>30/9/2022</t>
  </si>
  <si>
    <t>CONDOMINIO CAMPESTRE SAN ISIDRO CASA 101</t>
  </si>
  <si>
    <t>CONDOMINIO CAMPESTRE SAN ISIDRO CASA 102</t>
  </si>
  <si>
    <t>FRONTERA DE SURAMERICA 1501</t>
  </si>
  <si>
    <t>FRONTERA DE SURAMERICA 2404</t>
  </si>
  <si>
    <t>PAMPLONA CASA 200</t>
  </si>
  <si>
    <t>ENTREHOJAS 2210</t>
  </si>
  <si>
    <t>FLORES DEL CAMPO 1615</t>
  </si>
  <si>
    <t>CACTUS 1803</t>
  </si>
  <si>
    <t xml:space="preserve">CAPELLA 619 </t>
  </si>
  <si>
    <t>ORION 712</t>
  </si>
  <si>
    <t>ALEJANDRO VILLEGAS OCTUBRE 2022</t>
  </si>
  <si>
    <t>PIEMONTI 9954</t>
  </si>
  <si>
    <t>PIEMONTI 112</t>
  </si>
  <si>
    <t xml:space="preserve">PIEMONTI 371 </t>
  </si>
  <si>
    <t>CLL83C SUR 55-67</t>
  </si>
  <si>
    <t>CAPELLA 305</t>
  </si>
  <si>
    <t>FRONTERA DE SUR 403</t>
  </si>
  <si>
    <t>VILLA DEL BOSQUE 1028</t>
  </si>
  <si>
    <t>MAXIMILIANO ARBOLEDA OCTUBRE 2022</t>
  </si>
  <si>
    <t>TIERRA FRESCA 87</t>
  </si>
  <si>
    <t>26-9/2022</t>
  </si>
  <si>
    <t>CALLE 87 SUR #63-48 SUEÑOS DE TAMPA</t>
  </si>
  <si>
    <t>28/9/2022</t>
  </si>
  <si>
    <t>HUNGRIA 1807</t>
  </si>
  <si>
    <t>PANORAMA AURAL 125</t>
  </si>
  <si>
    <t>MARIA AUXILIADORA SAB</t>
  </si>
  <si>
    <t>FINCA VIA AL CIELO 105 PIEDRAS BLANCAS</t>
  </si>
  <si>
    <t>PIEDRAS BLANCAS</t>
  </si>
  <si>
    <t>CALLE 51 SUR 48-57 MAYORCA</t>
  </si>
  <si>
    <t>MAYORCA</t>
  </si>
  <si>
    <t>VILLA CAMPESTRE CASA 193</t>
  </si>
  <si>
    <t>6/10//2022</t>
  </si>
  <si>
    <t>25/10/2022</t>
  </si>
  <si>
    <t>JUAN DAVID BUSTAMANTE OCTUBRE 2022</t>
  </si>
  <si>
    <t> PRADOS DE ALABANZA APTO 307</t>
  </si>
  <si>
    <t>14/10/2022</t>
  </si>
  <si>
    <t>GUAYACANES DEL SUR 403</t>
  </si>
  <si>
    <t>SURAMERICA PARK 815</t>
  </si>
  <si>
    <t>ANDRES RESTREPO OCTUBRE 2022</t>
  </si>
  <si>
    <t>CALLE 95 #52-59</t>
  </si>
  <si>
    <t>PANORAMA AURAL 201</t>
  </si>
  <si>
    <t>CIUDADELA VILLA DEL BOSQUE 713</t>
  </si>
  <si>
    <t>LOCAL CLINICA ANTIOQUIA</t>
  </si>
  <si>
    <t>MERCEDES</t>
  </si>
  <si>
    <t>NNO</t>
  </si>
  <si>
    <t>CASA SAN ANTONIO</t>
  </si>
  <si>
    <t>PORTADA OCTUBRE 2022</t>
  </si>
  <si>
    <t>CIUADELA DEL PARQUE 2423</t>
  </si>
  <si>
    <t>CR 46 43 35</t>
  </si>
  <si>
    <t>18/10/2022</t>
  </si>
  <si>
    <t>20/0/2022</t>
  </si>
  <si>
    <t>INFORME DE CAPTACION ZONA ITAGUI - LA ESTRELLA  – NOVIEMBRE 2022</t>
  </si>
  <si>
    <t>EDISSON  NOVIEMBRE 2022</t>
  </si>
  <si>
    <t>26/10/2022</t>
  </si>
  <si>
    <t>VILLA VERDE 328</t>
  </si>
  <si>
    <t>VILLA LOMA 422</t>
  </si>
  <si>
    <t>17/11/2022</t>
  </si>
  <si>
    <t>VILLATERRA 817</t>
  </si>
  <si>
    <t>27/10/2022</t>
  </si>
  <si>
    <t>RESERVAS DE PRADO APTO 213</t>
  </si>
  <si>
    <t>28/10/2022</t>
  </si>
  <si>
    <t>SAGRADO CORAZON DE JESUS 501</t>
  </si>
  <si>
    <t>EL PALMAR</t>
  </si>
  <si>
    <t>23/11/2022</t>
  </si>
  <si>
    <t>RESERVAS DEL PRADO 9903</t>
  </si>
  <si>
    <t>SEBASTIAN LOPEZ NOVIEMBRE 2022</t>
  </si>
  <si>
    <t>LOCAL CACTUS 178</t>
  </si>
  <si>
    <t>ORION 1104</t>
  </si>
  <si>
    <t>CR 48#100D SUR 250 LA SUIZA</t>
  </si>
  <si>
    <t xml:space="preserve">FLORES DEL CAMPO 1804 </t>
  </si>
  <si>
    <t>VIÑA DEL MAR 423</t>
  </si>
  <si>
    <t>ORION 1710</t>
  </si>
  <si>
    <t>FLORES DEL CAMPO 410</t>
  </si>
  <si>
    <t>ALEJANDRO VILLEGAS NOVIEMBRE 2022</t>
  </si>
  <si>
    <t>RESERVA DEL PRADO ET 3 9705</t>
  </si>
  <si>
    <t xml:space="preserve">GUADUALES 1703 </t>
  </si>
  <si>
    <t>VILLA DEL BOSQUE 2017</t>
  </si>
  <si>
    <t>PARQUES DE SANTA CATALINA 1337</t>
  </si>
  <si>
    <t>MANANTIALES DE SURAMERICA 403</t>
  </si>
  <si>
    <t>CIUDADELA VILLA DE BOSQUE 518</t>
  </si>
  <si>
    <t> RESERVA DEL PRADO ETAPA 3 APTO 526</t>
  </si>
  <si>
    <t>POLARIS 316</t>
  </si>
  <si>
    <t>MANDALA 903</t>
  </si>
  <si>
    <t>CONJUNTO RESIDENCIAL LA ESTANCIA CASA 102</t>
  </si>
  <si>
    <t>MOSQUERA BOGOTA</t>
  </si>
  <si>
    <t>12/112022</t>
  </si>
  <si>
    <t>CLL77A SUR #55-20 BAVARIA CASA 102</t>
  </si>
  <si>
    <t>15/11/2022</t>
  </si>
  <si>
    <t>VENTO 434</t>
  </si>
  <si>
    <t>LA FRONTERA</t>
  </si>
  <si>
    <t>PIEMONTI 552</t>
  </si>
  <si>
    <t>21/11/2022</t>
  </si>
  <si>
    <t>POLARIS 603</t>
  </si>
  <si>
    <t>22/11/2022</t>
  </si>
  <si>
    <t>MONTERIO 304</t>
  </si>
  <si>
    <t>25/11/2022</t>
  </si>
  <si>
    <t>FELICITY 1210</t>
  </si>
  <si>
    <t>CALLE 76 SUR 57-45 CASA EN TOLEDO</t>
  </si>
  <si>
    <t>FELICITY 812</t>
  </si>
  <si>
    <t>MAXIMILIANO ARBOLEDA NOVIEMBRE 2022</t>
  </si>
  <si>
    <t>FELICITY 112</t>
  </si>
  <si>
    <t>31/10/2022</t>
  </si>
  <si>
    <t>BALCONES DEL SUR 601</t>
  </si>
  <si>
    <t>ALTODE LAS FLORES</t>
  </si>
  <si>
    <t>18/11/2022</t>
  </si>
  <si>
    <t>AQUAVENTO 208</t>
  </si>
  <si>
    <t>CRA61 # 77 SUR 27 CENTRO COMERCIAL VENECIA</t>
  </si>
  <si>
    <t>JUAN DAVID BUSTAMANTE NOVIEMBRE 2022</t>
  </si>
  <si>
    <t>PARQUES DE SANTA CATALINA 1346</t>
  </si>
  <si>
    <t xml:space="preserve">PIEMONTI 476 </t>
  </si>
  <si>
    <t>CARRERA 68#63-44 APTO 201</t>
  </si>
  <si>
    <t>GUAYACANES DEL SUR APTO 1107</t>
  </si>
  <si>
    <t>CLL 83 B #57_111</t>
  </si>
  <si>
    <t>ANDRES RESTREPO NOVIEMBRE 2022</t>
  </si>
  <si>
    <t>CR 56A 31-22 MALL SURAMERICA</t>
  </si>
  <si>
    <t>CRA 66A 56-47 DITAIRES</t>
  </si>
  <si>
    <t>RESERVAS DEL PRADO 423</t>
  </si>
  <si>
    <t>PANORAMA AURAL 101</t>
  </si>
  <si>
    <t>CR 50 CALLE 140 SUR 77 APTO</t>
  </si>
  <si>
    <t>16/11/2022</t>
  </si>
  <si>
    <t>PALMAR DE SAN ANTONIO 1206</t>
  </si>
  <si>
    <t>VILLA LOMA</t>
  </si>
  <si>
    <t>24/11/2022</t>
  </si>
  <si>
    <t>EDIFICIO LOS ABUELOS 501</t>
  </si>
  <si>
    <t>LUISA QUINTERO Y VERONICA NOVIEMBRE 2022</t>
  </si>
  <si>
    <t>PORTADA NOVIEMBRE 2022</t>
  </si>
  <si>
    <t>LC 115 GM CENTRO COMERCIAL</t>
  </si>
  <si>
    <t>LOS NRANJOS</t>
  </si>
  <si>
    <t>PACIFICA 1802</t>
  </si>
  <si>
    <t>CR 63 C 27 65 </t>
  </si>
  <si>
    <t>SAN FRANCISCO BARIL</t>
  </si>
  <si>
    <t>CL 75 B SUR 56 51 VILLAS DE ALCANTARA</t>
  </si>
  <si>
    <t>15/12/2022</t>
  </si>
  <si>
    <t>INFORME DE CAPTACION ZONA ITAGUI - LA ESTRELLA  – DICIEMBRE 2022</t>
  </si>
  <si>
    <t>EDISSON  DICIEMBRE 2022</t>
  </si>
  <si>
    <t>26/11/2022</t>
  </si>
  <si>
    <t> RESERVAS DE PRADO ETAPA 3 APTO 119</t>
  </si>
  <si>
    <t>RESERVAS DE PRADO ETAPA 3 APTO 9906</t>
  </si>
  <si>
    <t>29/11/2022</t>
  </si>
  <si>
    <t>SENDERO VERDE 1511</t>
  </si>
  <si>
    <t>SEBASTIAN LOPEZ DICIEMBRE 2022</t>
  </si>
  <si>
    <t>JARDINES DE LA HACIENDA</t>
  </si>
  <si>
    <t>ALEJANDRO VILLEGAS DICIEMBRE 2022</t>
  </si>
  <si>
    <t>POLARIS 1104</t>
  </si>
  <si>
    <t>MAXIMILIANO ARBOLEDA DICIEMBRE 2022</t>
  </si>
  <si>
    <t>28/11/2022</t>
  </si>
  <si>
    <t>CARRERA 58 #25-19</t>
  </si>
  <si>
    <t>TRINIDAD</t>
  </si>
  <si>
    <t>ARBOLEDA DE LA ESTRELLA  1004</t>
  </si>
  <si>
    <t>MONTERIO</t>
  </si>
  <si>
    <t>JUAN DAVID BUSTAMANTE DICIEMBRE 2022</t>
  </si>
  <si>
    <t>ANDRES RESTREPO DICIEMBRE 2022</t>
  </si>
  <si>
    <t>VENTTO</t>
  </si>
  <si>
    <t>LUISA QUINTERO Y VERONICA DICIEMBRE 2022</t>
  </si>
  <si>
    <t>PORTADA DICIEMBRE 2022</t>
  </si>
  <si>
    <t xml:space="preserve">PAGO DE CELULAR MES DE NOVIEMBRE 2022- SEDE LA ESTRELLA </t>
  </si>
  <si>
    <t xml:space="preserve">NOMBRE </t>
  </si>
  <si>
    <t xml:space="preserve">MAXIMILIANO </t>
  </si>
  <si>
    <t>JUAN DAVID BUSTAMANTE</t>
  </si>
  <si>
    <t>ANDRES RESTREPO</t>
  </si>
  <si>
    <t>ALEJANDRO VILLEGAS</t>
  </si>
  <si>
    <t xml:space="preserve">INFORME JUNIO </t>
  </si>
  <si>
    <t xml:space="preserve">INFORME ZONA LA ESTRELLA JUNIO </t>
  </si>
  <si>
    <t xml:space="preserve">CANON </t>
  </si>
  <si>
    <t xml:space="preserve">ASESOR </t>
  </si>
  <si>
    <t xml:space="preserve">INFORME ZONA ITAGUI JUNIO </t>
  </si>
  <si>
    <t xml:space="preserve">INFORME JULIO </t>
  </si>
  <si>
    <t xml:space="preserve">INFORME ZONA LA ESTRELLA JULIO </t>
  </si>
  <si>
    <t xml:space="preserve">INFORME ZONA ITAGÜÍ JULIO </t>
  </si>
  <si>
    <t>LUIS LOPEZ</t>
  </si>
  <si>
    <t>JARDINES 1606</t>
  </si>
  <si>
    <t xml:space="preserve">INFORME AGOSTO </t>
  </si>
  <si>
    <t xml:space="preserve">INFORME ZONA LA ESTRELLA AGOSTO </t>
  </si>
  <si>
    <t xml:space="preserve">INFORME ZONA ITAGÜÍ AGOSTO </t>
  </si>
  <si>
    <t xml:space="preserve">KIWI 906 </t>
  </si>
  <si>
    <t>INFORME SEPTIEMBRE</t>
  </si>
  <si>
    <t xml:space="preserve">INFORME ZONA LA ESTRELLA SEPTIEMBRE </t>
  </si>
  <si>
    <t>INFORME ZONA ITAGÜÍ SEPTIEMBRE</t>
  </si>
  <si>
    <t>INFORME OCTUBRE</t>
  </si>
  <si>
    <t xml:space="preserve">INFORME ZONA LA ESTRELLA OCTUBRE </t>
  </si>
  <si>
    <t>INFORME ZONA ITAGÜÍ OCTUBRE</t>
  </si>
  <si>
    <t>COLOCACION</t>
  </si>
  <si>
    <t>ED</t>
  </si>
  <si>
    <t>SEBAS</t>
  </si>
  <si>
    <t>INFORME NOVIEMBRE</t>
  </si>
  <si>
    <t>INFORME ZONA LA ESTRELLA NOVIEMBRE</t>
  </si>
  <si>
    <t>INFORME ZONA ITAGÜÍ NOVIEMBRE</t>
  </si>
  <si>
    <t>INFORME DICIEMBRE</t>
  </si>
  <si>
    <t>INFORME ZONA LA ESTRELLA DICIEMBRE</t>
  </si>
  <si>
    <t>INFORME ZONA ITAGÜÍ DICIEMBRE</t>
  </si>
  <si>
    <t>PACIFICA 2611</t>
  </si>
  <si>
    <t>INFORME ENERO</t>
  </si>
  <si>
    <t>INFORME ZONA LA ESTRELLA ENERO</t>
  </si>
  <si>
    <t>INFORME ZONA ITAGÜÍ ENERO</t>
  </si>
  <si>
    <t>INFORME FEBRERO</t>
  </si>
  <si>
    <t>INFORME ZONA LA ESTRELLA FEBRERO</t>
  </si>
  <si>
    <t>INFORME ZONA ITAGÜÍ FEBRERO</t>
  </si>
  <si>
    <t>INFORME MARZO</t>
  </si>
  <si>
    <t>INFORME ZONA LA ESTRELLA MARZO</t>
  </si>
  <si>
    <t>INFORME ZONA ITAGÜÍ MARZO</t>
  </si>
  <si>
    <t>INFORME ABRIL</t>
  </si>
  <si>
    <t>INFORME ZONA LA ESTRELLA ABRIL</t>
  </si>
  <si>
    <t>INFORME ZONA ITAGÜÍ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</si>
</sst>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$&quot;#,##0"/>
    <numFmt numFmtId="165" formatCode="[$ $]#,##0"/>
    <numFmt numFmtId="166" formatCode="#,##0;\(#,##0\)"/>
    <numFmt numFmtId="167" formatCode="#,##0;[Red]#,##0"/>
    <numFmt numFmtId="168" formatCode="0.0%"/>
    <numFmt numFmtId="169" formatCode="&quot;$&quot;#,##0.00"/>
    <numFmt numFmtId="170" formatCode="_([$$-409]* #,##0_);_([$$-409]* \(#,##0\);_([$$-409]* &quot;-&quot;??_);_(@_)"/>
  </numFmts>
  <fonts count="9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rgb="FF000000"/>
      <name val="Calibri"/>
    </font>
    <font>
      <b/>
      <sz val="11"/>
      <color rgb="FF000000"/>
      <name val="Calibri"/>
    </font>
    <font>
      <b/>
      <sz val="42"/>
      <color rgb="FF000000"/>
      <name val="Calibri"/>
    </font>
    <font>
      <sz val="11"/>
      <color rgb="FF000000"/>
      <name val="Calibri"/>
    </font>
    <font>
      <b/>
      <sz val="11"/>
      <name val="Calibri"/>
    </font>
    <font>
      <sz val="11"/>
      <name val="Calibri"/>
    </font>
    <font>
      <b/>
      <sz val="10"/>
      <name val="Arial"/>
    </font>
    <font>
      <sz val="10"/>
      <name val="Arial"/>
    </font>
    <font>
      <b/>
      <sz val="14"/>
      <name val="Arial"/>
    </font>
    <font>
      <b/>
      <sz val="12"/>
      <name val="Arial"/>
    </font>
    <font>
      <b/>
      <sz val="14"/>
      <color rgb="FF000000"/>
      <name val="Calibri"/>
    </font>
    <font>
      <b/>
      <sz val="14"/>
      <color rgb="FFFF0000"/>
      <name val="Calibri"/>
    </font>
    <font>
      <sz val="10"/>
      <name val="Calibri"/>
    </font>
    <font>
      <b/>
      <sz val="10"/>
      <name val="Calibri"/>
    </font>
    <font>
      <sz val="10"/>
      <color rgb="FF000000"/>
      <name val="Calibri"/>
    </font>
    <font>
      <b/>
      <sz val="36"/>
      <color rgb="FF000000"/>
      <name val="Calibri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</font>
    <font>
      <sz val="18"/>
      <color rgb="FF000000"/>
      <name val="Calibri"/>
    </font>
    <font>
      <sz val="18"/>
      <name val="Calibri"/>
    </font>
    <font>
      <sz val="16"/>
      <color rgb="FF000000"/>
      <name val="Calibri"/>
    </font>
    <font>
      <b/>
      <sz val="16"/>
      <color rgb="FF000000"/>
      <name val="Calibri"/>
    </font>
    <font>
      <b/>
      <sz val="12"/>
      <color rgb="FF000000"/>
      <name val="Calibri"/>
    </font>
    <font>
      <b/>
      <sz val="20"/>
      <color theme="1"/>
      <name val="Arial"/>
    </font>
    <font>
      <b/>
      <sz val="11"/>
      <color rgb="FF000000"/>
      <name val="Arial"/>
    </font>
    <font>
      <b/>
      <sz val="12"/>
      <color rgb="FF000000"/>
      <name val="Arial"/>
    </font>
    <font>
      <b/>
      <sz val="12"/>
      <color theme="1"/>
      <name val="Arial"/>
    </font>
    <font>
      <b/>
      <sz val="12"/>
      <color rgb="FFFF0000"/>
      <name val="Arial"/>
    </font>
    <font>
      <sz val="12"/>
      <color theme="1"/>
      <name val="Arial"/>
    </font>
    <font>
      <b/>
      <sz val="8"/>
      <color theme="1"/>
      <name val="Arial"/>
    </font>
    <font>
      <sz val="12"/>
      <name val="Arial"/>
    </font>
    <font>
      <sz val="12"/>
      <color rgb="FF000000"/>
      <name val="Arial"/>
    </font>
    <font>
      <b/>
      <sz val="20"/>
      <color rgb="FF000000"/>
      <name val="Arial"/>
    </font>
    <font>
      <b/>
      <sz val="36"/>
      <color rgb="FF000000"/>
      <name val="Arial"/>
    </font>
    <font>
      <b/>
      <sz val="28"/>
      <color rgb="FF000000"/>
      <name val="Arial"/>
    </font>
    <font>
      <b/>
      <sz val="10"/>
      <color theme="1"/>
      <name val="Arial"/>
    </font>
    <font>
      <b/>
      <sz val="28"/>
      <color rgb="FF000000"/>
      <name val="Calibri"/>
    </font>
    <font>
      <sz val="18"/>
      <color theme="1"/>
      <name val="Calibri"/>
      <family val="2"/>
      <scheme val="minor"/>
    </font>
    <font>
      <b/>
      <sz val="12"/>
      <color rgb="FF201F1E"/>
      <name val="Arial"/>
    </font>
    <font>
      <sz val="12"/>
      <color rgb="FF201F1E"/>
      <name val="Arial"/>
    </font>
    <font>
      <sz val="12"/>
      <color rgb="FFFF0000"/>
      <name val="Arial"/>
    </font>
    <font>
      <b/>
      <sz val="18"/>
      <color rgb="FF000000"/>
      <name val="Calibri"/>
    </font>
    <font>
      <b/>
      <sz val="9"/>
      <color rgb="FF000000"/>
      <name val="Arial"/>
    </font>
    <font>
      <b/>
      <sz val="8"/>
      <name val="Arial"/>
    </font>
    <font>
      <b/>
      <sz val="11"/>
      <color rgb="FF000000"/>
      <name val="Calibri"/>
      <family val="2"/>
      <charset val="1"/>
    </font>
    <font>
      <sz val="12"/>
      <color rgb="FF444444"/>
      <name val="Arial"/>
    </font>
    <font>
      <b/>
      <sz val="14"/>
      <color rgb="FF000000"/>
      <name val="Arial"/>
    </font>
    <font>
      <b/>
      <sz val="20"/>
      <color rgb="FFFF0000"/>
      <name val="Arial"/>
    </font>
    <font>
      <b/>
      <sz val="12"/>
      <color rgb="FF000000"/>
      <name val="Arial"/>
      <charset val="1"/>
    </font>
    <font>
      <b/>
      <sz val="34"/>
      <color rgb="FF000000"/>
      <name val="Calibri"/>
    </font>
    <font>
      <b/>
      <sz val="14"/>
      <color theme="1"/>
      <name val="Arial"/>
    </font>
    <font>
      <b/>
      <sz val="10"/>
      <color rgb="FF000000"/>
      <name val="Arial"/>
    </font>
    <font>
      <b/>
      <sz val="11"/>
      <color rgb="FFFF0000"/>
      <name val="Calibri"/>
    </font>
    <font>
      <b/>
      <sz val="11"/>
      <color theme="1"/>
      <name val="Arial"/>
    </font>
    <font>
      <b/>
      <sz val="18"/>
      <color rgb="FFFF0000"/>
      <name val="Arial"/>
    </font>
    <font>
      <b/>
      <sz val="24"/>
      <color rgb="FFFF0000"/>
      <name val="Arial"/>
    </font>
    <font>
      <b/>
      <sz val="26"/>
      <color rgb="FFFF0000"/>
      <name val="Arial"/>
    </font>
    <font>
      <b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Arial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0000"/>
      <name val="Calibri"/>
    </font>
    <font>
      <sz val="11"/>
      <color theme="1"/>
      <name val="Arial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Arial"/>
    </font>
    <font>
      <b/>
      <sz val="16"/>
      <color rgb="FF000000"/>
      <name val="Arial"/>
    </font>
    <font>
      <b/>
      <sz val="16"/>
      <color theme="1"/>
      <name val="Arial"/>
    </font>
    <font>
      <sz val="14"/>
      <name val="Calibri"/>
    </font>
    <font>
      <b/>
      <sz val="15"/>
      <color theme="1"/>
      <name val="Calibri"/>
      <family val="2"/>
      <scheme val="minor"/>
    </font>
    <font>
      <b/>
      <sz val="11"/>
      <color rgb="FF000000"/>
      <name val="Calibri"/>
      <charset val="1"/>
    </font>
    <font>
      <sz val="16"/>
      <name val="Calibri"/>
    </font>
    <font>
      <sz val="16"/>
      <color theme="1"/>
      <name val="Calibri"/>
      <family val="2"/>
      <scheme val="minor"/>
    </font>
    <font>
      <sz val="14"/>
      <color theme="1"/>
      <name val="Arial"/>
    </font>
    <font>
      <strike/>
      <sz val="11"/>
      <color theme="1"/>
      <name val="Calibri"/>
      <family val="2"/>
      <scheme val="minor"/>
    </font>
    <font>
      <b/>
      <strike/>
      <sz val="14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z val="16"/>
      <name val="Arial"/>
    </font>
    <font>
      <b/>
      <sz val="12"/>
      <color rgb="FFFFFFFF"/>
      <name val="Arial"/>
    </font>
    <font>
      <b/>
      <sz val="11"/>
      <color rgb="FFFFFFFF"/>
      <name val="Calibri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Arial"/>
    </font>
    <font>
      <b/>
      <sz val="18"/>
      <color rgb="FF000000"/>
      <name val="Arial"/>
    </font>
    <font>
      <sz val="12"/>
      <color rgb="FF000000"/>
      <name val="Calibri"/>
      <charset val="1"/>
    </font>
    <font>
      <b/>
      <sz val="16"/>
      <color rgb="FF000000"/>
      <name val="Calibri"/>
      <family val="2"/>
      <scheme val="minor"/>
    </font>
    <font>
      <b/>
      <sz val="12"/>
      <color rgb="FF0D0D0D"/>
      <name val="Arial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Helvetica Neue"/>
      <charset val="1"/>
    </font>
    <font>
      <sz val="12"/>
      <color rgb="FF000000"/>
      <name val="Arial"/>
      <charset val="1"/>
    </font>
    <font>
      <b/>
      <sz val="14"/>
      <color rgb="FF00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D8E4BC"/>
        <bgColor rgb="FFD8E4BC"/>
      </patternFill>
    </fill>
    <fill>
      <patternFill patternType="solid">
        <fgColor rgb="FFFFFFFF"/>
        <bgColor indexed="64"/>
      </patternFill>
    </fill>
    <fill>
      <patternFill patternType="solid">
        <fgColor rgb="FFDDD9C4"/>
        <bgColor rgb="FFDDD9C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C6D9F1"/>
        <bgColor rgb="FFC6D9F1"/>
      </patternFill>
    </fill>
    <fill>
      <patternFill patternType="solid">
        <fgColor rgb="FFFFF2C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E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58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center"/>
    </xf>
    <xf numFmtId="0" fontId="7" fillId="5" borderId="4" xfId="0" applyFont="1" applyFill="1" applyBorder="1"/>
    <xf numFmtId="0" fontId="7" fillId="5" borderId="1" xfId="0" applyFont="1" applyFill="1" applyBorder="1" applyAlignment="1">
      <alignment horizontal="center"/>
    </xf>
    <xf numFmtId="165" fontId="7" fillId="5" borderId="2" xfId="0" applyNumberFormat="1" applyFont="1" applyFill="1" applyBorder="1"/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5" borderId="1" xfId="0" applyFont="1" applyFill="1" applyBorder="1"/>
    <xf numFmtId="0" fontId="5" fillId="5" borderId="0" xfId="0" applyFont="1" applyFill="1"/>
    <xf numFmtId="165" fontId="5" fillId="5" borderId="1" xfId="0" applyNumberFormat="1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4" xfId="0" applyFont="1" applyFill="1" applyBorder="1"/>
    <xf numFmtId="165" fontId="9" fillId="0" borderId="9" xfId="0" applyNumberFormat="1" applyFont="1" applyBorder="1"/>
    <xf numFmtId="166" fontId="9" fillId="0" borderId="9" xfId="0" applyNumberFormat="1" applyFont="1" applyBorder="1"/>
    <xf numFmtId="0" fontId="9" fillId="0" borderId="9" xfId="0" applyFont="1" applyBorder="1" applyAlignment="1">
      <alignment horizont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167" fontId="3" fillId="12" borderId="2" xfId="0" applyNumberFormat="1" applyFont="1" applyFill="1" applyBorder="1" applyAlignment="1">
      <alignment horizontal="center" vertical="center" wrapText="1"/>
    </xf>
    <xf numFmtId="167" fontId="3" fillId="12" borderId="2" xfId="0" applyNumberFormat="1" applyFont="1" applyFill="1" applyBorder="1" applyAlignment="1">
      <alignment horizontal="center" vertical="center"/>
    </xf>
    <xf numFmtId="0" fontId="0" fillId="5" borderId="1" xfId="0" applyFill="1" applyBorder="1"/>
    <xf numFmtId="9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/>
    <xf numFmtId="0" fontId="6" fillId="14" borderId="8" xfId="0" applyFont="1" applyFill="1" applyBorder="1" applyAlignment="1">
      <alignment horizontal="center" wrapText="1"/>
    </xf>
    <xf numFmtId="0" fontId="0" fillId="0" borderId="2" xfId="0" applyBorder="1"/>
    <xf numFmtId="0" fontId="0" fillId="5" borderId="0" xfId="0" applyFill="1"/>
    <xf numFmtId="0" fontId="6" fillId="5" borderId="5" xfId="0" applyFont="1" applyFill="1" applyBorder="1" applyAlignment="1">
      <alignment horizontal="center"/>
    </xf>
    <xf numFmtId="0" fontId="7" fillId="5" borderId="10" xfId="0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/>
    </xf>
    <xf numFmtId="165" fontId="5" fillId="5" borderId="0" xfId="0" applyNumberFormat="1" applyFont="1" applyFill="1"/>
    <xf numFmtId="0" fontId="3" fillId="4" borderId="6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7" fillId="5" borderId="1" xfId="0" applyFont="1" applyFill="1" applyBorder="1"/>
    <xf numFmtId="164" fontId="5" fillId="5" borderId="1" xfId="0" applyNumberFormat="1" applyFont="1" applyFill="1" applyBorder="1" applyAlignment="1">
      <alignment horizontal="right" vertical="center"/>
    </xf>
    <xf numFmtId="164" fontId="0" fillId="5" borderId="0" xfId="0" applyNumberFormat="1" applyFill="1"/>
    <xf numFmtId="0" fontId="3" fillId="12" borderId="8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 wrapText="1"/>
    </xf>
    <xf numFmtId="167" fontId="3" fillId="12" borderId="8" xfId="0" applyNumberFormat="1" applyFont="1" applyFill="1" applyBorder="1" applyAlignment="1">
      <alignment horizontal="center" vertical="center" wrapText="1"/>
    </xf>
    <xf numFmtId="167" fontId="3" fillId="12" borderId="8" xfId="0" applyNumberFormat="1" applyFont="1" applyFill="1" applyBorder="1" applyAlignment="1">
      <alignment horizontal="center" vertical="center"/>
    </xf>
    <xf numFmtId="167" fontId="3" fillId="12" borderId="1" xfId="0" applyNumberFormat="1" applyFont="1" applyFill="1" applyBorder="1" applyAlignment="1">
      <alignment horizontal="center" vertical="center"/>
    </xf>
    <xf numFmtId="167" fontId="3" fillId="12" borderId="10" xfId="0" applyNumberFormat="1" applyFont="1" applyFill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left"/>
    </xf>
    <xf numFmtId="14" fontId="16" fillId="15" borderId="1" xfId="0" applyNumberFormat="1" applyFont="1" applyFill="1" applyBorder="1" applyAlignment="1">
      <alignment horizontal="right"/>
    </xf>
    <xf numFmtId="0" fontId="6" fillId="14" borderId="8" xfId="0" applyFont="1" applyFill="1" applyBorder="1" applyAlignment="1">
      <alignment horizontal="left" wrapText="1"/>
    </xf>
    <xf numFmtId="0" fontId="16" fillId="5" borderId="1" xfId="0" applyFont="1" applyFill="1" applyBorder="1" applyAlignment="1">
      <alignment horizontal="left"/>
    </xf>
    <xf numFmtId="0" fontId="16" fillId="5" borderId="2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center" vertical="center"/>
    </xf>
    <xf numFmtId="0" fontId="5" fillId="5" borderId="6" xfId="0" applyFont="1" applyFill="1" applyBorder="1"/>
    <xf numFmtId="164" fontId="19" fillId="17" borderId="1" xfId="0" applyNumberFormat="1" applyFont="1" applyFill="1" applyBorder="1"/>
    <xf numFmtId="0" fontId="5" fillId="5" borderId="3" xfId="0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167" fontId="3" fillId="12" borderId="13" xfId="0" applyNumberFormat="1" applyFont="1" applyFill="1" applyBorder="1" applyAlignment="1">
      <alignment horizontal="center" vertical="center"/>
    </xf>
    <xf numFmtId="0" fontId="0" fillId="0" borderId="6" xfId="0" applyBorder="1"/>
    <xf numFmtId="167" fontId="3" fillId="5" borderId="8" xfId="0" applyNumberFormat="1" applyFont="1" applyFill="1" applyBorder="1" applyAlignment="1">
      <alignment horizontal="center" vertical="center"/>
    </xf>
    <xf numFmtId="0" fontId="9" fillId="8" borderId="4" xfId="0" applyFont="1" applyFill="1" applyBorder="1"/>
    <xf numFmtId="0" fontId="9" fillId="10" borderId="12" xfId="0" applyFont="1" applyFill="1" applyBorder="1"/>
    <xf numFmtId="0" fontId="9" fillId="11" borderId="12" xfId="0" applyFont="1" applyFill="1" applyBorder="1"/>
    <xf numFmtId="0" fontId="3" fillId="4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64" fontId="20" fillId="17" borderId="1" xfId="0" applyNumberFormat="1" applyFont="1" applyFill="1" applyBorder="1" applyAlignment="1">
      <alignment horizontal="right"/>
    </xf>
    <xf numFmtId="0" fontId="11" fillId="0" borderId="1" xfId="0" applyFont="1" applyBorder="1" applyAlignment="1">
      <alignment horizontal="center"/>
    </xf>
    <xf numFmtId="0" fontId="16" fillId="5" borderId="1" xfId="0" applyFont="1" applyFill="1" applyBorder="1" applyAlignment="1">
      <alignment horizontal="right"/>
    </xf>
    <xf numFmtId="164" fontId="21" fillId="5" borderId="1" xfId="0" applyNumberFormat="1" applyFont="1" applyFill="1" applyBorder="1" applyAlignment="1">
      <alignment vertical="center"/>
    </xf>
    <xf numFmtId="0" fontId="14" fillId="14" borderId="8" xfId="0" applyFont="1" applyFill="1" applyBorder="1" applyAlignment="1">
      <alignment horizontal="left" wrapText="1"/>
    </xf>
    <xf numFmtId="0" fontId="15" fillId="14" borderId="8" xfId="0" applyFont="1" applyFill="1" applyBorder="1" applyAlignment="1">
      <alignment horizontal="left" wrapText="1"/>
    </xf>
    <xf numFmtId="0" fontId="16" fillId="0" borderId="1" xfId="0" applyFont="1" applyBorder="1" applyAlignment="1">
      <alignment horizontal="left"/>
    </xf>
    <xf numFmtId="0" fontId="16" fillId="15" borderId="2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6" fillId="0" borderId="2" xfId="0" applyFont="1" applyBorder="1" applyAlignment="1">
      <alignment horizontal="left"/>
    </xf>
    <xf numFmtId="165" fontId="23" fillId="17" borderId="1" xfId="0" applyNumberFormat="1" applyFont="1" applyFill="1" applyBorder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165" fontId="22" fillId="17" borderId="1" xfId="0" applyNumberFormat="1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16" fillId="15" borderId="2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5" borderId="2" xfId="0" applyFont="1" applyFill="1" applyBorder="1" applyAlignment="1">
      <alignment horizontal="center"/>
    </xf>
    <xf numFmtId="169" fontId="16" fillId="15" borderId="1" xfId="0" applyNumberFormat="1" applyFont="1" applyFill="1" applyBorder="1" applyAlignment="1">
      <alignment horizontal="left"/>
    </xf>
    <xf numFmtId="0" fontId="18" fillId="17" borderId="0" xfId="0" applyFont="1" applyFill="1"/>
    <xf numFmtId="0" fontId="9" fillId="8" borderId="4" xfId="0" applyFont="1" applyFill="1" applyBorder="1" applyAlignment="1">
      <alignment horizontal="center"/>
    </xf>
    <xf numFmtId="3" fontId="9" fillId="9" borderId="1" xfId="0" applyNumberFormat="1" applyFont="1" applyFill="1" applyBorder="1" applyAlignment="1">
      <alignment horizontal="center"/>
    </xf>
    <xf numFmtId="0" fontId="9" fillId="10" borderId="7" xfId="0" applyFont="1" applyFill="1" applyBorder="1" applyAlignment="1">
      <alignment horizontal="center"/>
    </xf>
    <xf numFmtId="0" fontId="9" fillId="11" borderId="7" xfId="0" applyFont="1" applyFill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0" fontId="6" fillId="14" borderId="8" xfId="0" applyFont="1" applyFill="1" applyBorder="1" applyAlignment="1">
      <alignment horizontal="right" wrapText="1"/>
    </xf>
    <xf numFmtId="0" fontId="16" fillId="0" borderId="1" xfId="0" applyFont="1" applyBorder="1" applyAlignment="1">
      <alignment horizontal="right"/>
    </xf>
    <xf numFmtId="14" fontId="16" fillId="0" borderId="1" xfId="0" applyNumberFormat="1" applyFont="1" applyBorder="1" applyAlignment="1">
      <alignment horizontal="right"/>
    </xf>
    <xf numFmtId="0" fontId="16" fillId="15" borderId="1" xfId="0" applyFont="1" applyFill="1" applyBorder="1" applyAlignment="1">
      <alignment horizontal="right"/>
    </xf>
    <xf numFmtId="0" fontId="16" fillId="15" borderId="2" xfId="0" applyFont="1" applyFill="1" applyBorder="1" applyAlignment="1">
      <alignment horizontal="right"/>
    </xf>
    <xf numFmtId="14" fontId="16" fillId="15" borderId="2" xfId="0" applyNumberFormat="1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14" fontId="16" fillId="0" borderId="2" xfId="0" applyNumberFormat="1" applyFont="1" applyBorder="1" applyAlignment="1">
      <alignment horizontal="right"/>
    </xf>
    <xf numFmtId="14" fontId="16" fillId="5" borderId="2" xfId="0" applyNumberFormat="1" applyFont="1" applyFill="1" applyBorder="1" applyAlignment="1">
      <alignment horizontal="right"/>
    </xf>
    <xf numFmtId="14" fontId="16" fillId="0" borderId="1" xfId="0" applyNumberFormat="1" applyFont="1" applyBorder="1" applyAlignment="1">
      <alignment horizontal="right" vertical="top"/>
    </xf>
    <xf numFmtId="0" fontId="16" fillId="5" borderId="2" xfId="0" applyFont="1" applyFill="1" applyBorder="1" applyAlignment="1">
      <alignment horizontal="right"/>
    </xf>
    <xf numFmtId="169" fontId="6" fillId="14" borderId="8" xfId="0" applyNumberFormat="1" applyFont="1" applyFill="1" applyBorder="1" applyAlignment="1">
      <alignment horizontal="left" wrapText="1"/>
    </xf>
    <xf numFmtId="169" fontId="16" fillId="0" borderId="1" xfId="0" applyNumberFormat="1" applyFont="1" applyBorder="1" applyAlignment="1">
      <alignment horizontal="left"/>
    </xf>
    <xf numFmtId="169" fontId="16" fillId="15" borderId="2" xfId="0" applyNumberFormat="1" applyFont="1" applyFill="1" applyBorder="1" applyAlignment="1">
      <alignment horizontal="left"/>
    </xf>
    <xf numFmtId="169" fontId="0" fillId="0" borderId="2" xfId="0" applyNumberFormat="1" applyBorder="1" applyAlignment="1">
      <alignment horizontal="left"/>
    </xf>
    <xf numFmtId="169" fontId="0" fillId="0" borderId="1" xfId="0" applyNumberFormat="1" applyBorder="1" applyAlignment="1">
      <alignment horizontal="left"/>
    </xf>
    <xf numFmtId="169" fontId="0" fillId="0" borderId="0" xfId="0" applyNumberFormat="1" applyAlignment="1">
      <alignment horizontal="left"/>
    </xf>
    <xf numFmtId="169" fontId="16" fillId="5" borderId="1" xfId="0" applyNumberFormat="1" applyFont="1" applyFill="1" applyBorder="1" applyAlignment="1">
      <alignment horizontal="left"/>
    </xf>
    <xf numFmtId="169" fontId="16" fillId="0" borderId="2" xfId="0" applyNumberFormat="1" applyFont="1" applyBorder="1" applyAlignment="1">
      <alignment horizontal="left"/>
    </xf>
    <xf numFmtId="169" fontId="16" fillId="5" borderId="2" xfId="0" applyNumberFormat="1" applyFont="1" applyFill="1" applyBorder="1" applyAlignment="1">
      <alignment horizontal="left"/>
    </xf>
    <xf numFmtId="9" fontId="7" fillId="5" borderId="15" xfId="0" applyNumberFormat="1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164" fontId="5" fillId="5" borderId="10" xfId="0" applyNumberFormat="1" applyFont="1" applyFill="1" applyBorder="1" applyAlignment="1">
      <alignment horizontal="right" vertical="center"/>
    </xf>
    <xf numFmtId="165" fontId="7" fillId="5" borderId="10" xfId="0" applyNumberFormat="1" applyFont="1" applyFill="1" applyBorder="1"/>
    <xf numFmtId="0" fontId="3" fillId="4" borderId="13" xfId="0" applyFont="1" applyFill="1" applyBorder="1" applyAlignment="1">
      <alignment horizontal="center" vertical="center"/>
    </xf>
    <xf numFmtId="164" fontId="21" fillId="17" borderId="1" xfId="0" applyNumberFormat="1" applyFont="1" applyFill="1" applyBorder="1" applyAlignment="1">
      <alignment vertical="center"/>
    </xf>
    <xf numFmtId="164" fontId="0" fillId="0" borderId="0" xfId="0" applyNumberFormat="1"/>
    <xf numFmtId="0" fontId="3" fillId="12" borderId="1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/>
    </xf>
    <xf numFmtId="9" fontId="28" fillId="2" borderId="3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left" vertical="center"/>
    </xf>
    <xf numFmtId="0" fontId="29" fillId="2" borderId="1" xfId="0" applyFont="1" applyFill="1" applyBorder="1"/>
    <xf numFmtId="9" fontId="29" fillId="2" borderId="1" xfId="0" applyNumberFormat="1" applyFont="1" applyFill="1" applyBorder="1" applyAlignment="1">
      <alignment horizontal="center"/>
    </xf>
    <xf numFmtId="164" fontId="29" fillId="2" borderId="1" xfId="0" applyNumberFormat="1" applyFont="1" applyFill="1" applyBorder="1"/>
    <xf numFmtId="9" fontId="30" fillId="2" borderId="1" xfId="0" applyNumberFormat="1" applyFont="1" applyFill="1" applyBorder="1" applyAlignment="1">
      <alignment horizontal="center"/>
    </xf>
    <xf numFmtId="164" fontId="11" fillId="2" borderId="1" xfId="0" applyNumberFormat="1" applyFont="1" applyFill="1" applyBorder="1" applyAlignment="1">
      <alignment horizontal="right"/>
    </xf>
    <xf numFmtId="9" fontId="28" fillId="2" borderId="11" xfId="0" applyNumberFormat="1" applyFont="1" applyFill="1" applyBorder="1" applyAlignment="1">
      <alignment horizontal="center" vertical="center"/>
    </xf>
    <xf numFmtId="164" fontId="28" fillId="2" borderId="1" xfId="0" applyNumberFormat="1" applyFont="1" applyFill="1" applyBorder="1" applyAlignment="1">
      <alignment horizontal="right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left" vertical="center"/>
    </xf>
    <xf numFmtId="164" fontId="28" fillId="2" borderId="2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/>
    </xf>
    <xf numFmtId="9" fontId="11" fillId="2" borderId="1" xfId="0" applyNumberFormat="1" applyFont="1" applyFill="1" applyBorder="1" applyAlignment="1">
      <alignment horizontal="center"/>
    </xf>
    <xf numFmtId="0" fontId="11" fillId="2" borderId="1" xfId="0" applyFont="1" applyFill="1" applyBorder="1"/>
    <xf numFmtId="164" fontId="11" fillId="2" borderId="1" xfId="0" applyNumberFormat="1" applyFont="1" applyFill="1" applyBorder="1"/>
    <xf numFmtId="0" fontId="29" fillId="2" borderId="1" xfId="0" applyFont="1" applyFill="1" applyBorder="1" applyAlignment="1">
      <alignment horizontal="center" vertical="center" wrapText="1"/>
    </xf>
    <xf numFmtId="0" fontId="31" fillId="0" borderId="1" xfId="0" applyFont="1" applyBorder="1"/>
    <xf numFmtId="0" fontId="31" fillId="0" borderId="1" xfId="0" applyFont="1" applyBorder="1" applyAlignment="1">
      <alignment horizontal="center"/>
    </xf>
    <xf numFmtId="164" fontId="29" fillId="0" borderId="1" xfId="0" applyNumberFormat="1" applyFont="1" applyBorder="1"/>
    <xf numFmtId="0" fontId="32" fillId="2" borderId="1" xfId="0" applyFont="1" applyFill="1" applyBorder="1" applyAlignment="1">
      <alignment horizontal="center"/>
    </xf>
    <xf numFmtId="0" fontId="29" fillId="0" borderId="1" xfId="0" applyFont="1" applyBorder="1"/>
    <xf numFmtId="0" fontId="29" fillId="0" borderId="1" xfId="0" applyFont="1" applyBorder="1" applyAlignment="1">
      <alignment horizontal="center"/>
    </xf>
    <xf numFmtId="0" fontId="28" fillId="2" borderId="11" xfId="0" applyFont="1" applyFill="1" applyBorder="1" applyAlignment="1">
      <alignment horizontal="center" vertical="center"/>
    </xf>
    <xf numFmtId="9" fontId="31" fillId="5" borderId="1" xfId="0" applyNumberFormat="1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34" fillId="5" borderId="1" xfId="0" applyFont="1" applyFill="1" applyBorder="1" applyAlignment="1">
      <alignment horizontal="center" vertical="center"/>
    </xf>
    <xf numFmtId="9" fontId="29" fillId="5" borderId="1" xfId="0" applyNumberFormat="1" applyFont="1" applyFill="1" applyBorder="1" applyAlignment="1">
      <alignment horizontal="center"/>
    </xf>
    <xf numFmtId="0" fontId="28" fillId="5" borderId="1" xfId="0" applyFont="1" applyFill="1" applyBorder="1" applyAlignment="1">
      <alignment horizontal="center" vertical="center"/>
    </xf>
    <xf numFmtId="0" fontId="11" fillId="5" borderId="4" xfId="0" applyFont="1" applyFill="1" applyBorder="1"/>
    <xf numFmtId="0" fontId="29" fillId="5" borderId="1" xfId="0" applyFont="1" applyFill="1" applyBorder="1"/>
    <xf numFmtId="168" fontId="29" fillId="2" borderId="1" xfId="0" applyNumberFormat="1" applyFont="1" applyFill="1" applyBorder="1" applyAlignment="1">
      <alignment horizontal="center"/>
    </xf>
    <xf numFmtId="168" fontId="29" fillId="2" borderId="3" xfId="0" applyNumberFormat="1" applyFont="1" applyFill="1" applyBorder="1" applyAlignment="1">
      <alignment horizontal="center"/>
    </xf>
    <xf numFmtId="0" fontId="29" fillId="2" borderId="4" xfId="0" applyFont="1" applyFill="1" applyBorder="1" applyAlignment="1">
      <alignment horizontal="center" vertical="center" wrapText="1"/>
    </xf>
    <xf numFmtId="164" fontId="29" fillId="25" borderId="1" xfId="0" applyNumberFormat="1" applyFont="1" applyFill="1" applyBorder="1"/>
    <xf numFmtId="0" fontId="31" fillId="25" borderId="1" xfId="0" applyFont="1" applyFill="1" applyBorder="1" applyAlignment="1">
      <alignment horizontal="center"/>
    </xf>
    <xf numFmtId="0" fontId="29" fillId="0" borderId="0" xfId="0" applyFont="1"/>
    <xf numFmtId="164" fontId="29" fillId="5" borderId="0" xfId="0" applyNumberFormat="1" applyFont="1" applyFill="1"/>
    <xf numFmtId="0" fontId="29" fillId="5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0" fontId="29" fillId="5" borderId="1" xfId="0" applyFont="1" applyFill="1" applyBorder="1" applyAlignment="1">
      <alignment horizontal="center"/>
    </xf>
    <xf numFmtId="164" fontId="29" fillId="17" borderId="1" xfId="0" applyNumberFormat="1" applyFont="1" applyFill="1" applyBorder="1"/>
    <xf numFmtId="0" fontId="29" fillId="19" borderId="2" xfId="0" applyFont="1" applyFill="1" applyBorder="1"/>
    <xf numFmtId="164" fontId="29" fillId="2" borderId="2" xfId="0" applyNumberFormat="1" applyFont="1" applyFill="1" applyBorder="1"/>
    <xf numFmtId="0" fontId="28" fillId="2" borderId="2" xfId="0" applyFont="1" applyFill="1" applyBorder="1" applyAlignment="1">
      <alignment horizontal="center" vertical="center"/>
    </xf>
    <xf numFmtId="0" fontId="29" fillId="2" borderId="2" xfId="0" applyFont="1" applyFill="1" applyBorder="1"/>
    <xf numFmtId="0" fontId="29" fillId="5" borderId="2" xfId="0" applyFont="1" applyFill="1" applyBorder="1"/>
    <xf numFmtId="164" fontId="29" fillId="19" borderId="1" xfId="0" applyNumberFormat="1" applyFont="1" applyFill="1" applyBorder="1"/>
    <xf numFmtId="9" fontId="29" fillId="5" borderId="4" xfId="0" applyNumberFormat="1" applyFont="1" applyFill="1" applyBorder="1" applyAlignment="1">
      <alignment horizontal="center"/>
    </xf>
    <xf numFmtId="0" fontId="29" fillId="19" borderId="1" xfId="0" applyFont="1" applyFill="1" applyBorder="1"/>
    <xf numFmtId="0" fontId="31" fillId="5" borderId="4" xfId="0" applyFont="1" applyFill="1" applyBorder="1" applyAlignment="1">
      <alignment horizontal="center"/>
    </xf>
    <xf numFmtId="0" fontId="29" fillId="19" borderId="10" xfId="0" applyFont="1" applyFill="1" applyBorder="1" applyAlignment="1">
      <alignment horizontal="center"/>
    </xf>
    <xf numFmtId="0" fontId="29" fillId="19" borderId="4" xfId="0" applyFont="1" applyFill="1" applyBorder="1" applyAlignment="1">
      <alignment horizontal="center"/>
    </xf>
    <xf numFmtId="9" fontId="28" fillId="2" borderId="3" xfId="0" applyNumberFormat="1" applyFont="1" applyFill="1" applyBorder="1" applyAlignment="1">
      <alignment horizontal="center"/>
    </xf>
    <xf numFmtId="9" fontId="29" fillId="2" borderId="4" xfId="0" applyNumberFormat="1" applyFont="1" applyFill="1" applyBorder="1" applyAlignment="1">
      <alignment horizontal="center"/>
    </xf>
    <xf numFmtId="167" fontId="28" fillId="2" borderId="1" xfId="0" applyNumberFormat="1" applyFont="1" applyFill="1" applyBorder="1" applyAlignment="1">
      <alignment horizontal="center" vertical="center"/>
    </xf>
    <xf numFmtId="9" fontId="29" fillId="2" borderId="0" xfId="0" applyNumberFormat="1" applyFont="1" applyFill="1" applyAlignment="1">
      <alignment horizontal="center"/>
    </xf>
    <xf numFmtId="164" fontId="29" fillId="25" borderId="1" xfId="0" applyNumberFormat="1" applyFont="1" applyFill="1" applyBorder="1" applyAlignment="1">
      <alignment horizontal="center"/>
    </xf>
    <xf numFmtId="0" fontId="31" fillId="25" borderId="4" xfId="0" applyFont="1" applyFill="1" applyBorder="1" applyAlignment="1">
      <alignment horizontal="center"/>
    </xf>
    <xf numFmtId="167" fontId="28" fillId="2" borderId="2" xfId="0" applyNumberFormat="1" applyFont="1" applyFill="1" applyBorder="1" applyAlignment="1">
      <alignment horizontal="center" vertical="center"/>
    </xf>
    <xf numFmtId="164" fontId="28" fillId="2" borderId="10" xfId="0" applyNumberFormat="1" applyFont="1" applyFill="1" applyBorder="1" applyAlignment="1">
      <alignment horizontal="right" vertical="center"/>
    </xf>
    <xf numFmtId="164" fontId="11" fillId="2" borderId="4" xfId="0" applyNumberFormat="1" applyFont="1" applyFill="1" applyBorder="1" applyAlignment="1">
      <alignment horizontal="right"/>
    </xf>
    <xf numFmtId="164" fontId="40" fillId="17" borderId="1" xfId="0" applyNumberFormat="1" applyFont="1" applyFill="1" applyBorder="1"/>
    <xf numFmtId="10" fontId="29" fillId="2" borderId="4" xfId="0" applyNumberFormat="1" applyFont="1" applyFill="1" applyBorder="1" applyAlignment="1">
      <alignment horizontal="center"/>
    </xf>
    <xf numFmtId="167" fontId="28" fillId="2" borderId="1" xfId="0" applyNumberFormat="1" applyFont="1" applyFill="1" applyBorder="1" applyAlignment="1">
      <alignment horizontal="right"/>
    </xf>
    <xf numFmtId="0" fontId="29" fillId="2" borderId="2" xfId="0" applyFont="1" applyFill="1" applyBorder="1" applyAlignment="1">
      <alignment horizontal="center"/>
    </xf>
    <xf numFmtId="167" fontId="29" fillId="2" borderId="2" xfId="0" applyNumberFormat="1" applyFont="1" applyFill="1" applyBorder="1"/>
    <xf numFmtId="10" fontId="29" fillId="25" borderId="1" xfId="0" applyNumberFormat="1" applyFont="1" applyFill="1" applyBorder="1" applyAlignment="1">
      <alignment horizontal="center"/>
    </xf>
    <xf numFmtId="164" fontId="11" fillId="25" borderId="1" xfId="0" applyNumberFormat="1" applyFont="1" applyFill="1" applyBorder="1" applyAlignment="1">
      <alignment horizontal="right"/>
    </xf>
    <xf numFmtId="10" fontId="29" fillId="2" borderId="10" xfId="0" applyNumberFormat="1" applyFont="1" applyFill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11" fillId="0" borderId="1" xfId="0" applyFont="1" applyBorder="1"/>
    <xf numFmtId="0" fontId="41" fillId="2" borderId="1" xfId="0" applyFont="1" applyFill="1" applyBorder="1" applyAlignment="1">
      <alignment horizontal="center" wrapText="1"/>
    </xf>
    <xf numFmtId="9" fontId="28" fillId="2" borderId="5" xfId="0" applyNumberFormat="1" applyFont="1" applyFill="1" applyBorder="1" applyAlignment="1">
      <alignment horizontal="center" vertical="center"/>
    </xf>
    <xf numFmtId="0" fontId="28" fillId="7" borderId="6" xfId="0" applyFont="1" applyFill="1" applyBorder="1" applyAlignment="1">
      <alignment horizontal="center" vertical="center"/>
    </xf>
    <xf numFmtId="9" fontId="28" fillId="7" borderId="6" xfId="0" applyNumberFormat="1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9" fontId="28" fillId="7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33" fillId="5" borderId="1" xfId="0" applyFont="1" applyFill="1" applyBorder="1"/>
    <xf numFmtId="0" fontId="33" fillId="5" borderId="1" xfId="0" applyFont="1" applyFill="1" applyBorder="1" applyAlignment="1">
      <alignment horizontal="center"/>
    </xf>
    <xf numFmtId="0" fontId="28" fillId="2" borderId="11" xfId="0" applyFont="1" applyFill="1" applyBorder="1" applyAlignment="1">
      <alignment horizontal="left" vertical="center"/>
    </xf>
    <xf numFmtId="0" fontId="28" fillId="2" borderId="0" xfId="0" applyFont="1" applyFill="1" applyAlignment="1">
      <alignment wrapText="1"/>
    </xf>
    <xf numFmtId="0" fontId="28" fillId="7" borderId="11" xfId="0" applyFont="1" applyFill="1" applyBorder="1" applyAlignment="1">
      <alignment horizontal="left" vertical="center"/>
    </xf>
    <xf numFmtId="0" fontId="29" fillId="7" borderId="1" xfId="0" applyFont="1" applyFill="1" applyBorder="1" applyAlignment="1">
      <alignment horizontal="center"/>
    </xf>
    <xf numFmtId="9" fontId="29" fillId="7" borderId="1" xfId="0" applyNumberFormat="1" applyFont="1" applyFill="1" applyBorder="1" applyAlignment="1">
      <alignment horizontal="center"/>
    </xf>
    <xf numFmtId="164" fontId="29" fillId="7" borderId="1" xfId="0" applyNumberFormat="1" applyFont="1" applyFill="1" applyBorder="1"/>
    <xf numFmtId="0" fontId="11" fillId="7" borderId="1" xfId="0" applyFont="1" applyFill="1" applyBorder="1"/>
    <xf numFmtId="0" fontId="11" fillId="5" borderId="1" xfId="0" applyFont="1" applyFill="1" applyBorder="1"/>
    <xf numFmtId="167" fontId="28" fillId="2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/>
    <xf numFmtId="0" fontId="28" fillId="7" borderId="6" xfId="0" applyFont="1" applyFill="1" applyBorder="1" applyAlignment="1">
      <alignment horizontal="left" vertical="center"/>
    </xf>
    <xf numFmtId="0" fontId="29" fillId="7" borderId="6" xfId="0" applyFont="1" applyFill="1" applyBorder="1" applyAlignment="1">
      <alignment horizontal="center"/>
    </xf>
    <xf numFmtId="164" fontId="28" fillId="7" borderId="6" xfId="0" applyNumberFormat="1" applyFont="1" applyFill="1" applyBorder="1" applyAlignment="1">
      <alignment horizontal="right" vertical="center"/>
    </xf>
    <xf numFmtId="9" fontId="29" fillId="7" borderId="6" xfId="0" applyNumberFormat="1" applyFont="1" applyFill="1" applyBorder="1" applyAlignment="1">
      <alignment horizontal="center"/>
    </xf>
    <xf numFmtId="164" fontId="29" fillId="7" borderId="6" xfId="0" applyNumberFormat="1" applyFont="1" applyFill="1" applyBorder="1"/>
    <xf numFmtId="9" fontId="28" fillId="2" borderId="1" xfId="0" applyNumberFormat="1" applyFont="1" applyFill="1" applyBorder="1" applyAlignment="1">
      <alignment horizontal="center" vertical="center"/>
    </xf>
    <xf numFmtId="9" fontId="28" fillId="2" borderId="2" xfId="0" applyNumberFormat="1" applyFont="1" applyFill="1" applyBorder="1" applyAlignment="1">
      <alignment horizontal="center" vertical="center"/>
    </xf>
    <xf numFmtId="9" fontId="28" fillId="2" borderId="1" xfId="0" applyNumberFormat="1" applyFont="1" applyFill="1" applyBorder="1" applyAlignment="1">
      <alignment horizontal="center" vertical="center" wrapText="1"/>
    </xf>
    <xf numFmtId="9" fontId="30" fillId="2" borderId="1" xfId="0" applyNumberFormat="1" applyFont="1" applyFill="1" applyBorder="1" applyAlignment="1">
      <alignment horizontal="center" vertical="center"/>
    </xf>
    <xf numFmtId="0" fontId="28" fillId="5" borderId="6" xfId="0" applyFont="1" applyFill="1" applyBorder="1" applyAlignment="1">
      <alignment horizontal="center" vertical="center"/>
    </xf>
    <xf numFmtId="9" fontId="28" fillId="2" borderId="6" xfId="0" applyNumberFormat="1" applyFont="1" applyFill="1" applyBorder="1" applyAlignment="1">
      <alignment horizontal="center" vertical="center"/>
    </xf>
    <xf numFmtId="164" fontId="28" fillId="2" borderId="5" xfId="0" applyNumberFormat="1" applyFont="1" applyFill="1" applyBorder="1" applyAlignment="1">
      <alignment horizontal="right" vertical="center"/>
    </xf>
    <xf numFmtId="0" fontId="28" fillId="2" borderId="9" xfId="0" applyFont="1" applyFill="1" applyBorder="1" applyAlignment="1">
      <alignment horizontal="center" vertical="center"/>
    </xf>
    <xf numFmtId="0" fontId="28" fillId="2" borderId="9" xfId="0" applyFont="1" applyFill="1" applyBorder="1" applyAlignment="1">
      <alignment horizontal="left" vertical="center"/>
    </xf>
    <xf numFmtId="9" fontId="28" fillId="2" borderId="9" xfId="0" applyNumberFormat="1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left" vertical="center"/>
    </xf>
    <xf numFmtId="0" fontId="29" fillId="2" borderId="6" xfId="0" applyFont="1" applyFill="1" applyBorder="1"/>
    <xf numFmtId="0" fontId="29" fillId="2" borderId="6" xfId="0" applyFont="1" applyFill="1" applyBorder="1" applyAlignment="1">
      <alignment horizontal="center"/>
    </xf>
    <xf numFmtId="0" fontId="25" fillId="12" borderId="6" xfId="0" applyFont="1" applyFill="1" applyBorder="1" applyAlignment="1">
      <alignment horizontal="center" vertical="center" wrapText="1"/>
    </xf>
    <xf numFmtId="0" fontId="25" fillId="12" borderId="8" xfId="0" applyFont="1" applyFill="1" applyBorder="1" applyAlignment="1">
      <alignment horizontal="center" vertical="center"/>
    </xf>
    <xf numFmtId="0" fontId="25" fillId="12" borderId="8" xfId="0" applyFont="1" applyFill="1" applyBorder="1" applyAlignment="1">
      <alignment horizontal="center" vertical="center" wrapText="1"/>
    </xf>
    <xf numFmtId="167" fontId="25" fillId="12" borderId="8" xfId="0" applyNumberFormat="1" applyFont="1" applyFill="1" applyBorder="1" applyAlignment="1">
      <alignment horizontal="center" vertical="center" wrapText="1"/>
    </xf>
    <xf numFmtId="167" fontId="25" fillId="12" borderId="13" xfId="0" applyNumberFormat="1" applyFont="1" applyFill="1" applyBorder="1" applyAlignment="1">
      <alignment horizontal="center" vertical="center" wrapText="1"/>
    </xf>
    <xf numFmtId="167" fontId="25" fillId="12" borderId="1" xfId="0" applyNumberFormat="1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/>
    </xf>
    <xf numFmtId="167" fontId="3" fillId="12" borderId="6" xfId="0" applyNumberFormat="1" applyFont="1" applyFill="1" applyBorder="1" applyAlignment="1">
      <alignment horizontal="center" vertical="center" wrapText="1"/>
    </xf>
    <xf numFmtId="167" fontId="3" fillId="12" borderId="6" xfId="0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9" fontId="28" fillId="2" borderId="8" xfId="0" applyNumberFormat="1" applyFont="1" applyFill="1" applyBorder="1" applyAlignment="1">
      <alignment horizontal="center" vertical="center"/>
    </xf>
    <xf numFmtId="0" fontId="28" fillId="2" borderId="1" xfId="0" applyFont="1" applyFill="1" applyBorder="1"/>
    <xf numFmtId="9" fontId="28" fillId="5" borderId="1" xfId="0" applyNumberFormat="1" applyFont="1" applyFill="1" applyBorder="1" applyAlignment="1">
      <alignment horizontal="center" vertical="center"/>
    </xf>
    <xf numFmtId="164" fontId="28" fillId="5" borderId="1" xfId="0" applyNumberFormat="1" applyFont="1" applyFill="1" applyBorder="1" applyAlignment="1">
      <alignment horizontal="right" vertical="center"/>
    </xf>
    <xf numFmtId="0" fontId="28" fillId="5" borderId="1" xfId="0" applyFont="1" applyFill="1" applyBorder="1" applyAlignment="1">
      <alignment horizontal="left" vertical="center"/>
    </xf>
    <xf numFmtId="0" fontId="28" fillId="5" borderId="3" xfId="0" applyFont="1" applyFill="1" applyBorder="1" applyAlignment="1">
      <alignment horizontal="center" vertical="center"/>
    </xf>
    <xf numFmtId="164" fontId="28" fillId="5" borderId="5" xfId="0" applyNumberFormat="1" applyFont="1" applyFill="1" applyBorder="1" applyAlignment="1">
      <alignment horizontal="right" vertical="center"/>
    </xf>
    <xf numFmtId="164" fontId="11" fillId="5" borderId="1" xfId="0" applyNumberFormat="1" applyFont="1" applyFill="1" applyBorder="1" applyAlignment="1">
      <alignment horizontal="right"/>
    </xf>
    <xf numFmtId="0" fontId="28" fillId="5" borderId="1" xfId="0" applyFont="1" applyFill="1" applyBorder="1"/>
    <xf numFmtId="9" fontId="28" fillId="7" borderId="1" xfId="0" applyNumberFormat="1" applyFont="1" applyFill="1" applyBorder="1" applyAlignment="1">
      <alignment horizontal="center" vertical="center" wrapText="1"/>
    </xf>
    <xf numFmtId="164" fontId="28" fillId="7" borderId="1" xfId="0" applyNumberFormat="1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left" vertical="center"/>
    </xf>
    <xf numFmtId="0" fontId="28" fillId="5" borderId="4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8" fillId="5" borderId="11" xfId="0" applyFont="1" applyFill="1" applyBorder="1" applyAlignment="1">
      <alignment horizontal="center" vertical="center"/>
    </xf>
    <xf numFmtId="165" fontId="33" fillId="5" borderId="1" xfId="0" applyNumberFormat="1" applyFont="1" applyFill="1" applyBorder="1" applyAlignment="1">
      <alignment horizontal="center"/>
    </xf>
    <xf numFmtId="0" fontId="34" fillId="5" borderId="1" xfId="0" applyFont="1" applyFill="1" applyBorder="1"/>
    <xf numFmtId="0" fontId="28" fillId="7" borderId="1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left" vertical="center"/>
    </xf>
    <xf numFmtId="164" fontId="28" fillId="2" borderId="1" xfId="0" applyNumberFormat="1" applyFont="1" applyFill="1" applyBorder="1" applyAlignment="1">
      <alignment horizontal="center" vertical="center"/>
    </xf>
    <xf numFmtId="9" fontId="11" fillId="5" borderId="1" xfId="0" applyNumberFormat="1" applyFont="1" applyFill="1" applyBorder="1" applyAlignment="1">
      <alignment horizontal="center"/>
    </xf>
    <xf numFmtId="9" fontId="11" fillId="5" borderId="3" xfId="0" applyNumberFormat="1" applyFont="1" applyFill="1" applyBorder="1" applyAlignment="1">
      <alignment horizontal="center"/>
    </xf>
    <xf numFmtId="165" fontId="11" fillId="5" borderId="1" xfId="0" applyNumberFormat="1" applyFont="1" applyFill="1" applyBorder="1" applyAlignment="1">
      <alignment horizontal="center"/>
    </xf>
    <xf numFmtId="165" fontId="11" fillId="5" borderId="1" xfId="0" applyNumberFormat="1" applyFont="1" applyFill="1" applyBorder="1"/>
    <xf numFmtId="165" fontId="28" fillId="5" borderId="1" xfId="0" applyNumberFormat="1" applyFont="1" applyFill="1" applyBorder="1"/>
    <xf numFmtId="0" fontId="27" fillId="7" borderId="1" xfId="0" applyFont="1" applyFill="1" applyBorder="1" applyAlignment="1">
      <alignment horizontal="left" vertical="center"/>
    </xf>
    <xf numFmtId="9" fontId="11" fillId="7" borderId="1" xfId="0" applyNumberFormat="1" applyFont="1" applyFill="1" applyBorder="1" applyAlignment="1">
      <alignment horizontal="center"/>
    </xf>
    <xf numFmtId="164" fontId="28" fillId="5" borderId="1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164" fontId="34" fillId="5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right"/>
    </xf>
    <xf numFmtId="0" fontId="28" fillId="0" borderId="1" xfId="0" applyFont="1" applyBorder="1"/>
    <xf numFmtId="164" fontId="29" fillId="0" borderId="1" xfId="0" applyNumberFormat="1" applyFont="1" applyBorder="1" applyAlignment="1">
      <alignment horizontal="center"/>
    </xf>
    <xf numFmtId="165" fontId="29" fillId="0" borderId="1" xfId="0" applyNumberFormat="1" applyFont="1" applyBorder="1"/>
    <xf numFmtId="164" fontId="34" fillId="5" borderId="1" xfId="0" applyNumberFormat="1" applyFont="1" applyFill="1" applyBorder="1" applyAlignment="1">
      <alignment horizontal="right" vertical="center"/>
    </xf>
    <xf numFmtId="164" fontId="11" fillId="0" borderId="1" xfId="0" applyNumberFormat="1" applyFont="1" applyBorder="1"/>
    <xf numFmtId="165" fontId="28" fillId="17" borderId="1" xfId="0" applyNumberFormat="1" applyFont="1" applyFill="1" applyBorder="1"/>
    <xf numFmtId="0" fontId="8" fillId="8" borderId="4" xfId="0" applyFont="1" applyFill="1" applyBorder="1"/>
    <xf numFmtId="0" fontId="8" fillId="8" borderId="4" xfId="0" applyFont="1" applyFill="1" applyBorder="1" applyAlignment="1">
      <alignment horizontal="center"/>
    </xf>
    <xf numFmtId="0" fontId="8" fillId="10" borderId="12" xfId="0" applyFont="1" applyFill="1" applyBorder="1"/>
    <xf numFmtId="0" fontId="8" fillId="10" borderId="7" xfId="0" applyFont="1" applyFill="1" applyBorder="1" applyAlignment="1">
      <alignment horizontal="center"/>
    </xf>
    <xf numFmtId="0" fontId="8" fillId="11" borderId="12" xfId="0" applyFont="1" applyFill="1" applyBorder="1"/>
    <xf numFmtId="0" fontId="8" fillId="11" borderId="7" xfId="0" applyFont="1" applyFill="1" applyBorder="1" applyAlignment="1">
      <alignment horizontal="center"/>
    </xf>
    <xf numFmtId="0" fontId="34" fillId="5" borderId="4" xfId="0" applyFont="1" applyFill="1" applyBorder="1"/>
    <xf numFmtId="164" fontId="11" fillId="7" borderId="1" xfId="0" applyNumberFormat="1" applyFont="1" applyFill="1" applyBorder="1" applyAlignment="1">
      <alignment horizontal="right"/>
    </xf>
    <xf numFmtId="10" fontId="11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4" fontId="28" fillId="7" borderId="1" xfId="0" applyNumberFormat="1" applyFont="1" applyFill="1" applyBorder="1" applyAlignment="1">
      <alignment horizontal="right" vertical="center"/>
    </xf>
    <xf numFmtId="164" fontId="11" fillId="5" borderId="1" xfId="0" applyNumberFormat="1" applyFont="1" applyFill="1" applyBorder="1"/>
    <xf numFmtId="0" fontId="4" fillId="5" borderId="1" xfId="0" applyFont="1" applyFill="1" applyBorder="1" applyAlignment="1">
      <alignment horizontal="center" vertical="center" wrapText="1"/>
    </xf>
    <xf numFmtId="164" fontId="11" fillId="7" borderId="1" xfId="0" applyNumberFormat="1" applyFont="1" applyFill="1" applyBorder="1"/>
    <xf numFmtId="164" fontId="11" fillId="7" borderId="1" xfId="0" applyNumberFormat="1" applyFont="1" applyFill="1" applyBorder="1" applyAlignment="1">
      <alignment horizontal="center"/>
    </xf>
    <xf numFmtId="164" fontId="11" fillId="2" borderId="1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9" fontId="34" fillId="5" borderId="1" xfId="0" applyNumberFormat="1" applyFont="1" applyFill="1" applyBorder="1" applyAlignment="1">
      <alignment horizontal="center" vertical="center" wrapText="1"/>
    </xf>
    <xf numFmtId="0" fontId="28" fillId="18" borderId="1" xfId="0" applyFont="1" applyFill="1" applyBorder="1" applyAlignment="1">
      <alignment horizontal="center" vertical="center"/>
    </xf>
    <xf numFmtId="9" fontId="28" fillId="5" borderId="1" xfId="0" applyNumberFormat="1" applyFont="1" applyFill="1" applyBorder="1" applyAlignment="1">
      <alignment horizontal="center" vertical="center" wrapText="1"/>
    </xf>
    <xf numFmtId="9" fontId="34" fillId="5" borderId="1" xfId="0" applyNumberFormat="1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/>
    </xf>
    <xf numFmtId="0" fontId="0" fillId="0" borderId="12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9" xfId="0" applyBorder="1"/>
    <xf numFmtId="165" fontId="5" fillId="5" borderId="6" xfId="0" applyNumberFormat="1" applyFont="1" applyFill="1" applyBorder="1"/>
    <xf numFmtId="0" fontId="28" fillId="5" borderId="1" xfId="0" applyFont="1" applyFill="1" applyBorder="1" applyAlignment="1">
      <alignment horizontal="center" vertical="center" wrapText="1"/>
    </xf>
    <xf numFmtId="9" fontId="11" fillId="7" borderId="1" xfId="0" applyNumberFormat="1" applyFont="1" applyFill="1" applyBorder="1" applyAlignment="1">
      <alignment horizontal="center" wrapText="1"/>
    </xf>
    <xf numFmtId="165" fontId="11" fillId="7" borderId="1" xfId="0" applyNumberFormat="1" applyFont="1" applyFill="1" applyBorder="1" applyAlignment="1">
      <alignment horizontal="center"/>
    </xf>
    <xf numFmtId="164" fontId="28" fillId="5" borderId="1" xfId="0" applyNumberFormat="1" applyFont="1" applyFill="1" applyBorder="1"/>
    <xf numFmtId="164" fontId="28" fillId="5" borderId="2" xfId="0" applyNumberFormat="1" applyFont="1" applyFill="1" applyBorder="1" applyAlignment="1">
      <alignment horizontal="center" vertical="center"/>
    </xf>
    <xf numFmtId="9" fontId="30" fillId="2" borderId="1" xfId="0" applyNumberFormat="1" applyFont="1" applyFill="1" applyBorder="1" applyAlignment="1">
      <alignment horizontal="center" vertical="center" wrapText="1"/>
    </xf>
    <xf numFmtId="164" fontId="28" fillId="5" borderId="1" xfId="0" applyNumberFormat="1" applyFont="1" applyFill="1" applyBorder="1" applyAlignment="1">
      <alignment vertical="center"/>
    </xf>
    <xf numFmtId="9" fontId="45" fillId="7" borderId="1" xfId="0" applyNumberFormat="1" applyFont="1" applyFill="1" applyBorder="1" applyAlignment="1">
      <alignment horizontal="center" vertical="center" wrapText="1"/>
    </xf>
    <xf numFmtId="9" fontId="28" fillId="5" borderId="11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/>
    </xf>
    <xf numFmtId="9" fontId="46" fillId="7" borderId="1" xfId="0" applyNumberFormat="1" applyFont="1" applyFill="1" applyBorder="1" applyAlignment="1">
      <alignment horizontal="center"/>
    </xf>
    <xf numFmtId="9" fontId="11" fillId="7" borderId="3" xfId="0" applyNumberFormat="1" applyFont="1" applyFill="1" applyBorder="1" applyAlignment="1">
      <alignment horizontal="center"/>
    </xf>
    <xf numFmtId="0" fontId="28" fillId="2" borderId="1" xfId="0" applyFont="1" applyFill="1" applyBorder="1" applyAlignment="1">
      <alignment vertical="center"/>
    </xf>
    <xf numFmtId="165" fontId="24" fillId="17" borderId="9" xfId="0" applyNumberFormat="1" applyFont="1" applyFill="1" applyBorder="1"/>
    <xf numFmtId="165" fontId="11" fillId="17" borderId="1" xfId="0" applyNumberFormat="1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right"/>
    </xf>
    <xf numFmtId="0" fontId="25" fillId="17" borderId="12" xfId="0" applyFont="1" applyFill="1" applyBorder="1"/>
    <xf numFmtId="0" fontId="25" fillId="17" borderId="7" xfId="0" applyFont="1" applyFill="1" applyBorder="1"/>
    <xf numFmtId="0" fontId="25" fillId="17" borderId="9" xfId="0" applyFont="1" applyFill="1" applyBorder="1"/>
    <xf numFmtId="165" fontId="23" fillId="17" borderId="9" xfId="0" applyNumberFormat="1" applyFont="1" applyFill="1" applyBorder="1"/>
    <xf numFmtId="0" fontId="28" fillId="2" borderId="1" xfId="0" applyFont="1" applyFill="1" applyBorder="1" applyAlignment="1">
      <alignment horizontal="center" wrapText="1"/>
    </xf>
    <xf numFmtId="0" fontId="41" fillId="7" borderId="1" xfId="0" applyFont="1" applyFill="1" applyBorder="1" applyAlignment="1">
      <alignment horizontal="center" wrapText="1"/>
    </xf>
    <xf numFmtId="9" fontId="28" fillId="7" borderId="1" xfId="0" applyNumberFormat="1" applyFont="1" applyFill="1" applyBorder="1" applyAlignment="1">
      <alignment horizontal="center"/>
    </xf>
    <xf numFmtId="0" fontId="47" fillId="7" borderId="0" xfId="0" applyFont="1" applyFill="1" applyAlignment="1">
      <alignment horizontal="center" wrapText="1"/>
    </xf>
    <xf numFmtId="0" fontId="28" fillId="2" borderId="1" xfId="0" applyFont="1" applyFill="1" applyBorder="1" applyAlignment="1">
      <alignment wrapText="1"/>
    </xf>
    <xf numFmtId="165" fontId="23" fillId="17" borderId="6" xfId="0" applyNumberFormat="1" applyFont="1" applyFill="1" applyBorder="1"/>
    <xf numFmtId="0" fontId="3" fillId="5" borderId="10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165" fontId="23" fillId="5" borderId="2" xfId="0" applyNumberFormat="1" applyFont="1" applyFill="1" applyBorder="1"/>
    <xf numFmtId="0" fontId="41" fillId="2" borderId="3" xfId="0" applyFont="1" applyFill="1" applyBorder="1" applyAlignment="1">
      <alignment horizontal="center" wrapText="1"/>
    </xf>
    <xf numFmtId="164" fontId="21" fillId="17" borderId="6" xfId="0" applyNumberFormat="1" applyFont="1" applyFill="1" applyBorder="1" applyAlignment="1">
      <alignment vertical="center"/>
    </xf>
    <xf numFmtId="0" fontId="28" fillId="5" borderId="5" xfId="0" applyFont="1" applyFill="1" applyBorder="1" applyAlignment="1">
      <alignment horizontal="center" vertical="center"/>
    </xf>
    <xf numFmtId="0" fontId="5" fillId="5" borderId="3" xfId="0" applyFont="1" applyFill="1" applyBorder="1"/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wrapText="1"/>
    </xf>
    <xf numFmtId="9" fontId="28" fillId="23" borderId="1" xfId="0" applyNumberFormat="1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wrapText="1"/>
    </xf>
    <xf numFmtId="3" fontId="9" fillId="9" borderId="3" xfId="0" applyNumberFormat="1" applyFont="1" applyFill="1" applyBorder="1" applyAlignment="1">
      <alignment horizontal="center"/>
    </xf>
    <xf numFmtId="9" fontId="43" fillId="5" borderId="1" xfId="0" applyNumberFormat="1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/>
    </xf>
    <xf numFmtId="9" fontId="7" fillId="5" borderId="4" xfId="0" applyNumberFormat="1" applyFont="1" applyFill="1" applyBorder="1" applyAlignment="1">
      <alignment horizontal="center"/>
    </xf>
    <xf numFmtId="9" fontId="3" fillId="5" borderId="4" xfId="0" applyNumberFormat="1" applyFont="1" applyFill="1" applyBorder="1" applyAlignment="1">
      <alignment horizontal="center" vertical="center"/>
    </xf>
    <xf numFmtId="164" fontId="28" fillId="5" borderId="6" xfId="0" applyNumberFormat="1" applyFont="1" applyFill="1" applyBorder="1" applyAlignment="1">
      <alignment horizontal="center" vertical="center"/>
    </xf>
    <xf numFmtId="164" fontId="34" fillId="5" borderId="4" xfId="0" applyNumberFormat="1" applyFont="1" applyFill="1" applyBorder="1" applyAlignment="1">
      <alignment horizontal="center" vertical="center"/>
    </xf>
    <xf numFmtId="164" fontId="34" fillId="5" borderId="4" xfId="0" applyNumberFormat="1" applyFont="1" applyFill="1" applyBorder="1"/>
    <xf numFmtId="0" fontId="34" fillId="5" borderId="6" xfId="0" applyFont="1" applyFill="1" applyBorder="1" applyAlignment="1">
      <alignment horizontal="left" vertical="center"/>
    </xf>
    <xf numFmtId="0" fontId="11" fillId="14" borderId="8" xfId="0" applyFont="1" applyFill="1" applyBorder="1" applyAlignment="1">
      <alignment horizontal="right" wrapText="1"/>
    </xf>
    <xf numFmtId="0" fontId="11" fillId="14" borderId="8" xfId="0" applyFont="1" applyFill="1" applyBorder="1" applyAlignment="1">
      <alignment horizontal="left" wrapText="1"/>
    </xf>
    <xf numFmtId="169" fontId="11" fillId="14" borderId="8" xfId="0" applyNumberFormat="1" applyFont="1" applyFill="1" applyBorder="1" applyAlignment="1">
      <alignment horizontal="left" wrapText="1"/>
    </xf>
    <xf numFmtId="0" fontId="11" fillId="14" borderId="8" xfId="0" applyFont="1" applyFill="1" applyBorder="1" applyAlignment="1">
      <alignment horizontal="center" wrapText="1"/>
    </xf>
    <xf numFmtId="0" fontId="33" fillId="14" borderId="8" xfId="0" applyFont="1" applyFill="1" applyBorder="1" applyAlignment="1">
      <alignment horizontal="left" wrapText="1"/>
    </xf>
    <xf numFmtId="0" fontId="34" fillId="5" borderId="1" xfId="0" applyFont="1" applyFill="1" applyBorder="1" applyAlignment="1">
      <alignment horizontal="right"/>
    </xf>
    <xf numFmtId="0" fontId="34" fillId="5" borderId="1" xfId="0" applyFont="1" applyFill="1" applyBorder="1" applyAlignment="1">
      <alignment horizontal="left"/>
    </xf>
    <xf numFmtId="169" fontId="34" fillId="5" borderId="1" xfId="0" applyNumberFormat="1" applyFont="1" applyFill="1" applyBorder="1" applyAlignment="1">
      <alignment horizontal="left"/>
    </xf>
    <xf numFmtId="0" fontId="34" fillId="5" borderId="1" xfId="0" applyFont="1" applyFill="1" applyBorder="1" applyAlignment="1">
      <alignment horizontal="center"/>
    </xf>
    <xf numFmtId="14" fontId="34" fillId="5" borderId="2" xfId="0" applyNumberFormat="1" applyFont="1" applyFill="1" applyBorder="1" applyAlignment="1">
      <alignment horizontal="right"/>
    </xf>
    <xf numFmtId="0" fontId="34" fillId="5" borderId="2" xfId="0" applyFont="1" applyFill="1" applyBorder="1" applyAlignment="1">
      <alignment horizontal="left"/>
    </xf>
    <xf numFmtId="169" fontId="34" fillId="5" borderId="2" xfId="0" applyNumberFormat="1" applyFont="1" applyFill="1" applyBorder="1" applyAlignment="1">
      <alignment horizontal="left"/>
    </xf>
    <xf numFmtId="0" fontId="34" fillId="5" borderId="2" xfId="0" applyFont="1" applyFill="1" applyBorder="1" applyAlignment="1">
      <alignment horizontal="center"/>
    </xf>
    <xf numFmtId="14" fontId="34" fillId="15" borderId="2" xfId="0" applyNumberFormat="1" applyFont="1" applyFill="1" applyBorder="1" applyAlignment="1">
      <alignment horizontal="right"/>
    </xf>
    <xf numFmtId="0" fontId="34" fillId="15" borderId="2" xfId="0" applyFont="1" applyFill="1" applyBorder="1" applyAlignment="1">
      <alignment horizontal="left"/>
    </xf>
    <xf numFmtId="169" fontId="34" fillId="15" borderId="2" xfId="0" applyNumberFormat="1" applyFont="1" applyFill="1" applyBorder="1" applyAlignment="1">
      <alignment horizontal="left"/>
    </xf>
    <xf numFmtId="0" fontId="34" fillId="15" borderId="2" xfId="0" applyFont="1" applyFill="1" applyBorder="1" applyAlignment="1">
      <alignment horizontal="center"/>
    </xf>
    <xf numFmtId="0" fontId="34" fillId="5" borderId="2" xfId="0" applyFont="1" applyFill="1" applyBorder="1" applyAlignment="1">
      <alignment horizontal="right"/>
    </xf>
    <xf numFmtId="14" fontId="34" fillId="5" borderId="1" xfId="0" applyNumberFormat="1" applyFont="1" applyFill="1" applyBorder="1" applyAlignment="1">
      <alignment horizontal="right"/>
    </xf>
    <xf numFmtId="0" fontId="31" fillId="0" borderId="0" xfId="0" applyFont="1" applyAlignment="1">
      <alignment horizontal="right"/>
    </xf>
    <xf numFmtId="0" fontId="31" fillId="0" borderId="0" xfId="0" applyFont="1" applyAlignment="1">
      <alignment horizontal="left"/>
    </xf>
    <xf numFmtId="169" fontId="31" fillId="0" borderId="0" xfId="0" applyNumberFormat="1" applyFont="1" applyAlignment="1">
      <alignment horizontal="left"/>
    </xf>
    <xf numFmtId="0" fontId="31" fillId="0" borderId="0" xfId="0" applyFont="1" applyAlignment="1">
      <alignment horizontal="center"/>
    </xf>
    <xf numFmtId="0" fontId="34" fillId="15" borderId="2" xfId="0" applyFont="1" applyFill="1" applyBorder="1" applyAlignment="1">
      <alignment horizontal="right"/>
    </xf>
    <xf numFmtId="0" fontId="48" fillId="0" borderId="2" xfId="0" applyFont="1" applyBorder="1" applyAlignment="1">
      <alignment horizontal="left" wrapText="1"/>
    </xf>
    <xf numFmtId="0" fontId="31" fillId="0" borderId="1" xfId="0" applyFont="1" applyBorder="1" applyAlignment="1">
      <alignment horizontal="left" wrapText="1"/>
    </xf>
    <xf numFmtId="14" fontId="34" fillId="15" borderId="1" xfId="0" applyNumberFormat="1" applyFont="1" applyFill="1" applyBorder="1" applyAlignment="1">
      <alignment horizontal="right"/>
    </xf>
    <xf numFmtId="0" fontId="34" fillId="15" borderId="1" xfId="0" applyFont="1" applyFill="1" applyBorder="1" applyAlignment="1">
      <alignment horizontal="left"/>
    </xf>
    <xf numFmtId="169" fontId="34" fillId="15" borderId="1" xfId="0" applyNumberFormat="1" applyFont="1" applyFill="1" applyBorder="1" applyAlignment="1">
      <alignment horizontal="left"/>
    </xf>
    <xf numFmtId="0" fontId="34" fillId="15" borderId="1" xfId="0" applyFont="1" applyFill="1" applyBorder="1" applyAlignment="1">
      <alignment horizontal="center"/>
    </xf>
    <xf numFmtId="14" fontId="34" fillId="5" borderId="6" xfId="0" applyNumberFormat="1" applyFont="1" applyFill="1" applyBorder="1" applyAlignment="1">
      <alignment horizontal="right"/>
    </xf>
    <xf numFmtId="0" fontId="34" fillId="5" borderId="6" xfId="0" applyFont="1" applyFill="1" applyBorder="1" applyAlignment="1">
      <alignment horizontal="left"/>
    </xf>
    <xf numFmtId="169" fontId="34" fillId="5" borderId="6" xfId="0" applyNumberFormat="1" applyFont="1" applyFill="1" applyBorder="1" applyAlignment="1">
      <alignment horizontal="left"/>
    </xf>
    <xf numFmtId="0" fontId="34" fillId="5" borderId="6" xfId="0" applyFont="1" applyFill="1" applyBorder="1" applyAlignment="1">
      <alignment horizontal="center"/>
    </xf>
    <xf numFmtId="14" fontId="34" fillId="15" borderId="2" xfId="0" applyNumberFormat="1" applyFont="1" applyFill="1" applyBorder="1" applyAlignment="1">
      <alignment horizontal="left"/>
    </xf>
    <xf numFmtId="14" fontId="34" fillId="15" borderId="2" xfId="0" applyNumberFormat="1" applyFont="1" applyFill="1" applyBorder="1" applyAlignment="1">
      <alignment horizontal="center"/>
    </xf>
    <xf numFmtId="0" fontId="34" fillId="5" borderId="3" xfId="0" applyFont="1" applyFill="1" applyBorder="1" applyAlignment="1">
      <alignment horizontal="left"/>
    </xf>
    <xf numFmtId="14" fontId="31" fillId="5" borderId="1" xfId="0" applyNumberFormat="1" applyFont="1" applyFill="1" applyBorder="1" applyAlignment="1">
      <alignment horizontal="right"/>
    </xf>
    <xf numFmtId="0" fontId="31" fillId="5" borderId="0" xfId="0" applyFont="1" applyFill="1" applyAlignment="1">
      <alignment horizontal="left"/>
    </xf>
    <xf numFmtId="14" fontId="31" fillId="15" borderId="1" xfId="0" applyNumberFormat="1" applyFont="1" applyFill="1" applyBorder="1" applyAlignment="1">
      <alignment horizontal="right"/>
    </xf>
    <xf numFmtId="14" fontId="31" fillId="15" borderId="6" xfId="0" applyNumberFormat="1" applyFont="1" applyFill="1" applyBorder="1" applyAlignment="1">
      <alignment horizontal="right"/>
    </xf>
    <xf numFmtId="0" fontId="34" fillId="15" borderId="6" xfId="0" applyFont="1" applyFill="1" applyBorder="1" applyAlignment="1">
      <alignment horizontal="left"/>
    </xf>
    <xf numFmtId="169" fontId="34" fillId="15" borderId="6" xfId="0" applyNumberFormat="1" applyFont="1" applyFill="1" applyBorder="1" applyAlignment="1">
      <alignment horizontal="left"/>
    </xf>
    <xf numFmtId="0" fontId="34" fillId="15" borderId="6" xfId="0" applyFont="1" applyFill="1" applyBorder="1" applyAlignment="1">
      <alignment horizontal="center"/>
    </xf>
    <xf numFmtId="0" fontId="31" fillId="0" borderId="6" xfId="0" applyFont="1" applyBorder="1" applyAlignment="1">
      <alignment horizontal="right"/>
    </xf>
    <xf numFmtId="0" fontId="31" fillId="0" borderId="6" xfId="0" applyFont="1" applyBorder="1" applyAlignment="1">
      <alignment horizontal="left"/>
    </xf>
    <xf numFmtId="169" fontId="31" fillId="0" borderId="6" xfId="0" applyNumberFormat="1" applyFont="1" applyBorder="1" applyAlignment="1">
      <alignment horizontal="left"/>
    </xf>
    <xf numFmtId="0" fontId="31" fillId="0" borderId="6" xfId="0" applyFont="1" applyBorder="1" applyAlignment="1">
      <alignment horizontal="center"/>
    </xf>
    <xf numFmtId="14" fontId="31" fillId="0" borderId="4" xfId="0" applyNumberFormat="1" applyFont="1" applyBorder="1" applyAlignment="1">
      <alignment horizontal="right"/>
    </xf>
    <xf numFmtId="0" fontId="34" fillId="5" borderId="4" xfId="0" applyFont="1" applyFill="1" applyBorder="1" applyAlignment="1">
      <alignment horizontal="right"/>
    </xf>
    <xf numFmtId="0" fontId="34" fillId="5" borderId="10" xfId="0" applyFont="1" applyFill="1" applyBorder="1" applyAlignment="1">
      <alignment horizontal="right"/>
    </xf>
    <xf numFmtId="0" fontId="34" fillId="5" borderId="5" xfId="0" applyFont="1" applyFill="1" applyBorder="1" applyAlignment="1">
      <alignment horizontal="left"/>
    </xf>
    <xf numFmtId="0" fontId="34" fillId="15" borderId="8" xfId="0" applyFont="1" applyFill="1" applyBorder="1" applyAlignment="1">
      <alignment horizontal="right"/>
    </xf>
    <xf numFmtId="0" fontId="34" fillId="15" borderId="8" xfId="0" applyFont="1" applyFill="1" applyBorder="1" applyAlignment="1">
      <alignment horizontal="left"/>
    </xf>
    <xf numFmtId="14" fontId="34" fillId="21" borderId="1" xfId="0" applyNumberFormat="1" applyFont="1" applyFill="1" applyBorder="1" applyAlignment="1">
      <alignment horizontal="right"/>
    </xf>
    <xf numFmtId="0" fontId="34" fillId="21" borderId="1" xfId="0" applyFont="1" applyFill="1" applyBorder="1" applyAlignment="1">
      <alignment horizontal="left"/>
    </xf>
    <xf numFmtId="169" fontId="34" fillId="21" borderId="1" xfId="0" applyNumberFormat="1" applyFont="1" applyFill="1" applyBorder="1" applyAlignment="1">
      <alignment horizontal="left"/>
    </xf>
    <xf numFmtId="0" fontId="34" fillId="21" borderId="1" xfId="0" applyFont="1" applyFill="1" applyBorder="1" applyAlignment="1">
      <alignment horizontal="center"/>
    </xf>
    <xf numFmtId="14" fontId="34" fillId="21" borderId="2" xfId="0" applyNumberFormat="1" applyFont="1" applyFill="1" applyBorder="1" applyAlignment="1">
      <alignment horizontal="right"/>
    </xf>
    <xf numFmtId="0" fontId="34" fillId="21" borderId="2" xfId="0" applyFont="1" applyFill="1" applyBorder="1" applyAlignment="1">
      <alignment horizontal="left"/>
    </xf>
    <xf numFmtId="169" fontId="34" fillId="21" borderId="2" xfId="0" applyNumberFormat="1" applyFont="1" applyFill="1" applyBorder="1" applyAlignment="1">
      <alignment horizontal="left"/>
    </xf>
    <xf numFmtId="0" fontId="34" fillId="21" borderId="2" xfId="0" applyFont="1" applyFill="1" applyBorder="1" applyAlignment="1">
      <alignment horizontal="center"/>
    </xf>
    <xf numFmtId="0" fontId="31" fillId="21" borderId="1" xfId="0" applyFont="1" applyFill="1" applyBorder="1" applyAlignment="1">
      <alignment horizontal="right"/>
    </xf>
    <xf numFmtId="0" fontId="31" fillId="21" borderId="1" xfId="0" applyFont="1" applyFill="1" applyBorder="1" applyAlignment="1">
      <alignment horizontal="left"/>
    </xf>
    <xf numFmtId="169" fontId="31" fillId="21" borderId="1" xfId="0" applyNumberFormat="1" applyFont="1" applyFill="1" applyBorder="1" applyAlignment="1">
      <alignment horizontal="left"/>
    </xf>
    <xf numFmtId="0" fontId="31" fillId="21" borderId="1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right"/>
    </xf>
    <xf numFmtId="0" fontId="34" fillId="21" borderId="2" xfId="0" applyFont="1" applyFill="1" applyBorder="1" applyAlignment="1">
      <alignment horizontal="right"/>
    </xf>
    <xf numFmtId="14" fontId="34" fillId="5" borderId="10" xfId="0" applyNumberFormat="1" applyFont="1" applyFill="1" applyBorder="1" applyAlignment="1">
      <alignment horizontal="right"/>
    </xf>
    <xf numFmtId="164" fontId="34" fillId="15" borderId="1" xfId="0" applyNumberFormat="1" applyFont="1" applyFill="1" applyBorder="1" applyAlignment="1">
      <alignment horizontal="left"/>
    </xf>
    <xf numFmtId="0" fontId="34" fillId="23" borderId="1" xfId="0" applyFont="1" applyFill="1" applyBorder="1" applyAlignment="1">
      <alignment horizontal="left"/>
    </xf>
    <xf numFmtId="0" fontId="34" fillId="23" borderId="1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left"/>
    </xf>
    <xf numFmtId="0" fontId="34" fillId="22" borderId="1" xfId="0" applyFont="1" applyFill="1" applyBorder="1" applyAlignment="1">
      <alignment horizontal="left"/>
    </xf>
    <xf numFmtId="0" fontId="34" fillId="23" borderId="2" xfId="0" applyFont="1" applyFill="1" applyBorder="1" applyAlignment="1">
      <alignment horizontal="left"/>
    </xf>
    <xf numFmtId="0" fontId="34" fillId="22" borderId="2" xfId="0" applyFont="1" applyFill="1" applyBorder="1" applyAlignment="1">
      <alignment horizontal="left"/>
    </xf>
    <xf numFmtId="164" fontId="34" fillId="5" borderId="1" xfId="0" applyNumberFormat="1" applyFont="1" applyFill="1" applyBorder="1" applyAlignment="1">
      <alignment horizontal="left"/>
    </xf>
    <xf numFmtId="169" fontId="11" fillId="14" borderId="8" xfId="0" applyNumberFormat="1" applyFont="1" applyFill="1" applyBorder="1" applyAlignment="1">
      <alignment horizontal="center" wrapText="1"/>
    </xf>
    <xf numFmtId="0" fontId="33" fillId="14" borderId="8" xfId="0" applyFont="1" applyFill="1" applyBorder="1" applyAlignment="1">
      <alignment horizontal="center" wrapText="1"/>
    </xf>
    <xf numFmtId="14" fontId="31" fillId="25" borderId="1" xfId="0" applyNumberFormat="1" applyFont="1" applyFill="1" applyBorder="1" applyAlignment="1">
      <alignment horizontal="right"/>
    </xf>
    <xf numFmtId="0" fontId="34" fillId="25" borderId="1" xfId="0" applyFont="1" applyFill="1" applyBorder="1" applyAlignment="1">
      <alignment horizontal="left"/>
    </xf>
    <xf numFmtId="0" fontId="31" fillId="0" borderId="1" xfId="0" applyFont="1" applyBorder="1" applyAlignment="1">
      <alignment horizontal="right"/>
    </xf>
    <xf numFmtId="0" fontId="31" fillId="0" borderId="1" xfId="0" applyFont="1" applyBorder="1" applyAlignment="1">
      <alignment horizontal="left"/>
    </xf>
    <xf numFmtId="169" fontId="31" fillId="0" borderId="1" xfId="0" applyNumberFormat="1" applyFont="1" applyBorder="1" applyAlignment="1">
      <alignment horizontal="left"/>
    </xf>
    <xf numFmtId="0" fontId="34" fillId="25" borderId="3" xfId="0" applyFont="1" applyFill="1" applyBorder="1" applyAlignment="1">
      <alignment horizontal="left"/>
    </xf>
    <xf numFmtId="0" fontId="34" fillId="25" borderId="1" xfId="0" applyFont="1" applyFill="1" applyBorder="1" applyAlignment="1">
      <alignment horizontal="center"/>
    </xf>
    <xf numFmtId="164" fontId="34" fillId="25" borderId="1" xfId="0" applyNumberFormat="1" applyFont="1" applyFill="1" applyBorder="1" applyAlignment="1">
      <alignment horizontal="left"/>
    </xf>
    <xf numFmtId="164" fontId="34" fillId="5" borderId="2" xfId="0" applyNumberFormat="1" applyFont="1" applyFill="1" applyBorder="1" applyAlignment="1">
      <alignment horizontal="left"/>
    </xf>
    <xf numFmtId="164" fontId="31" fillId="0" borderId="6" xfId="0" applyNumberFormat="1" applyFont="1" applyBorder="1" applyAlignment="1">
      <alignment horizontal="left"/>
    </xf>
    <xf numFmtId="0" fontId="34" fillId="25" borderId="1" xfId="0" applyFont="1" applyFill="1" applyBorder="1"/>
    <xf numFmtId="0" fontId="34" fillId="5" borderId="2" xfId="0" applyFont="1" applyFill="1" applyBorder="1"/>
    <xf numFmtId="0" fontId="31" fillId="0" borderId="6" xfId="0" applyFont="1" applyBorder="1"/>
    <xf numFmtId="0" fontId="31" fillId="5" borderId="0" xfId="0" applyFont="1" applyFill="1" applyAlignment="1">
      <alignment horizontal="center"/>
    </xf>
    <xf numFmtId="164" fontId="7" fillId="7" borderId="1" xfId="0" applyNumberFormat="1" applyFont="1" applyFill="1" applyBorder="1" applyAlignment="1">
      <alignment horizontal="right"/>
    </xf>
    <xf numFmtId="9" fontId="7" fillId="7" borderId="1" xfId="0" applyNumberFormat="1" applyFont="1" applyFill="1" applyBorder="1" applyAlignment="1">
      <alignment horizontal="center"/>
    </xf>
    <xf numFmtId="165" fontId="7" fillId="7" borderId="1" xfId="0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34" fillId="25" borderId="2" xfId="0" applyFont="1" applyFill="1" applyBorder="1" applyAlignment="1">
      <alignment horizontal="left"/>
    </xf>
    <xf numFmtId="0" fontId="34" fillId="25" borderId="2" xfId="0" applyFont="1" applyFill="1" applyBorder="1" applyAlignment="1">
      <alignment horizontal="center"/>
    </xf>
    <xf numFmtId="14" fontId="34" fillId="25" borderId="10" xfId="0" applyNumberFormat="1" applyFont="1" applyFill="1" applyBorder="1" applyAlignment="1">
      <alignment horizontal="right"/>
    </xf>
    <xf numFmtId="164" fontId="34" fillId="25" borderId="2" xfId="0" applyNumberFormat="1" applyFont="1" applyFill="1" applyBorder="1" applyAlignment="1">
      <alignment horizontal="left"/>
    </xf>
    <xf numFmtId="164" fontId="31" fillId="0" borderId="1" xfId="0" applyNumberFormat="1" applyFont="1" applyBorder="1" applyAlignment="1">
      <alignment horizontal="left"/>
    </xf>
    <xf numFmtId="14" fontId="31" fillId="25" borderId="10" xfId="0" applyNumberFormat="1" applyFont="1" applyFill="1" applyBorder="1" applyAlignment="1">
      <alignment horizontal="right"/>
    </xf>
    <xf numFmtId="9" fontId="28" fillId="2" borderId="1" xfId="0" applyNumberFormat="1" applyFont="1" applyFill="1" applyBorder="1" applyAlignment="1">
      <alignment horizontal="center"/>
    </xf>
    <xf numFmtId="14" fontId="31" fillId="5" borderId="6" xfId="0" applyNumberFormat="1" applyFont="1" applyFill="1" applyBorder="1" applyAlignment="1">
      <alignment horizontal="right"/>
    </xf>
    <xf numFmtId="14" fontId="31" fillId="5" borderId="10" xfId="0" applyNumberFormat="1" applyFont="1" applyFill="1" applyBorder="1" applyAlignment="1">
      <alignment horizontal="right"/>
    </xf>
    <xf numFmtId="14" fontId="34" fillId="5" borderId="13" xfId="0" applyNumberFormat="1" applyFont="1" applyFill="1" applyBorder="1" applyAlignment="1">
      <alignment horizontal="right"/>
    </xf>
    <xf numFmtId="0" fontId="34" fillId="5" borderId="8" xfId="0" applyFont="1" applyFill="1" applyBorder="1" applyAlignment="1">
      <alignment horizontal="left"/>
    </xf>
    <xf numFmtId="164" fontId="34" fillId="5" borderId="8" xfId="0" applyNumberFormat="1" applyFont="1" applyFill="1" applyBorder="1" applyAlignment="1">
      <alignment horizontal="left"/>
    </xf>
    <xf numFmtId="0" fontId="34" fillId="5" borderId="8" xfId="0" applyFont="1" applyFill="1" applyBorder="1" applyAlignment="1">
      <alignment horizontal="center"/>
    </xf>
    <xf numFmtId="0" fontId="28" fillId="7" borderId="3" xfId="0" applyFont="1" applyFill="1" applyBorder="1" applyAlignment="1">
      <alignment horizontal="center" vertical="center"/>
    </xf>
    <xf numFmtId="9" fontId="7" fillId="5" borderId="10" xfId="0" applyNumberFormat="1" applyFont="1" applyFill="1" applyBorder="1" applyAlignment="1">
      <alignment horizontal="center"/>
    </xf>
    <xf numFmtId="0" fontId="51" fillId="2" borderId="0" xfId="0" applyFont="1" applyFill="1" applyAlignment="1">
      <alignment wrapText="1"/>
    </xf>
    <xf numFmtId="0" fontId="28" fillId="2" borderId="0" xfId="0" applyFont="1" applyFill="1" applyAlignment="1">
      <alignment horizontal="center" wrapText="1"/>
    </xf>
    <xf numFmtId="0" fontId="28" fillId="7" borderId="1" xfId="0" applyFont="1" applyFill="1" applyBorder="1" applyAlignment="1">
      <alignment horizontal="center"/>
    </xf>
    <xf numFmtId="164" fontId="34" fillId="5" borderId="6" xfId="0" applyNumberFormat="1" applyFont="1" applyFill="1" applyBorder="1" applyAlignment="1">
      <alignment horizontal="left"/>
    </xf>
    <xf numFmtId="0" fontId="34" fillId="5" borderId="6" xfId="0" applyFont="1" applyFill="1" applyBorder="1"/>
    <xf numFmtId="0" fontId="31" fillId="26" borderId="6" xfId="0" applyFont="1" applyFill="1" applyBorder="1" applyAlignment="1">
      <alignment horizontal="center"/>
    </xf>
    <xf numFmtId="0" fontId="31" fillId="26" borderId="1" xfId="0" applyFont="1" applyFill="1" applyBorder="1" applyAlignment="1">
      <alignment horizontal="center"/>
    </xf>
    <xf numFmtId="0" fontId="28" fillId="2" borderId="5" xfId="0" applyFont="1" applyFill="1" applyBorder="1" applyAlignment="1">
      <alignment horizontal="center" vertical="center"/>
    </xf>
    <xf numFmtId="9" fontId="29" fillId="2" borderId="3" xfId="0" applyNumberFormat="1" applyFont="1" applyFill="1" applyBorder="1" applyAlignment="1">
      <alignment horizontal="center"/>
    </xf>
    <xf numFmtId="164" fontId="28" fillId="7" borderId="2" xfId="0" applyNumberFormat="1" applyFont="1" applyFill="1" applyBorder="1" applyAlignment="1">
      <alignment horizontal="right" vertical="center"/>
    </xf>
    <xf numFmtId="9" fontId="33" fillId="2" borderId="1" xfId="0" applyNumberFormat="1" applyFont="1" applyFill="1" applyBorder="1" applyAlignment="1">
      <alignment horizontal="center"/>
    </xf>
    <xf numFmtId="164" fontId="34" fillId="2" borderId="1" xfId="0" applyNumberFormat="1" applyFont="1" applyFill="1" applyBorder="1" applyAlignment="1">
      <alignment horizontal="center" vertical="center"/>
    </xf>
    <xf numFmtId="9" fontId="5" fillId="7" borderId="1" xfId="0" applyNumberFormat="1" applyFont="1" applyFill="1" applyBorder="1" applyAlignment="1">
      <alignment horizontal="center" vertical="center" wrapText="1"/>
    </xf>
    <xf numFmtId="164" fontId="28" fillId="7" borderId="1" xfId="0" applyNumberFormat="1" applyFont="1" applyFill="1" applyBorder="1" applyAlignment="1">
      <alignment vertical="center"/>
    </xf>
    <xf numFmtId="9" fontId="0" fillId="7" borderId="1" xfId="0" applyNumberForma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 vertical="center"/>
    </xf>
    <xf numFmtId="0" fontId="28" fillId="7" borderId="4" xfId="0" applyFont="1" applyFill="1" applyBorder="1" applyAlignment="1">
      <alignment horizontal="center" vertical="center"/>
    </xf>
    <xf numFmtId="0" fontId="34" fillId="5" borderId="0" xfId="0" applyFont="1" applyFill="1" applyAlignment="1">
      <alignment horizontal="center"/>
    </xf>
    <xf numFmtId="0" fontId="34" fillId="5" borderId="0" xfId="0" applyFont="1" applyFill="1"/>
    <xf numFmtId="0" fontId="34" fillId="5" borderId="0" xfId="0" applyFont="1" applyFill="1" applyAlignment="1">
      <alignment horizontal="left"/>
    </xf>
    <xf numFmtId="14" fontId="31" fillId="25" borderId="2" xfId="0" applyNumberFormat="1" applyFont="1" applyFill="1" applyBorder="1" applyAlignment="1">
      <alignment horizontal="right"/>
    </xf>
    <xf numFmtId="9" fontId="28" fillId="0" borderId="1" xfId="0" applyNumberFormat="1" applyFont="1" applyBorder="1" applyAlignment="1">
      <alignment horizontal="center" vertical="center" wrapText="1"/>
    </xf>
    <xf numFmtId="164" fontId="28" fillId="0" borderId="1" xfId="0" applyNumberFormat="1" applyFont="1" applyBorder="1" applyAlignment="1">
      <alignment horizontal="right" vertical="center"/>
    </xf>
    <xf numFmtId="9" fontId="29" fillId="0" borderId="1" xfId="0" applyNumberFormat="1" applyFont="1" applyBorder="1" applyAlignment="1">
      <alignment horizontal="center"/>
    </xf>
    <xf numFmtId="164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wrapText="1"/>
    </xf>
    <xf numFmtId="9" fontId="0" fillId="0" borderId="1" xfId="0" applyNumberForma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164" fontId="28" fillId="0" borderId="1" xfId="0" applyNumberFormat="1" applyFont="1" applyBorder="1" applyAlignment="1">
      <alignment vertical="center"/>
    </xf>
    <xf numFmtId="0" fontId="28" fillId="0" borderId="4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7" fillId="5" borderId="12" xfId="0" applyFont="1" applyFill="1" applyBorder="1"/>
    <xf numFmtId="0" fontId="7" fillId="5" borderId="6" xfId="0" applyFont="1" applyFill="1" applyBorder="1"/>
    <xf numFmtId="9" fontId="28" fillId="0" borderId="1" xfId="0" applyNumberFormat="1" applyFont="1" applyBorder="1" applyAlignment="1">
      <alignment horizontal="center" vertical="center"/>
    </xf>
    <xf numFmtId="164" fontId="34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9" fontId="34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/>
    </xf>
    <xf numFmtId="164" fontId="34" fillId="0" borderId="1" xfId="0" applyNumberFormat="1" applyFont="1" applyBorder="1" applyAlignment="1">
      <alignment horizontal="right" vertical="center"/>
    </xf>
    <xf numFmtId="9" fontId="31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1" fillId="5" borderId="1" xfId="0" applyFont="1" applyFill="1" applyBorder="1" applyAlignment="1">
      <alignment horizontal="center"/>
    </xf>
    <xf numFmtId="0" fontId="34" fillId="5" borderId="3" xfId="0" applyFont="1" applyFill="1" applyBorder="1" applyAlignment="1">
      <alignment horizontal="center"/>
    </xf>
    <xf numFmtId="164" fontId="28" fillId="2" borderId="1" xfId="0" applyNumberFormat="1" applyFont="1" applyFill="1" applyBorder="1" applyAlignment="1">
      <alignment vertical="center"/>
    </xf>
    <xf numFmtId="164" fontId="53" fillId="0" borderId="1" xfId="0" applyNumberFormat="1" applyFont="1" applyBorder="1"/>
    <xf numFmtId="9" fontId="28" fillId="2" borderId="4" xfId="0" applyNumberFormat="1" applyFont="1" applyFill="1" applyBorder="1" applyAlignment="1">
      <alignment horizontal="center" vertical="center"/>
    </xf>
    <xf numFmtId="164" fontId="28" fillId="2" borderId="6" xfId="0" applyNumberFormat="1" applyFont="1" applyFill="1" applyBorder="1" applyAlignment="1">
      <alignment horizontal="center" vertical="center"/>
    </xf>
    <xf numFmtId="164" fontId="28" fillId="5" borderId="1" xfId="0" applyNumberFormat="1" applyFont="1" applyFill="1" applyBorder="1" applyAlignment="1">
      <alignment horizontal="left" vertical="center"/>
    </xf>
    <xf numFmtId="0" fontId="28" fillId="16" borderId="1" xfId="0" applyFont="1" applyFill="1" applyBorder="1" applyAlignment="1">
      <alignment horizontal="right"/>
    </xf>
    <xf numFmtId="0" fontId="28" fillId="16" borderId="4" xfId="0" applyFont="1" applyFill="1" applyBorder="1"/>
    <xf numFmtId="164" fontId="29" fillId="16" borderId="1" xfId="0" applyNumberFormat="1" applyFont="1" applyFill="1" applyBorder="1"/>
    <xf numFmtId="165" fontId="11" fillId="2" borderId="1" xfId="0" applyNumberFormat="1" applyFont="1" applyFill="1" applyBorder="1" applyAlignment="1">
      <alignment horizontal="right"/>
    </xf>
    <xf numFmtId="0" fontId="3" fillId="2" borderId="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9" fontId="43" fillId="2" borderId="1" xfId="0" applyNumberFormat="1" applyFont="1" applyFill="1" applyBorder="1" applyAlignment="1">
      <alignment horizontal="center" vertical="center"/>
    </xf>
    <xf numFmtId="9" fontId="34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3" fillId="7" borderId="6" xfId="0" applyFont="1" applyFill="1" applyBorder="1" applyAlignment="1">
      <alignment horizontal="left" vertical="center"/>
    </xf>
    <xf numFmtId="9" fontId="27" fillId="2" borderId="1" xfId="0" applyNumberFormat="1" applyFont="1" applyFill="1" applyBorder="1" applyAlignment="1">
      <alignment horizontal="center" vertical="center"/>
    </xf>
    <xf numFmtId="0" fontId="28" fillId="5" borderId="10" xfId="0" applyFont="1" applyFill="1" applyBorder="1" applyAlignment="1">
      <alignment horizontal="left" vertical="center"/>
    </xf>
    <xf numFmtId="0" fontId="5" fillId="16" borderId="4" xfId="0" applyFont="1" applyFill="1" applyBorder="1"/>
    <xf numFmtId="164" fontId="29" fillId="5" borderId="1" xfId="0" applyNumberFormat="1" applyFont="1" applyFill="1" applyBorder="1"/>
    <xf numFmtId="165" fontId="28" fillId="16" borderId="1" xfId="0" applyNumberFormat="1" applyFont="1" applyFill="1" applyBorder="1"/>
    <xf numFmtId="0" fontId="34" fillId="16" borderId="1" xfId="0" applyFont="1" applyFill="1" applyBorder="1"/>
    <xf numFmtId="164" fontId="28" fillId="5" borderId="4" xfId="0" applyNumberFormat="1" applyFont="1" applyFill="1" applyBorder="1" applyAlignment="1">
      <alignment horizontal="left" vertical="center"/>
    </xf>
    <xf numFmtId="164" fontId="28" fillId="16" borderId="4" xfId="0" applyNumberFormat="1" applyFont="1" applyFill="1" applyBorder="1" applyAlignment="1">
      <alignment horizontal="right"/>
    </xf>
    <xf numFmtId="0" fontId="27" fillId="2" borderId="4" xfId="0" applyFont="1" applyFill="1" applyBorder="1" applyAlignment="1">
      <alignment horizontal="left" vertical="center"/>
    </xf>
    <xf numFmtId="0" fontId="28" fillId="2" borderId="2" xfId="0" applyFont="1" applyFill="1" applyBorder="1" applyAlignment="1">
      <alignment horizontal="center" wrapText="1"/>
    </xf>
    <xf numFmtId="9" fontId="28" fillId="2" borderId="4" xfId="0" applyNumberFormat="1" applyFont="1" applyFill="1" applyBorder="1" applyAlignment="1">
      <alignment horizontal="center" vertical="center" wrapText="1"/>
    </xf>
    <xf numFmtId="164" fontId="28" fillId="2" borderId="3" xfId="0" applyNumberFormat="1" applyFont="1" applyFill="1" applyBorder="1" applyAlignment="1">
      <alignment horizontal="right" vertical="center"/>
    </xf>
    <xf numFmtId="9" fontId="3" fillId="2" borderId="4" xfId="0" applyNumberFormat="1" applyFont="1" applyFill="1" applyBorder="1" applyAlignment="1">
      <alignment horizontal="center" vertical="center"/>
    </xf>
    <xf numFmtId="164" fontId="28" fillId="2" borderId="2" xfId="0" applyNumberFormat="1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wrapText="1"/>
    </xf>
    <xf numFmtId="0" fontId="34" fillId="0" borderId="6" xfId="0" applyFont="1" applyBorder="1" applyAlignment="1">
      <alignment horizontal="center" vertical="center"/>
    </xf>
    <xf numFmtId="164" fontId="34" fillId="0" borderId="12" xfId="0" applyNumberFormat="1" applyFont="1" applyBorder="1" applyAlignment="1">
      <alignment horizontal="center" vertical="center"/>
    </xf>
    <xf numFmtId="9" fontId="43" fillId="0" borderId="6" xfId="0" applyNumberFormat="1" applyFont="1" applyBorder="1" applyAlignment="1">
      <alignment horizontal="center" vertical="center"/>
    </xf>
    <xf numFmtId="164" fontId="28" fillId="0" borderId="6" xfId="0" applyNumberFormat="1" applyFont="1" applyBorder="1" applyAlignment="1">
      <alignment horizontal="center" vertical="center"/>
    </xf>
    <xf numFmtId="165" fontId="29" fillId="16" borderId="1" xfId="0" applyNumberFormat="1" applyFont="1" applyFill="1" applyBorder="1"/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/>
    <xf numFmtId="167" fontId="3" fillId="7" borderId="1" xfId="0" applyNumberFormat="1" applyFont="1" applyFill="1" applyBorder="1" applyAlignment="1">
      <alignment horizontal="left" vertical="center" wrapText="1"/>
    </xf>
    <xf numFmtId="164" fontId="29" fillId="0" borderId="2" xfId="0" applyNumberFormat="1" applyFont="1" applyBorder="1"/>
    <xf numFmtId="0" fontId="28" fillId="0" borderId="6" xfId="0" applyFont="1" applyBorder="1" applyAlignment="1">
      <alignment horizontal="center" wrapText="1"/>
    </xf>
    <xf numFmtId="167" fontId="28" fillId="7" borderId="1" xfId="0" applyNumberFormat="1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left" vertical="center"/>
    </xf>
    <xf numFmtId="0" fontId="11" fillId="2" borderId="6" xfId="0" applyFont="1" applyFill="1" applyBorder="1"/>
    <xf numFmtId="0" fontId="34" fillId="5" borderId="4" xfId="0" applyFont="1" applyFill="1" applyBorder="1" applyAlignment="1">
      <alignment horizontal="left"/>
    </xf>
    <xf numFmtId="9" fontId="28" fillId="2" borderId="3" xfId="0" applyNumberFormat="1" applyFont="1" applyFill="1" applyBorder="1" applyAlignment="1">
      <alignment horizontal="center" vertical="center" wrapText="1"/>
    </xf>
    <xf numFmtId="14" fontId="34" fillId="5" borderId="2" xfId="0" applyNumberFormat="1" applyFont="1" applyFill="1" applyBorder="1" applyAlignment="1">
      <alignment horizontal="left"/>
    </xf>
    <xf numFmtId="0" fontId="34" fillId="25" borderId="5" xfId="0" applyFont="1" applyFill="1" applyBorder="1" applyAlignment="1">
      <alignment horizontal="left"/>
    </xf>
    <xf numFmtId="14" fontId="34" fillId="5" borderId="12" xfId="0" applyNumberFormat="1" applyFont="1" applyFill="1" applyBorder="1" applyAlignment="1">
      <alignment horizontal="right"/>
    </xf>
    <xf numFmtId="164" fontId="34" fillId="5" borderId="9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9" fontId="29" fillId="2" borderId="2" xfId="0" applyNumberFormat="1" applyFont="1" applyFill="1" applyBorder="1" applyAlignment="1">
      <alignment horizontal="center"/>
    </xf>
    <xf numFmtId="9" fontId="29" fillId="2" borderId="9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8" fillId="5" borderId="1" xfId="0" applyFont="1" applyFill="1" applyBorder="1" applyAlignment="1">
      <alignment horizontal="center" wrapText="1"/>
    </xf>
    <xf numFmtId="167" fontId="28" fillId="5" borderId="1" xfId="0" applyNumberFormat="1" applyFont="1" applyFill="1" applyBorder="1" applyAlignment="1">
      <alignment horizontal="center" vertical="center" wrapText="1"/>
    </xf>
    <xf numFmtId="0" fontId="28" fillId="5" borderId="0" xfId="0" applyFont="1" applyFill="1" applyAlignment="1">
      <alignment horizontal="center" wrapText="1"/>
    </xf>
    <xf numFmtId="164" fontId="29" fillId="5" borderId="2" xfId="0" applyNumberFormat="1" applyFont="1" applyFill="1" applyBorder="1"/>
    <xf numFmtId="164" fontId="28" fillId="5" borderId="2" xfId="0" applyNumberFormat="1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left" vertical="center"/>
    </xf>
    <xf numFmtId="9" fontId="28" fillId="5" borderId="3" xfId="0" applyNumberFormat="1" applyFont="1" applyFill="1" applyBorder="1" applyAlignment="1">
      <alignment horizontal="center" vertical="center" wrapText="1"/>
    </xf>
    <xf numFmtId="9" fontId="33" fillId="5" borderId="1" xfId="0" applyNumberFormat="1" applyFont="1" applyFill="1" applyBorder="1" applyAlignment="1">
      <alignment horizontal="center"/>
    </xf>
    <xf numFmtId="0" fontId="28" fillId="7" borderId="6" xfId="0" applyFont="1" applyFill="1" applyBorder="1" applyAlignment="1">
      <alignment horizontal="center" wrapText="1"/>
    </xf>
    <xf numFmtId="164" fontId="29" fillId="0" borderId="1" xfId="0" applyNumberFormat="1" applyFont="1" applyBorder="1" applyAlignment="1">
      <alignment horizontal="left"/>
    </xf>
    <xf numFmtId="165" fontId="29" fillId="25" borderId="1" xfId="0" applyNumberFormat="1" applyFont="1" applyFill="1" applyBorder="1"/>
    <xf numFmtId="0" fontId="55" fillId="2" borderId="1" xfId="0" applyFont="1" applyFill="1" applyBorder="1" applyAlignment="1">
      <alignment horizontal="left" vertical="center"/>
    </xf>
    <xf numFmtId="164" fontId="54" fillId="5" borderId="4" xfId="0" applyNumberFormat="1" applyFont="1" applyFill="1" applyBorder="1" applyAlignment="1">
      <alignment horizontal="right"/>
    </xf>
    <xf numFmtId="0" fontId="29" fillId="25" borderId="0" xfId="0" applyFont="1" applyFill="1" applyAlignment="1">
      <alignment horizontal="left"/>
    </xf>
    <xf numFmtId="164" fontId="27" fillId="5" borderId="1" xfId="0" applyNumberFormat="1" applyFont="1" applyFill="1" applyBorder="1" applyAlignment="1">
      <alignment horizontal="right" vertical="center"/>
    </xf>
    <xf numFmtId="0" fontId="28" fillId="25" borderId="1" xfId="0" applyFont="1" applyFill="1" applyBorder="1"/>
    <xf numFmtId="0" fontId="5" fillId="25" borderId="4" xfId="0" applyFont="1" applyFill="1" applyBorder="1"/>
    <xf numFmtId="165" fontId="29" fillId="25" borderId="1" xfId="0" applyNumberFormat="1" applyFont="1" applyFill="1" applyBorder="1" applyAlignment="1">
      <alignment horizontal="center"/>
    </xf>
    <xf numFmtId="0" fontId="27" fillId="5" borderId="10" xfId="0" applyFont="1" applyFill="1" applyBorder="1" applyAlignment="1">
      <alignment horizontal="right" vertical="center"/>
    </xf>
    <xf numFmtId="0" fontId="0" fillId="0" borderId="2" xfId="0" applyBorder="1" applyAlignment="1">
      <alignment horizontal="left"/>
    </xf>
    <xf numFmtId="0" fontId="28" fillId="7" borderId="3" xfId="0" applyFont="1" applyFill="1" applyBorder="1" applyAlignment="1">
      <alignment horizontal="left" vertical="center"/>
    </xf>
    <xf numFmtId="0" fontId="3" fillId="27" borderId="1" xfId="0" applyFont="1" applyFill="1" applyBorder="1" applyAlignment="1">
      <alignment horizontal="center" vertical="center"/>
    </xf>
    <xf numFmtId="0" fontId="27" fillId="27" borderId="6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wrapText="1"/>
    </xf>
    <xf numFmtId="0" fontId="28" fillId="2" borderId="8" xfId="0" applyFont="1" applyFill="1" applyBorder="1" applyAlignment="1">
      <alignment horizontal="left" vertical="center"/>
    </xf>
    <xf numFmtId="0" fontId="34" fillId="5" borderId="14" xfId="0" applyFont="1" applyFill="1" applyBorder="1" applyAlignment="1">
      <alignment horizontal="left"/>
    </xf>
    <xf numFmtId="14" fontId="34" fillId="25" borderId="4" xfId="0" applyNumberFormat="1" applyFont="1" applyFill="1" applyBorder="1" applyAlignment="1">
      <alignment horizontal="right"/>
    </xf>
    <xf numFmtId="0" fontId="34" fillId="5" borderId="9" xfId="0" applyFont="1" applyFill="1" applyBorder="1" applyAlignment="1">
      <alignment horizontal="left"/>
    </xf>
    <xf numFmtId="0" fontId="30" fillId="2" borderId="1" xfId="0" applyFont="1" applyFill="1" applyBorder="1"/>
    <xf numFmtId="0" fontId="3" fillId="27" borderId="6" xfId="0" applyFont="1" applyFill="1" applyBorder="1" applyAlignment="1">
      <alignment horizontal="center" vertical="center"/>
    </xf>
    <xf numFmtId="0" fontId="3" fillId="27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14" fontId="34" fillId="25" borderId="2" xfId="0" applyNumberFormat="1" applyFont="1" applyFill="1" applyBorder="1" applyAlignment="1">
      <alignment horizontal="left"/>
    </xf>
    <xf numFmtId="164" fontId="29" fillId="2" borderId="1" xfId="0" applyNumberFormat="1" applyFont="1" applyFill="1" applyBorder="1" applyAlignment="1">
      <alignment horizontal="center"/>
    </xf>
    <xf numFmtId="164" fontId="28" fillId="2" borderId="1" xfId="0" applyNumberFormat="1" applyFont="1" applyFill="1" applyBorder="1" applyAlignment="1">
      <alignment horizontal="center"/>
    </xf>
    <xf numFmtId="0" fontId="0" fillId="25" borderId="1" xfId="0" applyFill="1" applyBorder="1"/>
    <xf numFmtId="0" fontId="28" fillId="25" borderId="1" xfId="0" applyFont="1" applyFill="1" applyBorder="1" applyAlignment="1">
      <alignment horizontal="right"/>
    </xf>
    <xf numFmtId="165" fontId="53" fillId="25" borderId="1" xfId="0" applyNumberFormat="1" applyFont="1" applyFill="1" applyBorder="1"/>
    <xf numFmtId="0" fontId="29" fillId="25" borderId="1" xfId="0" applyFont="1" applyFill="1" applyBorder="1"/>
    <xf numFmtId="164" fontId="53" fillId="25" borderId="1" xfId="0" applyNumberFormat="1" applyFont="1" applyFill="1" applyBorder="1"/>
    <xf numFmtId="164" fontId="28" fillId="5" borderId="4" xfId="0" applyNumberFormat="1" applyFont="1" applyFill="1" applyBorder="1" applyAlignment="1">
      <alignment horizontal="center" vertical="center"/>
    </xf>
    <xf numFmtId="164" fontId="28" fillId="25" borderId="4" xfId="0" applyNumberFormat="1" applyFont="1" applyFill="1" applyBorder="1"/>
    <xf numFmtId="164" fontId="49" fillId="5" borderId="1" xfId="0" applyNumberFormat="1" applyFont="1" applyFill="1" applyBorder="1"/>
    <xf numFmtId="9" fontId="28" fillId="2" borderId="14" xfId="0" applyNumberFormat="1" applyFont="1" applyFill="1" applyBorder="1" applyAlignment="1">
      <alignment horizontal="center" vertical="center"/>
    </xf>
    <xf numFmtId="0" fontId="51" fillId="2" borderId="0" xfId="0" applyFont="1" applyFill="1" applyAlignment="1">
      <alignment horizontal="center"/>
    </xf>
    <xf numFmtId="164" fontId="10" fillId="5" borderId="1" xfId="0" applyNumberFormat="1" applyFont="1" applyFill="1" applyBorder="1" applyAlignment="1">
      <alignment horizontal="right"/>
    </xf>
    <xf numFmtId="0" fontId="51" fillId="2" borderId="1" xfId="0" applyFont="1" applyFill="1" applyBorder="1" applyAlignment="1">
      <alignment horizontal="center"/>
    </xf>
    <xf numFmtId="0" fontId="31" fillId="0" borderId="2" xfId="0" applyFont="1" applyBorder="1" applyAlignment="1">
      <alignment horizontal="left"/>
    </xf>
    <xf numFmtId="169" fontId="31" fillId="0" borderId="2" xfId="0" applyNumberFormat="1" applyFont="1" applyBorder="1" applyAlignment="1">
      <alignment horizontal="left"/>
    </xf>
    <xf numFmtId="0" fontId="31" fillId="0" borderId="2" xfId="0" applyFont="1" applyBorder="1" applyAlignment="1">
      <alignment horizontal="center"/>
    </xf>
    <xf numFmtId="0" fontId="11" fillId="14" borderId="1" xfId="0" applyFont="1" applyFill="1" applyBorder="1" applyAlignment="1">
      <alignment horizontal="center" wrapText="1"/>
    </xf>
    <xf numFmtId="169" fontId="11" fillId="14" borderId="1" xfId="0" applyNumberFormat="1" applyFont="1" applyFill="1" applyBorder="1" applyAlignment="1">
      <alignment horizontal="center" wrapText="1"/>
    </xf>
    <xf numFmtId="0" fontId="33" fillId="14" borderId="1" xfId="0" applyFont="1" applyFill="1" applyBorder="1" applyAlignment="1">
      <alignment horizontal="center" wrapText="1"/>
    </xf>
    <xf numFmtId="14" fontId="34" fillId="25" borderId="8" xfId="0" applyNumberFormat="1" applyFont="1" applyFill="1" applyBorder="1" applyAlignment="1">
      <alignment horizontal="left"/>
    </xf>
    <xf numFmtId="0" fontId="34" fillId="25" borderId="8" xfId="0" applyFont="1" applyFill="1" applyBorder="1" applyAlignment="1">
      <alignment horizontal="left"/>
    </xf>
    <xf numFmtId="164" fontId="34" fillId="25" borderId="8" xfId="0" applyNumberFormat="1" applyFont="1" applyFill="1" applyBorder="1" applyAlignment="1">
      <alignment horizontal="left"/>
    </xf>
    <xf numFmtId="0" fontId="34" fillId="25" borderId="8" xfId="0" applyFont="1" applyFill="1" applyBorder="1" applyAlignment="1">
      <alignment horizontal="center"/>
    </xf>
    <xf numFmtId="0" fontId="28" fillId="5" borderId="1" xfId="0" applyFont="1" applyFill="1" applyBorder="1" applyAlignment="1">
      <alignment wrapText="1"/>
    </xf>
    <xf numFmtId="164" fontId="31" fillId="0" borderId="2" xfId="0" applyNumberFormat="1" applyFont="1" applyBorder="1" applyAlignment="1">
      <alignment horizontal="left"/>
    </xf>
    <xf numFmtId="9" fontId="30" fillId="7" borderId="1" xfId="0" applyNumberFormat="1" applyFont="1" applyFill="1" applyBorder="1" applyAlignment="1">
      <alignment horizontal="center" vertical="center" wrapText="1"/>
    </xf>
    <xf numFmtId="0" fontId="3" fillId="12" borderId="13" xfId="0" applyFont="1" applyFill="1" applyBorder="1" applyAlignment="1">
      <alignment horizontal="center" vertical="center" wrapText="1"/>
    </xf>
    <xf numFmtId="0" fontId="3" fillId="12" borderId="14" xfId="0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/>
    </xf>
    <xf numFmtId="14" fontId="31" fillId="25" borderId="6" xfId="0" applyNumberFormat="1" applyFont="1" applyFill="1" applyBorder="1" applyAlignment="1">
      <alignment horizontal="right"/>
    </xf>
    <xf numFmtId="0" fontId="34" fillId="25" borderId="9" xfId="0" applyFont="1" applyFill="1" applyBorder="1" applyAlignment="1">
      <alignment horizontal="left"/>
    </xf>
    <xf numFmtId="0" fontId="51" fillId="2" borderId="0" xfId="0" applyFont="1" applyFill="1"/>
    <xf numFmtId="0" fontId="51" fillId="2" borderId="1" xfId="0" applyFont="1" applyFill="1" applyBorder="1"/>
    <xf numFmtId="14" fontId="34" fillId="5" borderId="1" xfId="0" applyNumberFormat="1" applyFont="1" applyFill="1" applyBorder="1" applyAlignment="1">
      <alignment horizontal="left"/>
    </xf>
    <xf numFmtId="0" fontId="34" fillId="25" borderId="4" xfId="0" applyFont="1" applyFill="1" applyBorder="1"/>
    <xf numFmtId="0" fontId="34" fillId="25" borderId="3" xfId="0" applyFont="1" applyFill="1" applyBorder="1" applyAlignment="1">
      <alignment horizontal="center"/>
    </xf>
    <xf numFmtId="0" fontId="34" fillId="25" borderId="2" xfId="0" applyFont="1" applyFill="1" applyBorder="1"/>
    <xf numFmtId="0" fontId="3" fillId="4" borderId="14" xfId="0" applyFont="1" applyFill="1" applyBorder="1" applyAlignment="1">
      <alignment horizontal="center" vertical="center"/>
    </xf>
    <xf numFmtId="9" fontId="30" fillId="5" borderId="1" xfId="0" applyNumberFormat="1" applyFont="1" applyFill="1" applyBorder="1" applyAlignment="1">
      <alignment horizontal="center" vertical="center" wrapText="1"/>
    </xf>
    <xf numFmtId="9" fontId="28" fillId="5" borderId="1" xfId="0" applyNumberFormat="1" applyFont="1" applyFill="1" applyBorder="1" applyAlignment="1">
      <alignment horizontal="center"/>
    </xf>
    <xf numFmtId="0" fontId="51" fillId="2" borderId="6" xfId="0" applyFont="1" applyFill="1" applyBorder="1"/>
    <xf numFmtId="0" fontId="28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61" fillId="0" borderId="1" xfId="0" applyFont="1" applyBorder="1"/>
    <xf numFmtId="0" fontId="0" fillId="0" borderId="3" xfId="0" applyBorder="1"/>
    <xf numFmtId="164" fontId="29" fillId="7" borderId="2" xfId="0" applyNumberFormat="1" applyFont="1" applyFill="1" applyBorder="1"/>
    <xf numFmtId="0" fontId="0" fillId="2" borderId="2" xfId="0" applyFill="1" applyBorder="1"/>
    <xf numFmtId="9" fontId="34" fillId="2" borderId="4" xfId="0" applyNumberFormat="1" applyFont="1" applyFill="1" applyBorder="1" applyAlignment="1">
      <alignment horizontal="center" vertical="center"/>
    </xf>
    <xf numFmtId="0" fontId="12" fillId="25" borderId="1" xfId="0" applyFont="1" applyFill="1" applyBorder="1"/>
    <xf numFmtId="165" fontId="61" fillId="25" borderId="1" xfId="0" applyNumberFormat="1" applyFont="1" applyFill="1" applyBorder="1"/>
    <xf numFmtId="0" fontId="61" fillId="25" borderId="1" xfId="0" applyFont="1" applyFill="1" applyBorder="1"/>
    <xf numFmtId="164" fontId="61" fillId="25" borderId="1" xfId="0" applyNumberFormat="1" applyFont="1" applyFill="1" applyBorder="1"/>
    <xf numFmtId="9" fontId="25" fillId="2" borderId="4" xfId="0" applyNumberFormat="1" applyFont="1" applyFill="1" applyBorder="1" applyAlignment="1">
      <alignment horizontal="center" vertical="center"/>
    </xf>
    <xf numFmtId="164" fontId="63" fillId="2" borderId="1" xfId="0" applyNumberFormat="1" applyFont="1" applyFill="1" applyBorder="1"/>
    <xf numFmtId="164" fontId="61" fillId="0" borderId="1" xfId="0" applyNumberFormat="1" applyFont="1" applyBorder="1"/>
    <xf numFmtId="164" fontId="61" fillId="0" borderId="1" xfId="0" applyNumberFormat="1" applyFont="1" applyBorder="1" applyAlignment="1">
      <alignment horizontal="left"/>
    </xf>
    <xf numFmtId="164" fontId="28" fillId="25" borderId="4" xfId="0" applyNumberFormat="1" applyFont="1" applyFill="1" applyBorder="1" applyAlignment="1">
      <alignment horizontal="right"/>
    </xf>
    <xf numFmtId="0" fontId="28" fillId="2" borderId="1" xfId="0" applyFont="1" applyFill="1" applyBorder="1" applyAlignment="1">
      <alignment horizontal="center"/>
    </xf>
    <xf numFmtId="164" fontId="28" fillId="2" borderId="1" xfId="0" applyNumberFormat="1" applyFont="1" applyFill="1" applyBorder="1"/>
    <xf numFmtId="164" fontId="61" fillId="0" borderId="1" xfId="0" applyNumberFormat="1" applyFont="1" applyBorder="1" applyAlignment="1">
      <alignment horizontal="center"/>
    </xf>
    <xf numFmtId="0" fontId="0" fillId="16" borderId="1" xfId="0" applyFill="1" applyBorder="1"/>
    <xf numFmtId="164" fontId="61" fillId="16" borderId="1" xfId="0" applyNumberFormat="1" applyFont="1" applyFill="1" applyBorder="1"/>
    <xf numFmtId="0" fontId="61" fillId="16" borderId="1" xfId="0" applyFont="1" applyFill="1" applyBorder="1"/>
    <xf numFmtId="9" fontId="63" fillId="2" borderId="1" xfId="0" applyNumberFormat="1" applyFont="1" applyFill="1" applyBorder="1" applyAlignment="1">
      <alignment horizontal="center"/>
    </xf>
    <xf numFmtId="0" fontId="34" fillId="5" borderId="10" xfId="0" applyFont="1" applyFill="1" applyBorder="1" applyAlignment="1">
      <alignment horizontal="left"/>
    </xf>
    <xf numFmtId="0" fontId="34" fillId="5" borderId="2" xfId="0" applyFont="1" applyFill="1" applyBorder="1" applyAlignment="1">
      <alignment wrapText="1"/>
    </xf>
    <xf numFmtId="0" fontId="64" fillId="0" borderId="1" xfId="0" applyFont="1" applyBorder="1"/>
    <xf numFmtId="0" fontId="63" fillId="2" borderId="1" xfId="0" applyFont="1" applyFill="1" applyBorder="1" applyAlignment="1">
      <alignment horizontal="center"/>
    </xf>
    <xf numFmtId="167" fontId="28" fillId="7" borderId="1" xfId="0" applyNumberFormat="1" applyFont="1" applyFill="1" applyBorder="1" applyAlignment="1">
      <alignment horizontal="left" vertical="center" wrapText="1"/>
    </xf>
    <xf numFmtId="0" fontId="28" fillId="7" borderId="2" xfId="0" applyFont="1" applyFill="1" applyBorder="1" applyAlignment="1">
      <alignment horizontal="center" vertical="center"/>
    </xf>
    <xf numFmtId="167" fontId="28" fillId="2" borderId="1" xfId="0" applyNumberFormat="1" applyFont="1" applyFill="1" applyBorder="1" applyAlignment="1">
      <alignment horizontal="left" vertical="center" wrapText="1"/>
    </xf>
    <xf numFmtId="164" fontId="28" fillId="2" borderId="1" xfId="0" applyNumberFormat="1" applyFont="1" applyFill="1" applyBorder="1" applyAlignment="1">
      <alignment horizontal="left" vertical="center"/>
    </xf>
    <xf numFmtId="14" fontId="31" fillId="0" borderId="1" xfId="0" applyNumberFormat="1" applyFont="1" applyBorder="1" applyAlignment="1">
      <alignment horizontal="right"/>
    </xf>
    <xf numFmtId="0" fontId="11" fillId="14" borderId="2" xfId="0" applyFont="1" applyFill="1" applyBorder="1" applyAlignment="1">
      <alignment horizontal="center" wrapText="1"/>
    </xf>
    <xf numFmtId="169" fontId="11" fillId="14" borderId="2" xfId="0" applyNumberFormat="1" applyFont="1" applyFill="1" applyBorder="1" applyAlignment="1">
      <alignment horizontal="center" wrapText="1"/>
    </xf>
    <xf numFmtId="0" fontId="33" fillId="14" borderId="2" xfId="0" applyFont="1" applyFill="1" applyBorder="1" applyAlignment="1">
      <alignment horizontal="center" wrapText="1"/>
    </xf>
    <xf numFmtId="14" fontId="34" fillId="5" borderId="8" xfId="0" applyNumberFormat="1" applyFont="1" applyFill="1" applyBorder="1" applyAlignment="1">
      <alignment horizontal="left"/>
    </xf>
    <xf numFmtId="14" fontId="34" fillId="25" borderId="1" xfId="0" applyNumberFormat="1" applyFont="1" applyFill="1" applyBorder="1" applyAlignment="1">
      <alignment horizontal="left"/>
    </xf>
    <xf numFmtId="9" fontId="11" fillId="2" borderId="4" xfId="0" applyNumberFormat="1" applyFont="1" applyFill="1" applyBorder="1" applyAlignment="1">
      <alignment horizontal="center"/>
    </xf>
    <xf numFmtId="164" fontId="11" fillId="2" borderId="3" xfId="0" applyNumberFormat="1" applyFont="1" applyFill="1" applyBorder="1" applyAlignment="1">
      <alignment horizontal="right"/>
    </xf>
    <xf numFmtId="0" fontId="51" fillId="2" borderId="8" xfId="0" applyFont="1" applyFill="1" applyBorder="1"/>
    <xf numFmtId="0" fontId="28" fillId="2" borderId="4" xfId="0" applyFont="1" applyFill="1" applyBorder="1" applyAlignment="1">
      <alignment horizontal="center" wrapText="1"/>
    </xf>
    <xf numFmtId="0" fontId="51" fillId="2" borderId="3" xfId="0" applyFont="1" applyFill="1" applyBorder="1"/>
    <xf numFmtId="9" fontId="11" fillId="2" borderId="10" xfId="0" applyNumberFormat="1" applyFont="1" applyFill="1" applyBorder="1" applyAlignment="1">
      <alignment horizontal="center"/>
    </xf>
    <xf numFmtId="9" fontId="11" fillId="2" borderId="6" xfId="0" applyNumberFormat="1" applyFont="1" applyFill="1" applyBorder="1" applyAlignment="1">
      <alignment horizontal="center"/>
    </xf>
    <xf numFmtId="0" fontId="51" fillId="2" borderId="9" xfId="0" applyFont="1" applyFill="1" applyBorder="1"/>
    <xf numFmtId="164" fontId="31" fillId="0" borderId="0" xfId="0" applyNumberFormat="1" applyFont="1" applyAlignment="1">
      <alignment horizontal="left"/>
    </xf>
    <xf numFmtId="0" fontId="31" fillId="0" borderId="0" xfId="0" applyFont="1"/>
    <xf numFmtId="9" fontId="11" fillId="0" borderId="6" xfId="0" applyNumberFormat="1" applyFont="1" applyBorder="1" applyAlignment="1">
      <alignment horizontal="center"/>
    </xf>
    <xf numFmtId="164" fontId="11" fillId="0" borderId="3" xfId="0" applyNumberFormat="1" applyFont="1" applyBorder="1" applyAlignment="1">
      <alignment horizontal="right"/>
    </xf>
    <xf numFmtId="0" fontId="28" fillId="0" borderId="4" xfId="0" applyFont="1" applyBorder="1" applyAlignment="1">
      <alignment horizontal="center" wrapText="1"/>
    </xf>
    <xf numFmtId="0" fontId="51" fillId="0" borderId="9" xfId="0" applyFont="1" applyBorder="1"/>
    <xf numFmtId="164" fontId="34" fillId="5" borderId="3" xfId="0" applyNumberFormat="1" applyFont="1" applyFill="1" applyBorder="1" applyAlignment="1">
      <alignment horizontal="left"/>
    </xf>
    <xf numFmtId="164" fontId="28" fillId="0" borderId="3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9" fontId="28" fillId="2" borderId="10" xfId="0" applyNumberFormat="1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wrapText="1"/>
    </xf>
    <xf numFmtId="0" fontId="28" fillId="0" borderId="10" xfId="0" applyFont="1" applyBorder="1" applyAlignment="1">
      <alignment horizontal="left" vertical="center"/>
    </xf>
    <xf numFmtId="164" fontId="11" fillId="0" borderId="10" xfId="0" applyNumberFormat="1" applyFont="1" applyBorder="1" applyAlignment="1">
      <alignment horizontal="right"/>
    </xf>
    <xf numFmtId="9" fontId="28" fillId="0" borderId="10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left" vertical="center"/>
    </xf>
    <xf numFmtId="0" fontId="12" fillId="25" borderId="6" xfId="0" applyFont="1" applyFill="1" applyBorder="1" applyAlignment="1">
      <alignment horizontal="right"/>
    </xf>
    <xf numFmtId="0" fontId="5" fillId="25" borderId="6" xfId="0" applyFont="1" applyFill="1" applyBorder="1"/>
    <xf numFmtId="164" fontId="0" fillId="0" borderId="1" xfId="0" applyNumberFormat="1" applyBorder="1" applyAlignment="1">
      <alignment horizontal="left"/>
    </xf>
    <xf numFmtId="164" fontId="63" fillId="5" borderId="3" xfId="0" applyNumberFormat="1" applyFont="1" applyFill="1" applyBorder="1" applyAlignment="1">
      <alignment horizontal="left" vertical="center"/>
    </xf>
    <xf numFmtId="164" fontId="63" fillId="2" borderId="1" xfId="0" applyNumberFormat="1" applyFont="1" applyFill="1" applyBorder="1" applyAlignment="1">
      <alignment horizontal="right"/>
    </xf>
    <xf numFmtId="164" fontId="63" fillId="0" borderId="1" xfId="0" applyNumberFormat="1" applyFont="1" applyBorder="1"/>
    <xf numFmtId="0" fontId="56" fillId="7" borderId="1" xfId="0" applyFont="1" applyFill="1" applyBorder="1"/>
    <xf numFmtId="0" fontId="29" fillId="2" borderId="0" xfId="0" applyFont="1" applyFill="1"/>
    <xf numFmtId="0" fontId="28" fillId="0" borderId="6" xfId="0" applyFont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 wrapText="1"/>
    </xf>
    <xf numFmtId="167" fontId="3" fillId="12" borderId="14" xfId="0" applyNumberFormat="1" applyFont="1" applyFill="1" applyBorder="1" applyAlignment="1">
      <alignment horizontal="center" vertical="center" wrapText="1"/>
    </xf>
    <xf numFmtId="165" fontId="61" fillId="17" borderId="3" xfId="0" applyNumberFormat="1" applyFont="1" applyFill="1" applyBorder="1"/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/>
    </xf>
    <xf numFmtId="0" fontId="29" fillId="2" borderId="3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center"/>
    </xf>
    <xf numFmtId="0" fontId="29" fillId="25" borderId="1" xfId="0" applyFont="1" applyFill="1" applyBorder="1" applyAlignment="1">
      <alignment horizontal="center"/>
    </xf>
    <xf numFmtId="0" fontId="31" fillId="0" borderId="5" xfId="0" applyFont="1" applyBorder="1" applyAlignment="1">
      <alignment horizontal="left"/>
    </xf>
    <xf numFmtId="14" fontId="34" fillId="5" borderId="4" xfId="0" applyNumberFormat="1" applyFont="1" applyFill="1" applyBorder="1" applyAlignment="1">
      <alignment horizontal="right"/>
    </xf>
    <xf numFmtId="17" fontId="34" fillId="25" borderId="2" xfId="0" applyNumberFormat="1" applyFont="1" applyFill="1" applyBorder="1" applyAlignment="1">
      <alignment horizontal="left"/>
    </xf>
    <xf numFmtId="0" fontId="55" fillId="2" borderId="3" xfId="0" applyFont="1" applyFill="1" applyBorder="1" applyAlignment="1">
      <alignment horizontal="left" vertical="center"/>
    </xf>
    <xf numFmtId="0" fontId="28" fillId="7" borderId="4" xfId="0" applyFont="1" applyFill="1" applyBorder="1" applyAlignment="1">
      <alignment horizontal="center" wrapText="1"/>
    </xf>
    <xf numFmtId="0" fontId="51" fillId="7" borderId="9" xfId="0" applyFont="1" applyFill="1" applyBorder="1"/>
    <xf numFmtId="164" fontId="11" fillId="7" borderId="3" xfId="0" applyNumberFormat="1" applyFont="1" applyFill="1" applyBorder="1" applyAlignment="1">
      <alignment horizontal="right"/>
    </xf>
    <xf numFmtId="0" fontId="5" fillId="5" borderId="6" xfId="0" applyFont="1" applyFill="1" applyBorder="1" applyAlignment="1">
      <alignment horizontal="center" vertical="center"/>
    </xf>
    <xf numFmtId="0" fontId="51" fillId="7" borderId="0" xfId="0" applyFont="1" applyFill="1"/>
    <xf numFmtId="0" fontId="28" fillId="5" borderId="6" xfId="0" applyFont="1" applyFill="1" applyBorder="1" applyAlignment="1">
      <alignment horizontal="left" vertical="center"/>
    </xf>
    <xf numFmtId="9" fontId="28" fillId="2" borderId="11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vertical="center"/>
    </xf>
    <xf numFmtId="0" fontId="29" fillId="2" borderId="4" xfId="0" applyFont="1" applyFill="1" applyBorder="1"/>
    <xf numFmtId="164" fontId="28" fillId="7" borderId="1" xfId="0" applyNumberFormat="1" applyFont="1" applyFill="1" applyBorder="1"/>
    <xf numFmtId="0" fontId="28" fillId="7" borderId="1" xfId="0" applyFont="1" applyFill="1" applyBorder="1"/>
    <xf numFmtId="0" fontId="3" fillId="0" borderId="5" xfId="0" applyFont="1" applyBorder="1" applyAlignment="1">
      <alignment horizontal="center" vertical="center"/>
    </xf>
    <xf numFmtId="0" fontId="11" fillId="0" borderId="6" xfId="0" applyFont="1" applyBorder="1"/>
    <xf numFmtId="0" fontId="3" fillId="7" borderId="3" xfId="0" applyFont="1" applyFill="1" applyBorder="1" applyAlignment="1">
      <alignment vertical="center"/>
    </xf>
    <xf numFmtId="9" fontId="11" fillId="7" borderId="10" xfId="0" applyNumberFormat="1" applyFont="1" applyFill="1" applyBorder="1" applyAlignment="1">
      <alignment horizontal="center"/>
    </xf>
    <xf numFmtId="0" fontId="51" fillId="7" borderId="1" xfId="0" applyFont="1" applyFill="1" applyBorder="1"/>
    <xf numFmtId="167" fontId="28" fillId="2" borderId="4" xfId="0" applyNumberFormat="1" applyFont="1" applyFill="1" applyBorder="1" applyAlignment="1">
      <alignment horizontal="center" vertical="center" wrapText="1"/>
    </xf>
    <xf numFmtId="0" fontId="29" fillId="2" borderId="12" xfId="0" applyFont="1" applyFill="1" applyBorder="1"/>
    <xf numFmtId="0" fontId="3" fillId="2" borderId="4" xfId="0" applyFont="1" applyFill="1" applyBorder="1" applyAlignment="1">
      <alignment vertical="center"/>
    </xf>
    <xf numFmtId="164" fontId="28" fillId="2" borderId="4" xfId="0" applyNumberFormat="1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28" fillId="2" borderId="7" xfId="0" applyFont="1" applyFill="1" applyBorder="1" applyAlignment="1">
      <alignment horizontal="center" vertical="center"/>
    </xf>
    <xf numFmtId="164" fontId="28" fillId="2" borderId="11" xfId="0" applyNumberFormat="1" applyFont="1" applyFill="1" applyBorder="1" applyAlignment="1">
      <alignment horizontal="right" vertical="center"/>
    </xf>
    <xf numFmtId="0" fontId="53" fillId="0" borderId="1" xfId="0" applyFont="1" applyBorder="1"/>
    <xf numFmtId="0" fontId="63" fillId="5" borderId="1" xfId="0" applyFont="1" applyFill="1" applyBorder="1"/>
    <xf numFmtId="164" fontId="18" fillId="0" borderId="1" xfId="0" applyNumberFormat="1" applyFont="1" applyBorder="1"/>
    <xf numFmtId="9" fontId="66" fillId="2" borderId="4" xfId="0" applyNumberFormat="1" applyFont="1" applyFill="1" applyBorder="1" applyAlignment="1">
      <alignment horizontal="center" vertical="center"/>
    </xf>
    <xf numFmtId="0" fontId="65" fillId="0" borderId="0" xfId="0" applyFont="1"/>
    <xf numFmtId="164" fontId="49" fillId="25" borderId="4" xfId="0" applyNumberFormat="1" applyFont="1" applyFill="1" applyBorder="1"/>
    <xf numFmtId="0" fontId="49" fillId="25" borderId="1" xfId="0" applyFont="1" applyFill="1" applyBorder="1"/>
    <xf numFmtId="9" fontId="29" fillId="2" borderId="1" xfId="0" applyNumberFormat="1" applyFont="1" applyFill="1" applyBorder="1" applyAlignment="1">
      <alignment horizontal="center" vertical="center"/>
    </xf>
    <xf numFmtId="0" fontId="63" fillId="0" borderId="1" xfId="0" applyFont="1" applyBorder="1"/>
    <xf numFmtId="0" fontId="28" fillId="2" borderId="0" xfId="0" applyFont="1" applyFill="1" applyAlignment="1">
      <alignment horizontal="left" vertical="center"/>
    </xf>
    <xf numFmtId="0" fontId="51" fillId="2" borderId="2" xfId="0" applyFont="1" applyFill="1" applyBorder="1"/>
    <xf numFmtId="0" fontId="45" fillId="7" borderId="1" xfId="0" applyFont="1" applyFill="1" applyBorder="1" applyAlignment="1">
      <alignment horizontal="left" vertical="center"/>
    </xf>
    <xf numFmtId="0" fontId="29" fillId="7" borderId="4" xfId="0" applyFont="1" applyFill="1" applyBorder="1" applyAlignment="1">
      <alignment horizontal="center"/>
    </xf>
    <xf numFmtId="9" fontId="30" fillId="7" borderId="1" xfId="0" applyNumberFormat="1" applyFont="1" applyFill="1" applyBorder="1" applyAlignment="1">
      <alignment horizontal="center"/>
    </xf>
    <xf numFmtId="0" fontId="29" fillId="5" borderId="4" xfId="0" applyFont="1" applyFill="1" applyBorder="1" applyAlignment="1">
      <alignment horizontal="center"/>
    </xf>
    <xf numFmtId="0" fontId="3" fillId="5" borderId="3" xfId="0" applyFont="1" applyFill="1" applyBorder="1" applyAlignment="1">
      <alignment vertical="center"/>
    </xf>
    <xf numFmtId="9" fontId="30" fillId="5" borderId="1" xfId="0" applyNumberFormat="1" applyFont="1" applyFill="1" applyBorder="1" applyAlignment="1">
      <alignment horizontal="center"/>
    </xf>
    <xf numFmtId="164" fontId="29" fillId="2" borderId="4" xfId="0" applyNumberFormat="1" applyFont="1" applyFill="1" applyBorder="1" applyAlignment="1">
      <alignment horizontal="left"/>
    </xf>
    <xf numFmtId="164" fontId="29" fillId="2" borderId="11" xfId="0" applyNumberFormat="1" applyFont="1" applyFill="1" applyBorder="1" applyAlignment="1">
      <alignment horizontal="left"/>
    </xf>
    <xf numFmtId="164" fontId="29" fillId="2" borderId="3" xfId="0" applyNumberFormat="1" applyFont="1" applyFill="1" applyBorder="1" applyAlignment="1">
      <alignment horizontal="left"/>
    </xf>
    <xf numFmtId="0" fontId="28" fillId="5" borderId="9" xfId="0" applyFont="1" applyFill="1" applyBorder="1" applyAlignment="1">
      <alignment horizontal="center" vertical="center"/>
    </xf>
    <xf numFmtId="164" fontId="28" fillId="5" borderId="3" xfId="0" applyNumberFormat="1" applyFont="1" applyFill="1" applyBorder="1" applyAlignment="1">
      <alignment horizontal="right" vertical="center"/>
    </xf>
    <xf numFmtId="0" fontId="29" fillId="5" borderId="6" xfId="0" applyFont="1" applyFill="1" applyBorder="1"/>
    <xf numFmtId="0" fontId="28" fillId="5" borderId="2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left" vertical="center"/>
    </xf>
    <xf numFmtId="0" fontId="35" fillId="5" borderId="0" xfId="0" applyFont="1" applyFill="1" applyAlignment="1">
      <alignment horizontal="center"/>
    </xf>
    <xf numFmtId="9" fontId="28" fillId="5" borderId="2" xfId="0" applyNumberFormat="1" applyFont="1" applyFill="1" applyBorder="1" applyAlignment="1">
      <alignment horizontal="center" vertical="center" wrapText="1"/>
    </xf>
    <xf numFmtId="164" fontId="49" fillId="25" borderId="1" xfId="0" applyNumberFormat="1" applyFont="1" applyFill="1" applyBorder="1"/>
    <xf numFmtId="166" fontId="11" fillId="23" borderId="9" xfId="0" applyNumberFormat="1" applyFont="1" applyFill="1" applyBorder="1"/>
    <xf numFmtId="166" fontId="11" fillId="7" borderId="9" xfId="0" applyNumberFormat="1" applyFont="1" applyFill="1" applyBorder="1"/>
    <xf numFmtId="166" fontId="11" fillId="0" borderId="0" xfId="0" applyNumberFormat="1" applyFont="1"/>
    <xf numFmtId="0" fontId="11" fillId="14" borderId="13" xfId="0" applyFont="1" applyFill="1" applyBorder="1" applyAlignment="1">
      <alignment horizontal="center" wrapText="1"/>
    </xf>
    <xf numFmtId="0" fontId="11" fillId="14" borderId="14" xfId="0" applyFont="1" applyFill="1" applyBorder="1" applyAlignment="1">
      <alignment horizontal="center" wrapText="1"/>
    </xf>
    <xf numFmtId="0" fontId="33" fillId="5" borderId="1" xfId="0" applyFont="1" applyFill="1" applyBorder="1" applyAlignment="1">
      <alignment horizontal="center" wrapText="1"/>
    </xf>
    <xf numFmtId="14" fontId="34" fillId="5" borderId="6" xfId="0" applyNumberFormat="1" applyFont="1" applyFill="1" applyBorder="1" applyAlignment="1">
      <alignment horizontal="left"/>
    </xf>
    <xf numFmtId="0" fontId="33" fillId="5" borderId="1" xfId="0" applyFont="1" applyFill="1" applyBorder="1" applyAlignment="1">
      <alignment horizontal="left" wrapText="1"/>
    </xf>
    <xf numFmtId="169" fontId="33" fillId="5" borderId="1" xfId="0" applyNumberFormat="1" applyFont="1" applyFill="1" applyBorder="1" applyAlignment="1">
      <alignment horizontal="left" wrapText="1"/>
    </xf>
    <xf numFmtId="0" fontId="28" fillId="5" borderId="10" xfId="0" applyFont="1" applyFill="1" applyBorder="1" applyAlignment="1">
      <alignment horizontal="center" vertical="center"/>
    </xf>
    <xf numFmtId="0" fontId="27" fillId="5" borderId="10" xfId="0" applyFont="1" applyFill="1" applyBorder="1" applyAlignment="1">
      <alignment horizontal="center" vertical="center"/>
    </xf>
    <xf numFmtId="0" fontId="67" fillId="5" borderId="1" xfId="0" applyFont="1" applyFill="1" applyBorder="1"/>
    <xf numFmtId="9" fontId="68" fillId="2" borderId="1" xfId="0" applyNumberFormat="1" applyFont="1" applyFill="1" applyBorder="1" applyAlignment="1">
      <alignment horizontal="center"/>
    </xf>
    <xf numFmtId="9" fontId="25" fillId="5" borderId="4" xfId="0" applyNumberFormat="1" applyFont="1" applyFill="1" applyBorder="1" applyAlignment="1">
      <alignment horizontal="center" vertical="center"/>
    </xf>
    <xf numFmtId="0" fontId="28" fillId="7" borderId="9" xfId="0" applyFont="1" applyFill="1" applyBorder="1" applyAlignment="1">
      <alignment horizontal="center" vertical="center"/>
    </xf>
    <xf numFmtId="164" fontId="30" fillId="7" borderId="1" xfId="0" applyNumberFormat="1" applyFont="1" applyFill="1" applyBorder="1" applyAlignment="1">
      <alignment horizontal="center" vertical="center"/>
    </xf>
    <xf numFmtId="0" fontId="30" fillId="7" borderId="4" xfId="0" applyFont="1" applyFill="1" applyBorder="1" applyAlignment="1">
      <alignment horizontal="center" vertical="center"/>
    </xf>
    <xf numFmtId="9" fontId="28" fillId="2" borderId="6" xfId="0" applyNumberFormat="1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29" fillId="7" borderId="6" xfId="0" applyFont="1" applyFill="1" applyBorder="1"/>
    <xf numFmtId="0" fontId="31" fillId="28" borderId="5" xfId="0" applyFont="1" applyFill="1" applyBorder="1" applyAlignment="1">
      <alignment horizontal="left"/>
    </xf>
    <xf numFmtId="0" fontId="31" fillId="28" borderId="1" xfId="0" applyFont="1" applyFill="1" applyBorder="1" applyAlignment="1">
      <alignment horizontal="left"/>
    </xf>
    <xf numFmtId="0" fontId="38" fillId="7" borderId="6" xfId="0" applyFont="1" applyFill="1" applyBorder="1"/>
    <xf numFmtId="0" fontId="3" fillId="7" borderId="3" xfId="0" applyFont="1" applyFill="1" applyBorder="1" applyAlignment="1">
      <alignment horizontal="left" vertical="center" wrapText="1"/>
    </xf>
    <xf numFmtId="0" fontId="25" fillId="2" borderId="3" xfId="0" applyFont="1" applyFill="1" applyBorder="1" applyAlignment="1">
      <alignment horizontal="left" vertical="center"/>
    </xf>
    <xf numFmtId="0" fontId="54" fillId="7" borderId="1" xfId="0" applyFont="1" applyFill="1" applyBorder="1" applyAlignment="1">
      <alignment horizontal="left" vertical="center" wrapText="1"/>
    </xf>
    <xf numFmtId="167" fontId="54" fillId="7" borderId="1" xfId="0" applyNumberFormat="1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vertical="center"/>
    </xf>
    <xf numFmtId="164" fontId="28" fillId="2" borderId="4" xfId="0" applyNumberFormat="1" applyFont="1" applyFill="1" applyBorder="1" applyAlignment="1">
      <alignment horizontal="center" vertical="center"/>
    </xf>
    <xf numFmtId="0" fontId="38" fillId="7" borderId="6" xfId="0" applyFont="1" applyFill="1" applyBorder="1" applyAlignment="1">
      <alignment wrapText="1"/>
    </xf>
    <xf numFmtId="0" fontId="56" fillId="7" borderId="6" xfId="0" applyFont="1" applyFill="1" applyBorder="1"/>
    <xf numFmtId="0" fontId="25" fillId="7" borderId="1" xfId="0" applyFont="1" applyFill="1" applyBorder="1" applyAlignment="1">
      <alignment horizontal="left" vertical="center"/>
    </xf>
    <xf numFmtId="0" fontId="38" fillId="7" borderId="1" xfId="0" applyFont="1" applyFill="1" applyBorder="1" applyAlignment="1">
      <alignment wrapText="1"/>
    </xf>
    <xf numFmtId="0" fontId="12" fillId="5" borderId="4" xfId="0" applyFont="1" applyFill="1" applyBorder="1" applyAlignment="1">
      <alignment vertical="center"/>
    </xf>
    <xf numFmtId="164" fontId="49" fillId="5" borderId="1" xfId="0" applyNumberFormat="1" applyFont="1" applyFill="1" applyBorder="1" applyAlignment="1">
      <alignment horizontal="right" vertical="center"/>
    </xf>
    <xf numFmtId="167" fontId="28" fillId="5" borderId="1" xfId="0" applyNumberFormat="1" applyFont="1" applyFill="1" applyBorder="1" applyAlignment="1">
      <alignment horizontal="left" vertical="center" wrapText="1"/>
    </xf>
    <xf numFmtId="164" fontId="28" fillId="23" borderId="3" xfId="0" applyNumberFormat="1" applyFont="1" applyFill="1" applyBorder="1" applyAlignment="1">
      <alignment horizontal="right" vertical="center"/>
    </xf>
    <xf numFmtId="0" fontId="19" fillId="5" borderId="1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19" fillId="5" borderId="3" xfId="0" applyFont="1" applyFill="1" applyBorder="1"/>
    <xf numFmtId="0" fontId="24" fillId="5" borderId="4" xfId="0" applyFont="1" applyFill="1" applyBorder="1" applyAlignment="1">
      <alignment vertical="center"/>
    </xf>
    <xf numFmtId="0" fontId="28" fillId="5" borderId="14" xfId="0" applyFont="1" applyFill="1" applyBorder="1" applyAlignment="1">
      <alignment horizontal="center" vertical="center"/>
    </xf>
    <xf numFmtId="9" fontId="28" fillId="5" borderId="4" xfId="0" applyNumberFormat="1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left" vertical="center"/>
    </xf>
    <xf numFmtId="9" fontId="11" fillId="5" borderId="10" xfId="0" applyNumberFormat="1" applyFont="1" applyFill="1" applyBorder="1" applyAlignment="1">
      <alignment horizontal="center"/>
    </xf>
    <xf numFmtId="164" fontId="11" fillId="5" borderId="3" xfId="0" applyNumberFormat="1" applyFont="1" applyFill="1" applyBorder="1" applyAlignment="1">
      <alignment horizontal="right"/>
    </xf>
    <xf numFmtId="0" fontId="18" fillId="5" borderId="1" xfId="0" applyFont="1" applyFill="1" applyBorder="1"/>
    <xf numFmtId="9" fontId="29" fillId="5" borderId="1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164" fontId="61" fillId="5" borderId="1" xfId="0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164" fontId="72" fillId="0" borderId="1" xfId="0" applyNumberFormat="1" applyFont="1" applyBorder="1"/>
    <xf numFmtId="0" fontId="69" fillId="16" borderId="1" xfId="0" applyFont="1" applyFill="1" applyBorder="1"/>
    <xf numFmtId="164" fontId="69" fillId="16" borderId="1" xfId="0" applyNumberFormat="1" applyFont="1" applyFill="1" applyBorder="1"/>
    <xf numFmtId="164" fontId="49" fillId="5" borderId="1" xfId="0" applyNumberFormat="1" applyFont="1" applyFill="1" applyBorder="1" applyAlignment="1">
      <alignment vertical="center"/>
    </xf>
    <xf numFmtId="0" fontId="73" fillId="5" borderId="1" xfId="0" applyFont="1" applyFill="1" applyBorder="1"/>
    <xf numFmtId="165" fontId="10" fillId="5" borderId="1" xfId="0" applyNumberFormat="1" applyFont="1" applyFill="1" applyBorder="1" applyAlignment="1">
      <alignment horizontal="center"/>
    </xf>
    <xf numFmtId="0" fontId="24" fillId="16" borderId="1" xfId="0" applyFont="1" applyFill="1" applyBorder="1"/>
    <xf numFmtId="0" fontId="24" fillId="16" borderId="4" xfId="0" applyFont="1" applyFill="1" applyBorder="1"/>
    <xf numFmtId="165" fontId="69" fillId="16" borderId="1" xfId="0" applyNumberFormat="1" applyFont="1" applyFill="1" applyBorder="1"/>
    <xf numFmtId="0" fontId="10" fillId="5" borderId="1" xfId="0" applyFont="1" applyFill="1" applyBorder="1"/>
    <xf numFmtId="164" fontId="49" fillId="5" borderId="4" xfId="0" applyNumberFormat="1" applyFont="1" applyFill="1" applyBorder="1" applyAlignment="1">
      <alignment horizontal="center" vertical="center"/>
    </xf>
    <xf numFmtId="9" fontId="49" fillId="5" borderId="1" xfId="0" applyNumberFormat="1" applyFont="1" applyFill="1" applyBorder="1" applyAlignment="1">
      <alignment horizontal="center" vertical="center"/>
    </xf>
    <xf numFmtId="164" fontId="71" fillId="16" borderId="4" xfId="0" applyNumberFormat="1" applyFont="1" applyFill="1" applyBorder="1"/>
    <xf numFmtId="0" fontId="71" fillId="16" borderId="1" xfId="0" applyFont="1" applyFill="1" applyBorder="1"/>
    <xf numFmtId="164" fontId="70" fillId="16" borderId="1" xfId="0" applyNumberFormat="1" applyFont="1" applyFill="1" applyBorder="1" applyAlignment="1">
      <alignment horizontal="right"/>
    </xf>
    <xf numFmtId="9" fontId="0" fillId="16" borderId="1" xfId="0" applyNumberFormat="1" applyFill="1" applyBorder="1" applyAlignment="1">
      <alignment horizontal="center"/>
    </xf>
    <xf numFmtId="164" fontId="71" fillId="16" borderId="1" xfId="0" applyNumberFormat="1" applyFont="1" applyFill="1" applyBorder="1" applyAlignment="1">
      <alignment horizontal="right" vertical="center"/>
    </xf>
    <xf numFmtId="9" fontId="72" fillId="16" borderId="1" xfId="0" applyNumberFormat="1" applyFont="1" applyFill="1" applyBorder="1" applyAlignment="1">
      <alignment horizontal="center"/>
    </xf>
    <xf numFmtId="164" fontId="72" fillId="16" borderId="1" xfId="0" applyNumberFormat="1" applyFont="1" applyFill="1" applyBorder="1"/>
    <xf numFmtId="0" fontId="24" fillId="16" borderId="1" xfId="0" applyFont="1" applyFill="1" applyBorder="1" applyAlignment="1">
      <alignment horizontal="right"/>
    </xf>
    <xf numFmtId="9" fontId="30" fillId="2" borderId="10" xfId="0" applyNumberFormat="1" applyFont="1" applyFill="1" applyBorder="1" applyAlignment="1">
      <alignment horizontal="center"/>
    </xf>
    <xf numFmtId="165" fontId="69" fillId="5" borderId="1" xfId="0" applyNumberFormat="1" applyFont="1" applyFill="1" applyBorder="1"/>
    <xf numFmtId="3" fontId="69" fillId="17" borderId="0" xfId="0" applyNumberFormat="1" applyFont="1" applyFill="1"/>
    <xf numFmtId="3" fontId="19" fillId="17" borderId="0" xfId="0" applyNumberFormat="1" applyFont="1" applyFill="1"/>
    <xf numFmtId="0" fontId="69" fillId="5" borderId="3" xfId="0" applyFont="1" applyFill="1" applyBorder="1" applyAlignment="1">
      <alignment horizontal="left"/>
    </xf>
    <xf numFmtId="3" fontId="74" fillId="17" borderId="0" xfId="0" applyNumberFormat="1" applyFont="1" applyFill="1"/>
    <xf numFmtId="9" fontId="29" fillId="7" borderId="1" xfId="0" applyNumberFormat="1" applyFont="1" applyFill="1" applyBorder="1" applyAlignment="1">
      <alignment horizontal="center" vertical="center"/>
    </xf>
    <xf numFmtId="0" fontId="38" fillId="7" borderId="1" xfId="0" applyFont="1" applyFill="1" applyBorder="1"/>
    <xf numFmtId="167" fontId="3" fillId="12" borderId="1" xfId="0" applyNumberFormat="1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/>
    </xf>
    <xf numFmtId="167" fontId="3" fillId="12" borderId="14" xfId="0" applyNumberFormat="1" applyFont="1" applyFill="1" applyBorder="1" applyAlignment="1">
      <alignment horizontal="center" vertical="center"/>
    </xf>
    <xf numFmtId="164" fontId="29" fillId="2" borderId="4" xfId="0" applyNumberFormat="1" applyFont="1" applyFill="1" applyBorder="1"/>
    <xf numFmtId="164" fontId="29" fillId="7" borderId="4" xfId="0" applyNumberFormat="1" applyFont="1" applyFill="1" applyBorder="1"/>
    <xf numFmtId="164" fontId="29" fillId="5" borderId="4" xfId="0" applyNumberFormat="1" applyFont="1" applyFill="1" applyBorder="1"/>
    <xf numFmtId="164" fontId="28" fillId="7" borderId="4" xfId="0" applyNumberFormat="1" applyFont="1" applyFill="1" applyBorder="1"/>
    <xf numFmtId="164" fontId="28" fillId="5" borderId="4" xfId="0" applyNumberFormat="1" applyFont="1" applyFill="1" applyBorder="1"/>
    <xf numFmtId="0" fontId="28" fillId="7" borderId="2" xfId="0" applyFont="1" applyFill="1" applyBorder="1" applyAlignment="1">
      <alignment horizontal="left" vertical="center"/>
    </xf>
    <xf numFmtId="0" fontId="29" fillId="2" borderId="9" xfId="0" applyFont="1" applyFill="1" applyBorder="1"/>
    <xf numFmtId="164" fontId="28" fillId="7" borderId="3" xfId="0" applyNumberFormat="1" applyFont="1" applyFill="1" applyBorder="1" applyAlignment="1">
      <alignment horizontal="right" vertical="center"/>
    </xf>
    <xf numFmtId="0" fontId="34" fillId="26" borderId="1" xfId="0" applyFont="1" applyFill="1" applyBorder="1" applyAlignment="1">
      <alignment horizontal="center"/>
    </xf>
    <xf numFmtId="0" fontId="28" fillId="2" borderId="9" xfId="0" applyFont="1" applyFill="1" applyBorder="1" applyAlignment="1">
      <alignment horizontal="center"/>
    </xf>
    <xf numFmtId="164" fontId="53" fillId="0" borderId="1" xfId="0" applyNumberFormat="1" applyFont="1" applyBorder="1" applyAlignment="1">
      <alignment horizontal="center"/>
    </xf>
    <xf numFmtId="0" fontId="28" fillId="5" borderId="4" xfId="0" applyFont="1" applyFill="1" applyBorder="1" applyAlignment="1">
      <alignment horizontal="center" wrapText="1"/>
    </xf>
    <xf numFmtId="9" fontId="28" fillId="5" borderId="4" xfId="0" applyNumberFormat="1" applyFont="1" applyFill="1" applyBorder="1" applyAlignment="1">
      <alignment horizontal="center" vertical="center" wrapText="1"/>
    </xf>
    <xf numFmtId="164" fontId="29" fillId="5" borderId="1" xfId="0" applyNumberFormat="1" applyFont="1" applyFill="1" applyBorder="1" applyAlignment="1">
      <alignment horizontal="center"/>
    </xf>
    <xf numFmtId="0" fontId="29" fillId="5" borderId="4" xfId="0" applyFont="1" applyFill="1" applyBorder="1"/>
    <xf numFmtId="165" fontId="72" fillId="16" borderId="1" xfId="0" applyNumberFormat="1" applyFont="1" applyFill="1" applyBorder="1"/>
    <xf numFmtId="164" fontId="71" fillId="5" borderId="1" xfId="0" applyNumberFormat="1" applyFont="1" applyFill="1" applyBorder="1" applyAlignment="1">
      <alignment vertical="center"/>
    </xf>
    <xf numFmtId="0" fontId="76" fillId="5" borderId="1" xfId="0" applyFont="1" applyFill="1" applyBorder="1"/>
    <xf numFmtId="165" fontId="70" fillId="5" borderId="1" xfId="0" applyNumberFormat="1" applyFont="1" applyFill="1" applyBorder="1" applyAlignment="1">
      <alignment horizontal="center"/>
    </xf>
    <xf numFmtId="9" fontId="12" fillId="5" borderId="4" xfId="0" applyNumberFormat="1" applyFont="1" applyFill="1" applyBorder="1" applyAlignment="1">
      <alignment horizontal="center" vertical="center"/>
    </xf>
    <xf numFmtId="164" fontId="53" fillId="5" borderId="1" xfId="0" applyNumberFormat="1" applyFont="1" applyFill="1" applyBorder="1"/>
    <xf numFmtId="0" fontId="71" fillId="16" borderId="4" xfId="0" applyFont="1" applyFill="1" applyBorder="1"/>
    <xf numFmtId="164" fontId="28" fillId="2" borderId="11" xfId="0" applyNumberFormat="1" applyFont="1" applyFill="1" applyBorder="1" applyAlignment="1">
      <alignment horizontal="center" vertical="center"/>
    </xf>
    <xf numFmtId="164" fontId="71" fillId="16" borderId="4" xfId="0" applyNumberFormat="1" applyFont="1" applyFill="1" applyBorder="1" applyAlignment="1">
      <alignment horizontal="center" vertical="center"/>
    </xf>
    <xf numFmtId="0" fontId="72" fillId="16" borderId="1" xfId="0" applyFont="1" applyFill="1" applyBorder="1"/>
    <xf numFmtId="0" fontId="72" fillId="16" borderId="1" xfId="0" applyFont="1" applyFill="1" applyBorder="1" applyAlignment="1">
      <alignment horizontal="center"/>
    </xf>
    <xf numFmtId="9" fontId="71" fillId="16" borderId="1" xfId="0" applyNumberFormat="1" applyFont="1" applyFill="1" applyBorder="1" applyAlignment="1">
      <alignment horizontal="center"/>
    </xf>
    <xf numFmtId="0" fontId="71" fillId="5" borderId="1" xfId="0" applyFont="1" applyFill="1" applyBorder="1" applyAlignment="1">
      <alignment horizontal="left" vertical="center"/>
    </xf>
    <xf numFmtId="9" fontId="29" fillId="16" borderId="1" xfId="0" applyNumberFormat="1" applyFont="1" applyFill="1" applyBorder="1" applyAlignment="1">
      <alignment horizontal="center"/>
    </xf>
    <xf numFmtId="164" fontId="72" fillId="16" borderId="4" xfId="0" applyNumberFormat="1" applyFont="1" applyFill="1" applyBorder="1"/>
    <xf numFmtId="164" fontId="49" fillId="16" borderId="1" xfId="0" applyNumberFormat="1" applyFont="1" applyFill="1" applyBorder="1"/>
    <xf numFmtId="164" fontId="72" fillId="0" borderId="1" xfId="0" applyNumberFormat="1" applyFont="1" applyBorder="1" applyAlignment="1">
      <alignment horizontal="center"/>
    </xf>
    <xf numFmtId="164" fontId="72" fillId="17" borderId="1" xfId="0" applyNumberFormat="1" applyFont="1" applyFill="1" applyBorder="1"/>
    <xf numFmtId="9" fontId="29" fillId="18" borderId="1" xfId="0" applyNumberFormat="1" applyFont="1" applyFill="1" applyBorder="1" applyAlignment="1">
      <alignment horizontal="center"/>
    </xf>
    <xf numFmtId="164" fontId="29" fillId="18" borderId="4" xfId="0" applyNumberFormat="1" applyFont="1" applyFill="1" applyBorder="1"/>
    <xf numFmtId="0" fontId="3" fillId="2" borderId="4" xfId="0" applyFont="1" applyFill="1" applyBorder="1" applyAlignment="1">
      <alignment horizontal="left" vertical="center"/>
    </xf>
    <xf numFmtId="9" fontId="28" fillId="7" borderId="4" xfId="0" applyNumberFormat="1" applyFont="1" applyFill="1" applyBorder="1" applyAlignment="1">
      <alignment horizontal="center" vertical="center" wrapText="1"/>
    </xf>
    <xf numFmtId="0" fontId="28" fillId="7" borderId="4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54" fillId="7" borderId="4" xfId="0" applyFont="1" applyFill="1" applyBorder="1" applyAlignment="1">
      <alignment horizontal="left" vertical="center" wrapText="1"/>
    </xf>
    <xf numFmtId="14" fontId="34" fillId="25" borderId="2" xfId="0" applyNumberFormat="1" applyFont="1" applyFill="1" applyBorder="1" applyAlignment="1">
      <alignment horizontal="right"/>
    </xf>
    <xf numFmtId="14" fontId="31" fillId="5" borderId="1" xfId="0" applyNumberFormat="1" applyFont="1" applyFill="1" applyBorder="1" applyAlignment="1">
      <alignment horizontal="right" vertical="top"/>
    </xf>
    <xf numFmtId="14" fontId="31" fillId="5" borderId="2" xfId="0" applyNumberFormat="1" applyFont="1" applyFill="1" applyBorder="1" applyAlignment="1">
      <alignment horizontal="right"/>
    </xf>
    <xf numFmtId="14" fontId="31" fillId="5" borderId="8" xfId="0" applyNumberFormat="1" applyFont="1" applyFill="1" applyBorder="1" applyAlignment="1">
      <alignment horizontal="right"/>
    </xf>
    <xf numFmtId="0" fontId="11" fillId="14" borderId="1" xfId="0" applyFont="1" applyFill="1" applyBorder="1" applyAlignment="1">
      <alignment horizontal="right" wrapText="1"/>
    </xf>
    <xf numFmtId="14" fontId="34" fillId="25" borderId="8" xfId="0" applyNumberFormat="1" applyFont="1" applyFill="1" applyBorder="1" applyAlignment="1">
      <alignment horizontal="right"/>
    </xf>
    <xf numFmtId="14" fontId="31" fillId="0" borderId="6" xfId="0" applyNumberFormat="1" applyFont="1" applyBorder="1" applyAlignment="1">
      <alignment horizontal="right"/>
    </xf>
    <xf numFmtId="0" fontId="11" fillId="14" borderId="2" xfId="0" applyFont="1" applyFill="1" applyBorder="1" applyAlignment="1">
      <alignment horizontal="right" wrapText="1"/>
    </xf>
    <xf numFmtId="14" fontId="34" fillId="25" borderId="1" xfId="0" applyNumberFormat="1" applyFont="1" applyFill="1" applyBorder="1" applyAlignment="1">
      <alignment horizontal="right"/>
    </xf>
    <xf numFmtId="14" fontId="34" fillId="5" borderId="8" xfId="0" applyNumberFormat="1" applyFont="1" applyFill="1" applyBorder="1" applyAlignment="1">
      <alignment horizontal="right"/>
    </xf>
    <xf numFmtId="14" fontId="31" fillId="28" borderId="1" xfId="0" applyNumberFormat="1" applyFont="1" applyFill="1" applyBorder="1" applyAlignment="1">
      <alignment horizontal="right"/>
    </xf>
    <xf numFmtId="9" fontId="28" fillId="2" borderId="10" xfId="0" applyNumberFormat="1" applyFont="1" applyFill="1" applyBorder="1" applyAlignment="1">
      <alignment horizontal="center"/>
    </xf>
    <xf numFmtId="0" fontId="55" fillId="2" borderId="11" xfId="0" applyFont="1" applyFill="1" applyBorder="1" applyAlignment="1">
      <alignment horizontal="left" vertical="center"/>
    </xf>
    <xf numFmtId="0" fontId="3" fillId="7" borderId="11" xfId="0" applyFont="1" applyFill="1" applyBorder="1" applyAlignment="1">
      <alignment horizontal="left" vertical="center"/>
    </xf>
    <xf numFmtId="0" fontId="28" fillId="7" borderId="7" xfId="0" applyFont="1" applyFill="1" applyBorder="1" applyAlignment="1">
      <alignment horizontal="center" vertical="center"/>
    </xf>
    <xf numFmtId="14" fontId="34" fillId="25" borderId="12" xfId="0" applyNumberFormat="1" applyFont="1" applyFill="1" applyBorder="1" applyAlignment="1">
      <alignment horizontal="right"/>
    </xf>
    <xf numFmtId="0" fontId="75" fillId="7" borderId="0" xfId="0" applyFont="1" applyFill="1"/>
    <xf numFmtId="9" fontId="30" fillId="2" borderId="4" xfId="0" applyNumberFormat="1" applyFont="1" applyFill="1" applyBorder="1" applyAlignment="1">
      <alignment horizontal="center" vertical="center" wrapText="1"/>
    </xf>
    <xf numFmtId="167" fontId="54" fillId="7" borderId="1" xfId="0" applyNumberFormat="1" applyFont="1" applyFill="1" applyBorder="1" applyAlignment="1">
      <alignment horizontal="left" vertical="center" wrapText="1"/>
    </xf>
    <xf numFmtId="0" fontId="38" fillId="7" borderId="9" xfId="0" applyFont="1" applyFill="1" applyBorder="1"/>
    <xf numFmtId="0" fontId="3" fillId="7" borderId="4" xfId="0" applyFont="1" applyFill="1" applyBorder="1" applyAlignment="1">
      <alignment horizontal="left" vertical="center"/>
    </xf>
    <xf numFmtId="164" fontId="29" fillId="7" borderId="1" xfId="0" applyNumberFormat="1" applyFont="1" applyFill="1" applyBorder="1" applyAlignment="1">
      <alignment horizontal="center"/>
    </xf>
    <xf numFmtId="0" fontId="38" fillId="7" borderId="4" xfId="0" applyFont="1" applyFill="1" applyBorder="1"/>
    <xf numFmtId="0" fontId="54" fillId="7" borderId="12" xfId="0" applyFont="1" applyFill="1" applyBorder="1" applyAlignment="1">
      <alignment horizontal="left" vertical="center" wrapText="1"/>
    </xf>
    <xf numFmtId="0" fontId="29" fillId="7" borderId="4" xfId="0" applyFont="1" applyFill="1" applyBorder="1"/>
    <xf numFmtId="0" fontId="71" fillId="5" borderId="4" xfId="0" applyFont="1" applyFill="1" applyBorder="1" applyAlignment="1">
      <alignment vertical="center"/>
    </xf>
    <xf numFmtId="164" fontId="28" fillId="16" borderId="1" xfId="0" applyNumberFormat="1" applyFont="1" applyFill="1" applyBorder="1" applyAlignment="1">
      <alignment horizontal="right" vertical="center"/>
    </xf>
    <xf numFmtId="9" fontId="28" fillId="16" borderId="1" xfId="0" applyNumberFormat="1" applyFont="1" applyFill="1" applyBorder="1" applyAlignment="1">
      <alignment horizontal="center"/>
    </xf>
    <xf numFmtId="164" fontId="49" fillId="16" borderId="4" xfId="0" applyNumberFormat="1" applyFont="1" applyFill="1" applyBorder="1"/>
    <xf numFmtId="0" fontId="75" fillId="5" borderId="0" xfId="0" applyFont="1" applyFill="1"/>
    <xf numFmtId="167" fontId="28" fillId="5" borderId="4" xfId="0" applyNumberFormat="1" applyFont="1" applyFill="1" applyBorder="1" applyAlignment="1">
      <alignment horizontal="center" vertical="center" wrapText="1"/>
    </xf>
    <xf numFmtId="0" fontId="64" fillId="5" borderId="1" xfId="0" applyFont="1" applyFill="1" applyBorder="1"/>
    <xf numFmtId="0" fontId="0" fillId="0" borderId="4" xfId="0" applyBorder="1"/>
    <xf numFmtId="0" fontId="56" fillId="16" borderId="1" xfId="0" applyFont="1" applyFill="1" applyBorder="1"/>
    <xf numFmtId="0" fontId="3" fillId="7" borderId="11" xfId="0" applyFont="1" applyFill="1" applyBorder="1" applyAlignment="1">
      <alignment horizontal="left" vertical="center" wrapText="1"/>
    </xf>
    <xf numFmtId="0" fontId="55" fillId="5" borderId="11" xfId="0" applyFont="1" applyFill="1" applyBorder="1" applyAlignment="1">
      <alignment horizontal="left" vertical="center"/>
    </xf>
    <xf numFmtId="0" fontId="25" fillId="5" borderId="11" xfId="0" applyFont="1" applyFill="1" applyBorder="1" applyAlignment="1">
      <alignment horizontal="left" vertical="center"/>
    </xf>
    <xf numFmtId="0" fontId="0" fillId="5" borderId="2" xfId="0" applyFill="1" applyBorder="1"/>
    <xf numFmtId="0" fontId="3" fillId="5" borderId="11" xfId="0" applyFont="1" applyFill="1" applyBorder="1" applyAlignment="1">
      <alignment horizontal="left" vertical="center" wrapText="1"/>
    </xf>
    <xf numFmtId="0" fontId="72" fillId="5" borderId="1" xfId="0" applyFont="1" applyFill="1" applyBorder="1"/>
    <xf numFmtId="0" fontId="3" fillId="5" borderId="4" xfId="0" applyFont="1" applyFill="1" applyBorder="1" applyAlignment="1">
      <alignment horizontal="left" vertical="center"/>
    </xf>
    <xf numFmtId="0" fontId="28" fillId="5" borderId="4" xfId="0" applyFont="1" applyFill="1" applyBorder="1" applyAlignment="1">
      <alignment horizontal="left" vertical="center"/>
    </xf>
    <xf numFmtId="0" fontId="38" fillId="5" borderId="4" xfId="0" applyFont="1" applyFill="1" applyBorder="1"/>
    <xf numFmtId="164" fontId="53" fillId="5" borderId="1" xfId="0" applyNumberFormat="1" applyFont="1" applyFill="1" applyBorder="1" applyAlignment="1">
      <alignment horizontal="center"/>
    </xf>
    <xf numFmtId="0" fontId="0" fillId="5" borderId="4" xfId="0" applyFill="1" applyBorder="1"/>
    <xf numFmtId="0" fontId="78" fillId="0" borderId="1" xfId="0" applyFont="1" applyBorder="1"/>
    <xf numFmtId="0" fontId="70" fillId="5" borderId="1" xfId="0" applyFont="1" applyFill="1" applyBorder="1"/>
    <xf numFmtId="0" fontId="79" fillId="0" borderId="1" xfId="0" applyFont="1" applyBorder="1"/>
    <xf numFmtId="0" fontId="80" fillId="0" borderId="1" xfId="0" applyFont="1" applyBorder="1"/>
    <xf numFmtId="0" fontId="81" fillId="0" borderId="1" xfId="0" applyFont="1" applyBorder="1"/>
    <xf numFmtId="164" fontId="49" fillId="16" borderId="1" xfId="0" applyNumberFormat="1" applyFont="1" applyFill="1" applyBorder="1" applyAlignment="1">
      <alignment horizontal="right" vertical="center"/>
    </xf>
    <xf numFmtId="9" fontId="77" fillId="16" borderId="1" xfId="0" applyNumberFormat="1" applyFont="1" applyFill="1" applyBorder="1" applyAlignment="1">
      <alignment horizontal="center"/>
    </xf>
    <xf numFmtId="164" fontId="70" fillId="16" borderId="4" xfId="0" applyNumberFormat="1" applyFont="1" applyFill="1" applyBorder="1" applyAlignment="1">
      <alignment horizontal="right"/>
    </xf>
    <xf numFmtId="0" fontId="28" fillId="0" borderId="4" xfId="0" applyFont="1" applyBorder="1" applyAlignment="1">
      <alignment horizontal="left" vertical="center"/>
    </xf>
    <xf numFmtId="0" fontId="42" fillId="5" borderId="4" xfId="0" applyFont="1" applyFill="1" applyBorder="1" applyAlignment="1">
      <alignment horizontal="center"/>
    </xf>
    <xf numFmtId="0" fontId="28" fillId="5" borderId="11" xfId="0" applyFont="1" applyFill="1" applyBorder="1" applyAlignment="1">
      <alignment horizontal="center" wrapText="1"/>
    </xf>
    <xf numFmtId="0" fontId="42" fillId="5" borderId="3" xfId="0" applyFont="1" applyFill="1" applyBorder="1" applyAlignment="1">
      <alignment horizontal="center"/>
    </xf>
    <xf numFmtId="164" fontId="70" fillId="2" borderId="1" xfId="0" applyNumberFormat="1" applyFont="1" applyFill="1" applyBorder="1" applyAlignment="1">
      <alignment horizontal="right"/>
    </xf>
    <xf numFmtId="0" fontId="3" fillId="5" borderId="12" xfId="0" applyFont="1" applyFill="1" applyBorder="1" applyAlignment="1">
      <alignment vertical="center"/>
    </xf>
    <xf numFmtId="0" fontId="55" fillId="2" borderId="12" xfId="0" applyFont="1" applyFill="1" applyBorder="1" applyAlignment="1">
      <alignment horizontal="left" vertical="center"/>
    </xf>
    <xf numFmtId="0" fontId="28" fillId="5" borderId="1" xfId="0" applyFont="1" applyFill="1" applyBorder="1" applyAlignment="1">
      <alignment vertical="center"/>
    </xf>
    <xf numFmtId="164" fontId="49" fillId="5" borderId="4" xfId="0" applyNumberFormat="1" applyFont="1" applyFill="1" applyBorder="1"/>
    <xf numFmtId="0" fontId="60" fillId="5" borderId="0" xfId="0" applyFont="1" applyFill="1" applyAlignment="1">
      <alignment horizontal="center" vertical="center"/>
    </xf>
    <xf numFmtId="164" fontId="53" fillId="5" borderId="0" xfId="0" applyNumberFormat="1" applyFont="1" applyFill="1"/>
    <xf numFmtId="164" fontId="53" fillId="5" borderId="0" xfId="0" applyNumberFormat="1" applyFont="1" applyFill="1" applyAlignment="1">
      <alignment horizontal="center"/>
    </xf>
    <xf numFmtId="0" fontId="72" fillId="5" borderId="0" xfId="0" applyFont="1" applyFill="1"/>
    <xf numFmtId="0" fontId="56" fillId="5" borderId="0" xfId="0" applyFont="1" applyFill="1"/>
    <xf numFmtId="164" fontId="72" fillId="5" borderId="0" xfId="0" applyNumberFormat="1" applyFont="1" applyFill="1"/>
    <xf numFmtId="0" fontId="3" fillId="7" borderId="4" xfId="0" applyFont="1" applyFill="1" applyBorder="1" applyAlignment="1">
      <alignment horizontal="left" vertical="center" wrapText="1"/>
    </xf>
    <xf numFmtId="164" fontId="49" fillId="16" borderId="1" xfId="0" applyNumberFormat="1" applyFont="1" applyFill="1" applyBorder="1" applyAlignment="1">
      <alignment vertical="center"/>
    </xf>
    <xf numFmtId="0" fontId="73" fillId="16" borderId="1" xfId="0" applyFont="1" applyFill="1" applyBorder="1"/>
    <xf numFmtId="165" fontId="10" fillId="16" borderId="1" xfId="0" applyNumberFormat="1" applyFont="1" applyFill="1" applyBorder="1" applyAlignment="1">
      <alignment horizontal="center"/>
    </xf>
    <xf numFmtId="0" fontId="82" fillId="5" borderId="1" xfId="0" applyFont="1" applyFill="1" applyBorder="1"/>
    <xf numFmtId="43" fontId="28" fillId="2" borderId="1" xfId="0" applyNumberFormat="1" applyFont="1" applyFill="1" applyBorder="1" applyAlignment="1">
      <alignment horizontal="center" vertical="center"/>
    </xf>
    <xf numFmtId="43" fontId="28" fillId="2" borderId="1" xfId="0" applyNumberFormat="1" applyFont="1" applyFill="1" applyBorder="1" applyAlignment="1">
      <alignment horizontal="left" vertical="center"/>
    </xf>
    <xf numFmtId="43" fontId="28" fillId="2" borderId="4" xfId="0" applyNumberFormat="1" applyFont="1" applyFill="1" applyBorder="1" applyAlignment="1">
      <alignment horizontal="center" vertical="center"/>
    </xf>
    <xf numFmtId="43" fontId="55" fillId="2" borderId="1" xfId="0" applyNumberFormat="1" applyFont="1" applyFill="1" applyBorder="1" applyAlignment="1">
      <alignment horizontal="left" vertical="center"/>
    </xf>
    <xf numFmtId="43" fontId="28" fillId="5" borderId="1" xfId="0" applyNumberFormat="1" applyFont="1" applyFill="1" applyBorder="1" applyAlignment="1">
      <alignment horizontal="center" vertical="center"/>
    </xf>
    <xf numFmtId="43" fontId="0" fillId="5" borderId="1" xfId="0" applyNumberFormat="1" applyFill="1" applyBorder="1"/>
    <xf numFmtId="43" fontId="0" fillId="0" borderId="0" xfId="0" applyNumberFormat="1"/>
    <xf numFmtId="43" fontId="29" fillId="2" borderId="1" xfId="0" applyNumberFormat="1" applyFont="1" applyFill="1" applyBorder="1"/>
    <xf numFmtId="43" fontId="0" fillId="5" borderId="3" xfId="0" applyNumberFormat="1" applyFill="1" applyBorder="1"/>
    <xf numFmtId="43" fontId="28" fillId="2" borderId="3" xfId="0" applyNumberFormat="1" applyFont="1" applyFill="1" applyBorder="1" applyAlignment="1">
      <alignment horizontal="center" vertical="center"/>
    </xf>
    <xf numFmtId="43" fontId="0" fillId="5" borderId="11" xfId="0" applyNumberFormat="1" applyFill="1" applyBorder="1"/>
    <xf numFmtId="43" fontId="28" fillId="7" borderId="4" xfId="0" applyNumberFormat="1" applyFont="1" applyFill="1" applyBorder="1" applyAlignment="1">
      <alignment horizontal="center" vertical="center"/>
    </xf>
    <xf numFmtId="43" fontId="28" fillId="7" borderId="4" xfId="0" applyNumberFormat="1" applyFont="1" applyFill="1" applyBorder="1" applyAlignment="1">
      <alignment horizontal="center" vertical="center" wrapText="1"/>
    </xf>
    <xf numFmtId="43" fontId="29" fillId="7" borderId="1" xfId="0" applyNumberFormat="1" applyFont="1" applyFill="1" applyBorder="1"/>
    <xf numFmtId="43" fontId="28" fillId="7" borderId="3" xfId="0" applyNumberFormat="1" applyFont="1" applyFill="1" applyBorder="1" applyAlignment="1">
      <alignment horizontal="right" vertical="center"/>
    </xf>
    <xf numFmtId="43" fontId="28" fillId="7" borderId="1" xfId="0" applyNumberFormat="1" applyFont="1" applyFill="1" applyBorder="1" applyAlignment="1">
      <alignment horizontal="center"/>
    </xf>
    <xf numFmtId="43" fontId="28" fillId="7" borderId="1" xfId="0" applyNumberFormat="1" applyFont="1" applyFill="1" applyBorder="1" applyAlignment="1">
      <alignment horizontal="center" vertical="center"/>
    </xf>
    <xf numFmtId="43" fontId="3" fillId="7" borderId="1" xfId="0" applyNumberFormat="1" applyFont="1" applyFill="1" applyBorder="1" applyAlignment="1">
      <alignment horizontal="left" vertical="center"/>
    </xf>
    <xf numFmtId="43" fontId="28" fillId="5" borderId="4" xfId="0" applyNumberFormat="1" applyFont="1" applyFill="1" applyBorder="1" applyAlignment="1">
      <alignment horizontal="center" vertical="center" wrapText="1"/>
    </xf>
    <xf numFmtId="43" fontId="28" fillId="5" borderId="3" xfId="0" applyNumberFormat="1" applyFont="1" applyFill="1" applyBorder="1" applyAlignment="1">
      <alignment horizontal="right" vertical="center"/>
    </xf>
    <xf numFmtId="43" fontId="29" fillId="5" borderId="1" xfId="0" applyNumberFormat="1" applyFont="1" applyFill="1" applyBorder="1" applyAlignment="1">
      <alignment horizontal="center"/>
    </xf>
    <xf numFmtId="43" fontId="28" fillId="5" borderId="6" xfId="0" applyNumberFormat="1" applyFont="1" applyFill="1" applyBorder="1" applyAlignment="1">
      <alignment horizontal="left" vertical="center"/>
    </xf>
    <xf numFmtId="43" fontId="54" fillId="5" borderId="4" xfId="0" applyNumberFormat="1" applyFont="1" applyFill="1" applyBorder="1" applyAlignment="1">
      <alignment horizontal="left" vertical="center" wrapText="1"/>
    </xf>
    <xf numFmtId="43" fontId="11" fillId="5" borderId="1" xfId="0" applyNumberFormat="1" applyFont="1" applyFill="1" applyBorder="1" applyAlignment="1">
      <alignment horizontal="center"/>
    </xf>
    <xf numFmtId="43" fontId="11" fillId="5" borderId="1" xfId="0" applyNumberFormat="1" applyFont="1" applyFill="1" applyBorder="1"/>
    <xf numFmtId="43" fontId="29" fillId="7" borderId="1" xfId="0" applyNumberFormat="1" applyFont="1" applyFill="1" applyBorder="1" applyAlignment="1">
      <alignment horizontal="center"/>
    </xf>
    <xf numFmtId="43" fontId="28" fillId="7" borderId="6" xfId="0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4" fontId="34" fillId="5" borderId="5" xfId="0" applyNumberFormat="1" applyFont="1" applyFill="1" applyBorder="1" applyAlignment="1">
      <alignment horizontal="left"/>
    </xf>
    <xf numFmtId="43" fontId="29" fillId="2" borderId="1" xfId="0" applyNumberFormat="1" applyFont="1" applyFill="1" applyBorder="1" applyAlignment="1">
      <alignment horizontal="left"/>
    </xf>
    <xf numFmtId="164" fontId="30" fillId="5" borderId="1" xfId="0" applyNumberFormat="1" applyFont="1" applyFill="1" applyBorder="1" applyAlignment="1">
      <alignment horizontal="center" vertical="center"/>
    </xf>
    <xf numFmtId="0" fontId="38" fillId="2" borderId="4" xfId="0" applyFont="1" applyFill="1" applyBorder="1"/>
    <xf numFmtId="43" fontId="28" fillId="2" borderId="1" xfId="0" applyNumberFormat="1" applyFont="1" applyFill="1" applyBorder="1" applyAlignment="1">
      <alignment horizontal="right" vertical="center"/>
    </xf>
    <xf numFmtId="43" fontId="11" fillId="5" borderId="4" xfId="0" applyNumberFormat="1" applyFont="1" applyFill="1" applyBorder="1"/>
    <xf numFmtId="43" fontId="0" fillId="5" borderId="2" xfId="0" applyNumberFormat="1" applyFill="1" applyBorder="1"/>
    <xf numFmtId="43" fontId="72" fillId="16" borderId="1" xfId="0" applyNumberFormat="1" applyFont="1" applyFill="1" applyBorder="1"/>
    <xf numFmtId="0" fontId="24" fillId="16" borderId="4" xfId="0" applyFont="1" applyFill="1" applyBorder="1" applyAlignment="1">
      <alignment vertical="center"/>
    </xf>
    <xf numFmtId="9" fontId="30" fillId="2" borderId="4" xfId="0" applyNumberFormat="1" applyFont="1" applyFill="1" applyBorder="1" applyAlignment="1">
      <alignment horizontal="center"/>
    </xf>
    <xf numFmtId="164" fontId="72" fillId="16" borderId="6" xfId="0" applyNumberFormat="1" applyFont="1" applyFill="1" applyBorder="1"/>
    <xf numFmtId="0" fontId="30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left" vertical="center"/>
    </xf>
    <xf numFmtId="164" fontId="30" fillId="5" borderId="1" xfId="0" applyNumberFormat="1" applyFont="1" applyFill="1" applyBorder="1" applyAlignment="1">
      <alignment horizontal="right" vertical="center"/>
    </xf>
    <xf numFmtId="0" fontId="30" fillId="5" borderId="4" xfId="0" applyFont="1" applyFill="1" applyBorder="1" applyAlignment="1">
      <alignment horizontal="left" vertical="center"/>
    </xf>
    <xf numFmtId="43" fontId="56" fillId="2" borderId="1" xfId="0" applyNumberFormat="1" applyFont="1" applyFill="1" applyBorder="1"/>
    <xf numFmtId="0" fontId="33" fillId="5" borderId="2" xfId="0" applyFont="1" applyFill="1" applyBorder="1" applyAlignment="1">
      <alignment horizontal="center"/>
    </xf>
    <xf numFmtId="0" fontId="33" fillId="5" borderId="2" xfId="0" applyFont="1" applyFill="1" applyBorder="1"/>
    <xf numFmtId="165" fontId="11" fillId="5" borderId="2" xfId="0" applyNumberFormat="1" applyFont="1" applyFill="1" applyBorder="1" applyAlignment="1">
      <alignment horizontal="center"/>
    </xf>
    <xf numFmtId="0" fontId="33" fillId="5" borderId="10" xfId="0" applyFont="1" applyFill="1" applyBorder="1"/>
    <xf numFmtId="164" fontId="28" fillId="5" borderId="2" xfId="0" applyNumberFormat="1" applyFont="1" applyFill="1" applyBorder="1" applyAlignment="1">
      <alignment vertical="center"/>
    </xf>
    <xf numFmtId="164" fontId="11" fillId="2" borderId="5" xfId="0" applyNumberFormat="1" applyFont="1" applyFill="1" applyBorder="1" applyAlignment="1">
      <alignment horizontal="right"/>
    </xf>
    <xf numFmtId="0" fontId="29" fillId="16" borderId="1" xfId="0" applyFont="1" applyFill="1" applyBorder="1"/>
    <xf numFmtId="164" fontId="11" fillId="16" borderId="1" xfId="0" applyNumberFormat="1" applyFont="1" applyFill="1" applyBorder="1" applyAlignment="1">
      <alignment horizontal="right"/>
    </xf>
    <xf numFmtId="0" fontId="28" fillId="0" borderId="3" xfId="0" applyFont="1" applyBorder="1" applyAlignment="1">
      <alignment horizontal="center" vertical="center"/>
    </xf>
    <xf numFmtId="0" fontId="29" fillId="0" borderId="2" xfId="0" applyFont="1" applyBorder="1"/>
    <xf numFmtId="164" fontId="53" fillId="5" borderId="2" xfId="0" applyNumberFormat="1" applyFont="1" applyFill="1" applyBorder="1"/>
    <xf numFmtId="0" fontId="28" fillId="29" borderId="1" xfId="0" applyFont="1" applyFill="1" applyBorder="1" applyAlignment="1">
      <alignment horizontal="right" vertical="center"/>
    </xf>
    <xf numFmtId="164" fontId="28" fillId="29" borderId="1" xfId="0" applyNumberFormat="1" applyFont="1" applyFill="1" applyBorder="1" applyAlignment="1">
      <alignment horizontal="right" vertical="center"/>
    </xf>
    <xf numFmtId="9" fontId="28" fillId="29" borderId="1" xfId="0" applyNumberFormat="1" applyFont="1" applyFill="1" applyBorder="1" applyAlignment="1">
      <alignment horizontal="center"/>
    </xf>
    <xf numFmtId="164" fontId="28" fillId="29" borderId="4" xfId="0" applyNumberFormat="1" applyFont="1" applyFill="1" applyBorder="1"/>
    <xf numFmtId="164" fontId="28" fillId="2" borderId="3" xfId="0" applyNumberFormat="1" applyFont="1" applyFill="1" applyBorder="1" applyAlignment="1">
      <alignment horizontal="right"/>
    </xf>
    <xf numFmtId="43" fontId="3" fillId="2" borderId="1" xfId="0" applyNumberFormat="1" applyFont="1" applyFill="1" applyBorder="1" applyAlignment="1">
      <alignment horizontal="left" vertical="center"/>
    </xf>
    <xf numFmtId="9" fontId="11" fillId="7" borderId="4" xfId="0" applyNumberFormat="1" applyFont="1" applyFill="1" applyBorder="1" applyAlignment="1">
      <alignment horizontal="center"/>
    </xf>
    <xf numFmtId="43" fontId="29" fillId="2" borderId="6" xfId="0" applyNumberFormat="1" applyFont="1" applyFill="1" applyBorder="1"/>
    <xf numFmtId="164" fontId="28" fillId="2" borderId="6" xfId="0" applyNumberFormat="1" applyFont="1" applyFill="1" applyBorder="1" applyAlignment="1">
      <alignment horizontal="right" vertical="center"/>
    </xf>
    <xf numFmtId="14" fontId="34" fillId="29" borderId="10" xfId="0" applyNumberFormat="1" applyFont="1" applyFill="1" applyBorder="1" applyAlignment="1">
      <alignment horizontal="right"/>
    </xf>
    <xf numFmtId="14" fontId="34" fillId="29" borderId="1" xfId="0" applyNumberFormat="1" applyFont="1" applyFill="1" applyBorder="1" applyAlignment="1">
      <alignment horizontal="left"/>
    </xf>
    <xf numFmtId="0" fontId="34" fillId="29" borderId="1" xfId="0" applyFont="1" applyFill="1" applyBorder="1" applyAlignment="1">
      <alignment horizontal="left"/>
    </xf>
    <xf numFmtId="0" fontId="34" fillId="29" borderId="5" xfId="0" applyFont="1" applyFill="1" applyBorder="1" applyAlignment="1">
      <alignment horizontal="left"/>
    </xf>
    <xf numFmtId="164" fontId="34" fillId="29" borderId="2" xfId="0" applyNumberFormat="1" applyFont="1" applyFill="1" applyBorder="1" applyAlignment="1">
      <alignment horizontal="left"/>
    </xf>
    <xf numFmtId="0" fontId="34" fillId="29" borderId="2" xfId="0" applyFont="1" applyFill="1" applyBorder="1" applyAlignment="1">
      <alignment horizontal="left"/>
    </xf>
    <xf numFmtId="0" fontId="34" fillId="29" borderId="2" xfId="0" applyFont="1" applyFill="1" applyBorder="1" applyAlignment="1">
      <alignment horizontal="center"/>
    </xf>
    <xf numFmtId="164" fontId="34" fillId="29" borderId="1" xfId="0" applyNumberFormat="1" applyFont="1" applyFill="1" applyBorder="1" applyAlignment="1">
      <alignment horizontal="left"/>
    </xf>
    <xf numFmtId="0" fontId="34" fillId="29" borderId="1" xfId="0" applyFont="1" applyFill="1" applyBorder="1" applyAlignment="1">
      <alignment horizontal="center"/>
    </xf>
    <xf numFmtId="14" fontId="34" fillId="16" borderId="10" xfId="0" applyNumberFormat="1" applyFont="1" applyFill="1" applyBorder="1" applyAlignment="1">
      <alignment horizontal="right"/>
    </xf>
    <xf numFmtId="14" fontId="34" fillId="16" borderId="1" xfId="0" applyNumberFormat="1" applyFont="1" applyFill="1" applyBorder="1" applyAlignment="1">
      <alignment horizontal="left"/>
    </xf>
    <xf numFmtId="0" fontId="34" fillId="16" borderId="1" xfId="0" applyFont="1" applyFill="1" applyBorder="1" applyAlignment="1">
      <alignment horizontal="left"/>
    </xf>
    <xf numFmtId="0" fontId="34" fillId="16" borderId="5" xfId="0" applyFont="1" applyFill="1" applyBorder="1" applyAlignment="1">
      <alignment horizontal="left"/>
    </xf>
    <xf numFmtId="164" fontId="34" fillId="16" borderId="2" xfId="0" applyNumberFormat="1" applyFont="1" applyFill="1" applyBorder="1" applyAlignment="1">
      <alignment horizontal="left"/>
    </xf>
    <xf numFmtId="0" fontId="34" fillId="16" borderId="2" xfId="0" applyFont="1" applyFill="1" applyBorder="1" applyAlignment="1">
      <alignment horizontal="left"/>
    </xf>
    <xf numFmtId="0" fontId="34" fillId="16" borderId="2" xfId="0" applyFont="1" applyFill="1" applyBorder="1" applyAlignment="1">
      <alignment horizontal="center"/>
    </xf>
    <xf numFmtId="43" fontId="29" fillId="7" borderId="1" xfId="0" applyNumberFormat="1" applyFont="1" applyFill="1" applyBorder="1" applyAlignment="1">
      <alignment horizontal="left"/>
    </xf>
    <xf numFmtId="0" fontId="29" fillId="2" borderId="4" xfId="0" applyFont="1" applyFill="1" applyBorder="1" applyAlignment="1">
      <alignment horizontal="left"/>
    </xf>
    <xf numFmtId="0" fontId="29" fillId="2" borderId="11" xfId="0" applyFont="1" applyFill="1" applyBorder="1" applyAlignment="1">
      <alignment horizontal="left"/>
    </xf>
    <xf numFmtId="0" fontId="29" fillId="2" borderId="3" xfId="0" applyFont="1" applyFill="1" applyBorder="1" applyAlignment="1">
      <alignment horizontal="left"/>
    </xf>
    <xf numFmtId="9" fontId="28" fillId="23" borderId="1" xfId="0" applyNumberFormat="1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/>
    </xf>
    <xf numFmtId="164" fontId="11" fillId="2" borderId="15" xfId="0" applyNumberFormat="1" applyFont="1" applyFill="1" applyBorder="1" applyAlignment="1">
      <alignment horizontal="right"/>
    </xf>
    <xf numFmtId="43" fontId="29" fillId="2" borderId="4" xfId="0" applyNumberFormat="1" applyFont="1" applyFill="1" applyBorder="1"/>
    <xf numFmtId="164" fontId="11" fillId="2" borderId="11" xfId="0" applyNumberFormat="1" applyFont="1" applyFill="1" applyBorder="1" applyAlignment="1">
      <alignment horizontal="right"/>
    </xf>
    <xf numFmtId="0" fontId="0" fillId="2" borderId="5" xfId="0" applyFill="1" applyBorder="1"/>
    <xf numFmtId="0" fontId="28" fillId="2" borderId="12" xfId="0" applyFont="1" applyFill="1" applyBorder="1" applyAlignment="1">
      <alignment horizontal="left" vertical="center"/>
    </xf>
    <xf numFmtId="164" fontId="10" fillId="5" borderId="1" xfId="0" applyNumberFormat="1" applyFont="1" applyFill="1" applyBorder="1" applyAlignment="1">
      <alignment horizontal="center"/>
    </xf>
    <xf numFmtId="164" fontId="28" fillId="16" borderId="1" xfId="0" applyNumberFormat="1" applyFont="1" applyFill="1" applyBorder="1" applyAlignment="1">
      <alignment horizontal="center"/>
    </xf>
    <xf numFmtId="43" fontId="29" fillId="2" borderId="4" xfId="0" applyNumberFormat="1" applyFont="1" applyFill="1" applyBorder="1" applyAlignment="1">
      <alignment horizontal="left"/>
    </xf>
    <xf numFmtId="43" fontId="29" fillId="2" borderId="12" xfId="0" applyNumberFormat="1" applyFont="1" applyFill="1" applyBorder="1"/>
    <xf numFmtId="0" fontId="0" fillId="5" borderId="6" xfId="0" applyFill="1" applyBorder="1"/>
    <xf numFmtId="43" fontId="29" fillId="5" borderId="1" xfId="0" applyNumberFormat="1" applyFont="1" applyFill="1" applyBorder="1" applyAlignment="1">
      <alignment horizontal="left"/>
    </xf>
    <xf numFmtId="43" fontId="28" fillId="5" borderId="4" xfId="0" applyNumberFormat="1" applyFont="1" applyFill="1" applyBorder="1" applyAlignment="1">
      <alignment horizontal="center" vertical="center"/>
    </xf>
    <xf numFmtId="43" fontId="29" fillId="5" borderId="4" xfId="0" applyNumberFormat="1" applyFont="1" applyFill="1" applyBorder="1" applyAlignment="1">
      <alignment horizontal="left"/>
    </xf>
    <xf numFmtId="164" fontId="11" fillId="5" borderId="4" xfId="0" applyNumberFormat="1" applyFont="1" applyFill="1" applyBorder="1" applyAlignment="1">
      <alignment horizontal="right"/>
    </xf>
    <xf numFmtId="164" fontId="28" fillId="5" borderId="4" xfId="0" applyNumberFormat="1" applyFont="1" applyFill="1" applyBorder="1" applyAlignment="1">
      <alignment horizontal="right" vertical="center"/>
    </xf>
    <xf numFmtId="43" fontId="29" fillId="5" borderId="12" xfId="0" applyNumberFormat="1" applyFont="1" applyFill="1" applyBorder="1"/>
    <xf numFmtId="0" fontId="54" fillId="5" borderId="1" xfId="0" applyFont="1" applyFill="1" applyBorder="1" applyAlignment="1">
      <alignment horizontal="left" vertical="center"/>
    </xf>
    <xf numFmtId="164" fontId="11" fillId="5" borderId="15" xfId="0" applyNumberFormat="1" applyFont="1" applyFill="1" applyBorder="1" applyAlignment="1">
      <alignment horizontal="right"/>
    </xf>
    <xf numFmtId="0" fontId="0" fillId="5" borderId="5" xfId="0" applyFill="1" applyBorder="1"/>
    <xf numFmtId="164" fontId="11" fillId="5" borderId="11" xfId="0" applyNumberFormat="1" applyFont="1" applyFill="1" applyBorder="1" applyAlignment="1">
      <alignment horizontal="right"/>
    </xf>
    <xf numFmtId="0" fontId="55" fillId="2" borderId="4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vertical="center"/>
    </xf>
    <xf numFmtId="43" fontId="55" fillId="2" borderId="4" xfId="0" applyNumberFormat="1" applyFont="1" applyFill="1" applyBorder="1" applyAlignment="1">
      <alignment horizontal="left" vertical="center"/>
    </xf>
    <xf numFmtId="43" fontId="3" fillId="7" borderId="4" xfId="0" applyNumberFormat="1" applyFont="1" applyFill="1" applyBorder="1" applyAlignment="1">
      <alignment horizontal="left" vertical="center"/>
    </xf>
    <xf numFmtId="0" fontId="29" fillId="2" borderId="10" xfId="0" applyFont="1" applyFill="1" applyBorder="1"/>
    <xf numFmtId="0" fontId="54" fillId="7" borderId="4" xfId="0" applyFont="1" applyFill="1" applyBorder="1" applyAlignment="1">
      <alignment horizontal="left" vertical="center"/>
    </xf>
    <xf numFmtId="0" fontId="33" fillId="5" borderId="4" xfId="0" applyFont="1" applyFill="1" applyBorder="1"/>
    <xf numFmtId="164" fontId="53" fillId="16" borderId="1" xfId="0" applyNumberFormat="1" applyFont="1" applyFill="1" applyBorder="1"/>
    <xf numFmtId="164" fontId="28" fillId="16" borderId="1" xfId="0" applyNumberFormat="1" applyFont="1" applyFill="1" applyBorder="1" applyAlignment="1">
      <alignment vertical="center"/>
    </xf>
    <xf numFmtId="168" fontId="30" fillId="2" borderId="1" xfId="0" applyNumberFormat="1" applyFont="1" applyFill="1" applyBorder="1" applyAlignment="1">
      <alignment horizontal="center"/>
    </xf>
    <xf numFmtId="9" fontId="30" fillId="2" borderId="10" xfId="0" applyNumberFormat="1" applyFont="1" applyFill="1" applyBorder="1" applyAlignment="1">
      <alignment horizontal="center" vertical="center"/>
    </xf>
    <xf numFmtId="164" fontId="28" fillId="5" borderId="13" xfId="0" applyNumberFormat="1" applyFont="1" applyFill="1" applyBorder="1" applyAlignment="1">
      <alignment horizontal="right" vertical="center"/>
    </xf>
    <xf numFmtId="9" fontId="28" fillId="2" borderId="15" xfId="0" applyNumberFormat="1" applyFont="1" applyFill="1" applyBorder="1" applyAlignment="1">
      <alignment horizontal="center" vertical="center"/>
    </xf>
    <xf numFmtId="0" fontId="29" fillId="2" borderId="11" xfId="0" applyFont="1" applyFill="1" applyBorder="1" applyAlignment="1">
      <alignment horizontal="center"/>
    </xf>
    <xf numFmtId="9" fontId="29" fillId="23" borderId="1" xfId="0" applyNumberFormat="1" applyFont="1" applyFill="1" applyBorder="1" applyAlignment="1">
      <alignment horizontal="center" vertical="center"/>
    </xf>
    <xf numFmtId="0" fontId="29" fillId="5" borderId="12" xfId="0" applyFont="1" applyFill="1" applyBorder="1"/>
    <xf numFmtId="9" fontId="11" fillId="2" borderId="2" xfId="0" applyNumberFormat="1" applyFont="1" applyFill="1" applyBorder="1" applyAlignment="1">
      <alignment horizontal="center"/>
    </xf>
    <xf numFmtId="9" fontId="28" fillId="2" borderId="2" xfId="0" applyNumberFormat="1" applyFont="1" applyFill="1" applyBorder="1" applyAlignment="1">
      <alignment horizontal="center"/>
    </xf>
    <xf numFmtId="43" fontId="28" fillId="2" borderId="2" xfId="0" applyNumberFormat="1" applyFont="1" applyFill="1" applyBorder="1" applyAlignment="1">
      <alignment horizontal="center" vertical="center"/>
    </xf>
    <xf numFmtId="43" fontId="28" fillId="2" borderId="10" xfId="0" applyNumberFormat="1" applyFont="1" applyFill="1" applyBorder="1" applyAlignment="1">
      <alignment horizontal="center" vertical="center"/>
    </xf>
    <xf numFmtId="0" fontId="28" fillId="23" borderId="6" xfId="0" applyFont="1" applyFill="1" applyBorder="1" applyAlignment="1">
      <alignment horizontal="center" vertical="center"/>
    </xf>
    <xf numFmtId="9" fontId="29" fillId="7" borderId="9" xfId="0" applyNumberFormat="1" applyFont="1" applyFill="1" applyBorder="1" applyAlignment="1">
      <alignment horizontal="center"/>
    </xf>
    <xf numFmtId="164" fontId="28" fillId="7" borderId="6" xfId="0" applyNumberFormat="1" applyFont="1" applyFill="1" applyBorder="1" applyAlignment="1">
      <alignment horizontal="center" vertical="center"/>
    </xf>
    <xf numFmtId="0" fontId="28" fillId="7" borderId="12" xfId="0" applyFont="1" applyFill="1" applyBorder="1" applyAlignment="1">
      <alignment horizontal="left" vertical="center"/>
    </xf>
    <xf numFmtId="0" fontId="34" fillId="5" borderId="12" xfId="0" applyFont="1" applyFill="1" applyBorder="1"/>
    <xf numFmtId="0" fontId="34" fillId="5" borderId="9" xfId="0" applyFont="1" applyFill="1" applyBorder="1" applyAlignment="1">
      <alignment horizontal="center"/>
    </xf>
    <xf numFmtId="0" fontId="84" fillId="5" borderId="1" xfId="0" applyFont="1" applyFill="1" applyBorder="1" applyAlignment="1">
      <alignment vertical="center"/>
    </xf>
    <xf numFmtId="9" fontId="83" fillId="5" borderId="1" xfId="0" applyNumberFormat="1" applyFont="1" applyFill="1" applyBorder="1" applyAlignment="1">
      <alignment horizontal="center"/>
    </xf>
    <xf numFmtId="164" fontId="83" fillId="5" borderId="4" xfId="0" applyNumberFormat="1" applyFont="1" applyFill="1" applyBorder="1"/>
    <xf numFmtId="0" fontId="28" fillId="5" borderId="9" xfId="0" applyFont="1" applyFill="1" applyBorder="1" applyAlignment="1">
      <alignment horizontal="center"/>
    </xf>
    <xf numFmtId="43" fontId="55" fillId="2" borderId="10" xfId="0" applyNumberFormat="1" applyFont="1" applyFill="1" applyBorder="1" applyAlignment="1">
      <alignment horizontal="left" vertical="center"/>
    </xf>
    <xf numFmtId="0" fontId="75" fillId="7" borderId="4" xfId="0" applyFont="1" applyFill="1" applyBorder="1"/>
    <xf numFmtId="43" fontId="55" fillId="5" borderId="4" xfId="0" applyNumberFormat="1" applyFont="1" applyFill="1" applyBorder="1" applyAlignment="1">
      <alignment horizontal="left" vertical="center"/>
    </xf>
    <xf numFmtId="0" fontId="29" fillId="5" borderId="10" xfId="0" applyFont="1" applyFill="1" applyBorder="1"/>
    <xf numFmtId="9" fontId="28" fillId="5" borderId="10" xfId="0" applyNumberFormat="1" applyFont="1" applyFill="1" applyBorder="1" applyAlignment="1">
      <alignment horizontal="center" vertical="center"/>
    </xf>
    <xf numFmtId="9" fontId="28" fillId="5" borderId="2" xfId="0" applyNumberFormat="1" applyFont="1" applyFill="1" applyBorder="1" applyAlignment="1">
      <alignment horizontal="center"/>
    </xf>
    <xf numFmtId="168" fontId="28" fillId="2" borderId="1" xfId="0" applyNumberFormat="1" applyFont="1" applyFill="1" applyBorder="1" applyAlignment="1">
      <alignment horizontal="center"/>
    </xf>
    <xf numFmtId="0" fontId="0" fillId="0" borderId="10" xfId="0" applyBorder="1"/>
    <xf numFmtId="0" fontId="29" fillId="16" borderId="6" xfId="0" applyFont="1" applyFill="1" applyBorder="1"/>
    <xf numFmtId="164" fontId="29" fillId="16" borderId="6" xfId="0" applyNumberFormat="1" applyFont="1" applyFill="1" applyBorder="1"/>
    <xf numFmtId="0" fontId="84" fillId="2" borderId="1" xfId="0" applyFont="1" applyFill="1" applyBorder="1" applyAlignment="1">
      <alignment vertical="center"/>
    </xf>
    <xf numFmtId="0" fontId="85" fillId="5" borderId="6" xfId="0" applyFont="1" applyFill="1" applyBorder="1"/>
    <xf numFmtId="0" fontId="35" fillId="0" borderId="0" xfId="0" applyFont="1" applyAlignment="1">
      <alignment horizontal="center"/>
    </xf>
    <xf numFmtId="164" fontId="28" fillId="2" borderId="2" xfId="0" applyNumberFormat="1" applyFont="1" applyFill="1" applyBorder="1" applyAlignment="1">
      <alignment horizontal="right"/>
    </xf>
    <xf numFmtId="164" fontId="28" fillId="2" borderId="1" xfId="0" applyNumberFormat="1" applyFont="1" applyFill="1" applyBorder="1" applyAlignment="1">
      <alignment horizontal="right"/>
    </xf>
    <xf numFmtId="164" fontId="28" fillId="2" borderId="12" xfId="0" applyNumberFormat="1" applyFont="1" applyFill="1" applyBorder="1"/>
    <xf numFmtId="164" fontId="28" fillId="25" borderId="1" xfId="0" applyNumberFormat="1" applyFont="1" applyFill="1" applyBorder="1"/>
    <xf numFmtId="164" fontId="28" fillId="2" borderId="2" xfId="0" applyNumberFormat="1" applyFont="1" applyFill="1" applyBorder="1"/>
    <xf numFmtId="164" fontId="28" fillId="5" borderId="0" xfId="0" applyNumberFormat="1" applyFont="1" applyFill="1"/>
    <xf numFmtId="0" fontId="86" fillId="0" borderId="0" xfId="0" applyFont="1"/>
    <xf numFmtId="164" fontId="28" fillId="2" borderId="6" xfId="0" applyNumberFormat="1" applyFont="1" applyFill="1" applyBorder="1" applyAlignment="1">
      <alignment horizontal="right"/>
    </xf>
    <xf numFmtId="164" fontId="28" fillId="17" borderId="1" xfId="0" applyNumberFormat="1" applyFont="1" applyFill="1" applyBorder="1"/>
    <xf numFmtId="164" fontId="28" fillId="19" borderId="2" xfId="0" applyNumberFormat="1" applyFont="1" applyFill="1" applyBorder="1"/>
    <xf numFmtId="164" fontId="28" fillId="19" borderId="2" xfId="0" applyNumberFormat="1" applyFont="1" applyFill="1" applyBorder="1" applyAlignment="1">
      <alignment horizontal="right"/>
    </xf>
    <xf numFmtId="164" fontId="28" fillId="2" borderId="4" xfId="0" applyNumberFormat="1" applyFont="1" applyFill="1" applyBorder="1" applyAlignment="1">
      <alignment horizontal="right"/>
    </xf>
    <xf numFmtId="164" fontId="28" fillId="2" borderId="10" xfId="0" applyNumberFormat="1" applyFont="1" applyFill="1" applyBorder="1" applyAlignment="1">
      <alignment horizontal="right"/>
    </xf>
    <xf numFmtId="164" fontId="86" fillId="0" borderId="0" xfId="0" applyNumberFormat="1" applyFont="1"/>
    <xf numFmtId="164" fontId="28" fillId="7" borderId="2" xfId="0" applyNumberFormat="1" applyFont="1" applyFill="1" applyBorder="1" applyAlignment="1">
      <alignment horizontal="right"/>
    </xf>
    <xf numFmtId="164" fontId="28" fillId="17" borderId="1" xfId="0" applyNumberFormat="1" applyFont="1" applyFill="1" applyBorder="1" applyAlignment="1">
      <alignment horizontal="right"/>
    </xf>
    <xf numFmtId="164" fontId="49" fillId="17" borderId="1" xfId="0" applyNumberFormat="1" applyFont="1" applyFill="1" applyBorder="1" applyAlignment="1">
      <alignment horizontal="right"/>
    </xf>
    <xf numFmtId="164" fontId="44" fillId="17" borderId="1" xfId="0" applyNumberFormat="1" applyFont="1" applyFill="1" applyBorder="1" applyAlignment="1">
      <alignment horizontal="right"/>
    </xf>
    <xf numFmtId="164" fontId="28" fillId="5" borderId="1" xfId="0" applyNumberFormat="1" applyFont="1" applyFill="1" applyBorder="1" applyAlignment="1">
      <alignment horizontal="right"/>
    </xf>
    <xf numFmtId="164" fontId="49" fillId="0" borderId="1" xfId="0" applyNumberFormat="1" applyFont="1" applyBorder="1"/>
    <xf numFmtId="164" fontId="28" fillId="0" borderId="1" xfId="0" applyNumberFormat="1" applyFont="1" applyBorder="1"/>
    <xf numFmtId="164" fontId="49" fillId="5" borderId="1" xfId="0" applyNumberFormat="1" applyFont="1" applyFill="1" applyBorder="1" applyAlignment="1">
      <alignment horizontal="right"/>
    </xf>
    <xf numFmtId="164" fontId="28" fillId="7" borderId="1" xfId="0" applyNumberFormat="1" applyFont="1" applyFill="1" applyBorder="1" applyAlignment="1">
      <alignment horizontal="right"/>
    </xf>
    <xf numFmtId="0" fontId="86" fillId="5" borderId="0" xfId="0" applyFont="1" applyFill="1"/>
    <xf numFmtId="164" fontId="71" fillId="16" borderId="1" xfId="0" applyNumberFormat="1" applyFont="1" applyFill="1" applyBorder="1" applyAlignment="1">
      <alignment horizontal="right"/>
    </xf>
    <xf numFmtId="0" fontId="85" fillId="0" borderId="0" xfId="0" applyFont="1"/>
    <xf numFmtId="0" fontId="49" fillId="0" borderId="0" xfId="0" applyFont="1"/>
    <xf numFmtId="0" fontId="85" fillId="0" borderId="1" xfId="0" applyFont="1" applyBorder="1"/>
    <xf numFmtId="0" fontId="85" fillId="16" borderId="1" xfId="0" applyFont="1" applyFill="1" applyBorder="1"/>
    <xf numFmtId="0" fontId="85" fillId="16" borderId="6" xfId="0" applyFont="1" applyFill="1" applyBorder="1"/>
    <xf numFmtId="0" fontId="85" fillId="5" borderId="1" xfId="0" applyFont="1" applyFill="1" applyBorder="1"/>
    <xf numFmtId="0" fontId="85" fillId="0" borderId="6" xfId="0" applyFont="1" applyBorder="1"/>
    <xf numFmtId="0" fontId="28" fillId="23" borderId="9" xfId="0" applyFont="1" applyFill="1" applyBorder="1" applyAlignment="1">
      <alignment horizontal="center"/>
    </xf>
    <xf numFmtId="164" fontId="28" fillId="23" borderId="4" xfId="0" applyNumberFormat="1" applyFont="1" applyFill="1" applyBorder="1"/>
    <xf numFmtId="0" fontId="28" fillId="2" borderId="3" xfId="0" applyFont="1" applyFill="1" applyBorder="1" applyAlignment="1">
      <alignment horizontal="center"/>
    </xf>
    <xf numFmtId="0" fontId="28" fillId="2" borderId="12" xfId="0" applyFont="1" applyFill="1" applyBorder="1" applyAlignment="1">
      <alignment horizontal="center"/>
    </xf>
    <xf numFmtId="0" fontId="34" fillId="0" borderId="1" xfId="0" applyFont="1" applyBorder="1"/>
    <xf numFmtId="0" fontId="28" fillId="0" borderId="0" xfId="0" applyFont="1"/>
    <xf numFmtId="0" fontId="86" fillId="5" borderId="1" xfId="0" applyFont="1" applyFill="1" applyBorder="1"/>
    <xf numFmtId="0" fontId="28" fillId="5" borderId="2" xfId="0" applyFont="1" applyFill="1" applyBorder="1"/>
    <xf numFmtId="0" fontId="28" fillId="5" borderId="3" xfId="0" applyFont="1" applyFill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8" fillId="5" borderId="6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86" fillId="0" borderId="1" xfId="0" applyFont="1" applyBorder="1"/>
    <xf numFmtId="0" fontId="28" fillId="2" borderId="6" xfId="0" applyFont="1" applyFill="1" applyBorder="1" applyAlignment="1">
      <alignment horizontal="center"/>
    </xf>
    <xf numFmtId="0" fontId="3" fillId="5" borderId="0" xfId="0" applyFont="1" applyFill="1"/>
    <xf numFmtId="0" fontId="86" fillId="5" borderId="7" xfId="0" applyFont="1" applyFill="1" applyBorder="1"/>
    <xf numFmtId="0" fontId="28" fillId="7" borderId="6" xfId="0" applyFont="1" applyFill="1" applyBorder="1" applyAlignment="1">
      <alignment horizontal="center"/>
    </xf>
    <xf numFmtId="9" fontId="28" fillId="2" borderId="12" xfId="0" applyNumberFormat="1" applyFont="1" applyFill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86" fillId="0" borderId="0" xfId="0" applyFont="1" applyAlignment="1">
      <alignment horizontal="center"/>
    </xf>
    <xf numFmtId="0" fontId="86" fillId="5" borderId="1" xfId="0" applyFont="1" applyFill="1" applyBorder="1" applyAlignment="1">
      <alignment horizontal="center"/>
    </xf>
    <xf numFmtId="0" fontId="28" fillId="2" borderId="11" xfId="0" applyFont="1" applyFill="1" applyBorder="1" applyAlignment="1">
      <alignment horizontal="center"/>
    </xf>
    <xf numFmtId="9" fontId="28" fillId="2" borderId="1" xfId="0" applyNumberFormat="1" applyFont="1" applyFill="1" applyBorder="1" applyAlignment="1">
      <alignment horizontal="center" wrapText="1"/>
    </xf>
    <xf numFmtId="9" fontId="3" fillId="5" borderId="1" xfId="0" applyNumberFormat="1" applyFont="1" applyFill="1" applyBorder="1" applyAlignment="1">
      <alignment horizontal="center"/>
    </xf>
    <xf numFmtId="9" fontId="28" fillId="7" borderId="3" xfId="0" applyNumberFormat="1" applyFont="1" applyFill="1" applyBorder="1" applyAlignment="1">
      <alignment horizontal="center"/>
    </xf>
    <xf numFmtId="9" fontId="28" fillId="2" borderId="5" xfId="0" applyNumberFormat="1" applyFont="1" applyFill="1" applyBorder="1" applyAlignment="1">
      <alignment horizontal="center"/>
    </xf>
    <xf numFmtId="9" fontId="28" fillId="2" borderId="6" xfId="0" applyNumberFormat="1" applyFont="1" applyFill="1" applyBorder="1" applyAlignment="1">
      <alignment horizontal="center"/>
    </xf>
    <xf numFmtId="9" fontId="28" fillId="2" borderId="9" xfId="0" applyNumberFormat="1" applyFont="1" applyFill="1" applyBorder="1" applyAlignment="1">
      <alignment horizontal="center"/>
    </xf>
    <xf numFmtId="9" fontId="28" fillId="0" borderId="6" xfId="0" applyNumberFormat="1" applyFont="1" applyBorder="1" applyAlignment="1">
      <alignment horizontal="center"/>
    </xf>
    <xf numFmtId="9" fontId="28" fillId="0" borderId="3" xfId="0" applyNumberFormat="1" applyFont="1" applyBorder="1" applyAlignment="1">
      <alignment horizontal="center"/>
    </xf>
    <xf numFmtId="9" fontId="28" fillId="7" borderId="6" xfId="0" applyNumberFormat="1" applyFont="1" applyFill="1" applyBorder="1" applyAlignment="1">
      <alignment horizontal="center"/>
    </xf>
    <xf numFmtId="0" fontId="86" fillId="0" borderId="3" xfId="0" applyFont="1" applyBorder="1"/>
    <xf numFmtId="9" fontId="28" fillId="7" borderId="11" xfId="0" applyNumberFormat="1" applyFont="1" applyFill="1" applyBorder="1" applyAlignment="1">
      <alignment horizontal="center"/>
    </xf>
    <xf numFmtId="9" fontId="28" fillId="5" borderId="3" xfId="0" applyNumberFormat="1" applyFont="1" applyFill="1" applyBorder="1" applyAlignment="1">
      <alignment horizontal="center"/>
    </xf>
    <xf numFmtId="0" fontId="28" fillId="2" borderId="4" xfId="0" applyFont="1" applyFill="1" applyBorder="1" applyAlignment="1">
      <alignment horizontal="center"/>
    </xf>
    <xf numFmtId="0" fontId="28" fillId="5" borderId="2" xfId="0" applyFont="1" applyFill="1" applyBorder="1" applyAlignment="1">
      <alignment horizontal="center"/>
    </xf>
    <xf numFmtId="0" fontId="28" fillId="7" borderId="3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7" borderId="4" xfId="0" applyFont="1" applyFill="1" applyBorder="1" applyAlignment="1">
      <alignment horizontal="center"/>
    </xf>
    <xf numFmtId="0" fontId="28" fillId="5" borderId="4" xfId="0" applyFont="1" applyFill="1" applyBorder="1" applyAlignment="1">
      <alignment horizontal="center"/>
    </xf>
    <xf numFmtId="0" fontId="86" fillId="0" borderId="6" xfId="0" applyFont="1" applyBorder="1"/>
    <xf numFmtId="0" fontId="28" fillId="2" borderId="7" xfId="0" applyFont="1" applyFill="1" applyBorder="1" applyAlignment="1">
      <alignment horizontal="center"/>
    </xf>
    <xf numFmtId="0" fontId="28" fillId="7" borderId="7" xfId="0" applyFont="1" applyFill="1" applyBorder="1" applyAlignment="1">
      <alignment horizontal="center"/>
    </xf>
    <xf numFmtId="0" fontId="28" fillId="5" borderId="7" xfId="0" applyFont="1" applyFill="1" applyBorder="1" applyAlignment="1">
      <alignment horizontal="center"/>
    </xf>
    <xf numFmtId="0" fontId="28" fillId="7" borderId="9" xfId="0" applyFont="1" applyFill="1" applyBorder="1" applyAlignment="1">
      <alignment horizontal="center"/>
    </xf>
    <xf numFmtId="0" fontId="28" fillId="2" borderId="4" xfId="0" applyFont="1" applyFill="1" applyBorder="1"/>
    <xf numFmtId="0" fontId="28" fillId="2" borderId="12" xfId="0" applyFont="1" applyFill="1" applyBorder="1"/>
    <xf numFmtId="0" fontId="28" fillId="5" borderId="4" xfId="0" applyFont="1" applyFill="1" applyBorder="1"/>
    <xf numFmtId="0" fontId="28" fillId="2" borderId="10" xfId="0" applyFont="1" applyFill="1" applyBorder="1"/>
    <xf numFmtId="0" fontId="28" fillId="7" borderId="10" xfId="0" applyFont="1" applyFill="1" applyBorder="1"/>
    <xf numFmtId="0" fontId="28" fillId="5" borderId="6" xfId="0" applyFont="1" applyFill="1" applyBorder="1"/>
    <xf numFmtId="0" fontId="28" fillId="2" borderId="6" xfId="0" applyFont="1" applyFill="1" applyBorder="1"/>
    <xf numFmtId="0" fontId="28" fillId="2" borderId="7" xfId="0" applyFont="1" applyFill="1" applyBorder="1"/>
    <xf numFmtId="0" fontId="28" fillId="2" borderId="2" xfId="0" applyFont="1" applyFill="1" applyBorder="1"/>
    <xf numFmtId="43" fontId="28" fillId="2" borderId="1" xfId="0" applyNumberFormat="1" applyFont="1" applyFill="1" applyBorder="1" applyAlignment="1">
      <alignment horizontal="left"/>
    </xf>
    <xf numFmtId="0" fontId="28" fillId="2" borderId="1" xfId="0" applyFont="1" applyFill="1" applyBorder="1" applyAlignment="1">
      <alignment horizontal="left"/>
    </xf>
    <xf numFmtId="43" fontId="28" fillId="2" borderId="1" xfId="0" applyNumberFormat="1" applyFont="1" applyFill="1" applyBorder="1"/>
    <xf numFmtId="43" fontId="28" fillId="7" borderId="1" xfId="0" applyNumberFormat="1" applyFont="1" applyFill="1" applyBorder="1" applyAlignment="1">
      <alignment horizontal="left"/>
    </xf>
    <xf numFmtId="43" fontId="28" fillId="7" borderId="1" xfId="0" applyNumberFormat="1" applyFont="1" applyFill="1" applyBorder="1"/>
    <xf numFmtId="43" fontId="28" fillId="5" borderId="1" xfId="0" applyNumberFormat="1" applyFont="1" applyFill="1" applyBorder="1"/>
    <xf numFmtId="43" fontId="28" fillId="5" borderId="1" xfId="0" applyNumberFormat="1" applyFont="1" applyFill="1" applyBorder="1" applyAlignment="1">
      <alignment horizontal="left"/>
    </xf>
    <xf numFmtId="9" fontId="83" fillId="7" borderId="1" xfId="0" applyNumberFormat="1" applyFont="1" applyFill="1" applyBorder="1" applyAlignment="1">
      <alignment horizontal="center"/>
    </xf>
    <xf numFmtId="164" fontId="83" fillId="7" borderId="4" xfId="0" applyNumberFormat="1" applyFont="1" applyFill="1" applyBorder="1"/>
    <xf numFmtId="14" fontId="34" fillId="16" borderId="1" xfId="0" applyNumberFormat="1" applyFont="1" applyFill="1" applyBorder="1" applyAlignment="1">
      <alignment horizontal="right"/>
    </xf>
    <xf numFmtId="164" fontId="34" fillId="16" borderId="1" xfId="0" applyNumberFormat="1" applyFont="1" applyFill="1" applyBorder="1" applyAlignment="1">
      <alignment horizontal="left"/>
    </xf>
    <xf numFmtId="0" fontId="34" fillId="16" borderId="1" xfId="0" applyFont="1" applyFill="1" applyBorder="1" applyAlignment="1">
      <alignment horizontal="center"/>
    </xf>
    <xf numFmtId="9" fontId="11" fillId="7" borderId="2" xfId="0" applyNumberFormat="1" applyFont="1" applyFill="1" applyBorder="1" applyAlignment="1">
      <alignment horizontal="center"/>
    </xf>
    <xf numFmtId="164" fontId="11" fillId="7" borderId="5" xfId="0" applyNumberFormat="1" applyFont="1" applyFill="1" applyBorder="1" applyAlignment="1">
      <alignment horizontal="right"/>
    </xf>
    <xf numFmtId="9" fontId="28" fillId="7" borderId="2" xfId="0" applyNumberFormat="1" applyFont="1" applyFill="1" applyBorder="1" applyAlignment="1">
      <alignment horizontal="center"/>
    </xf>
    <xf numFmtId="43" fontId="29" fillId="2" borderId="3" xfId="0" applyNumberFormat="1" applyFont="1" applyFill="1" applyBorder="1" applyAlignment="1">
      <alignment horizontal="left"/>
    </xf>
    <xf numFmtId="0" fontId="87" fillId="16" borderId="1" xfId="0" applyFont="1" applyFill="1" applyBorder="1"/>
    <xf numFmtId="165" fontId="87" fillId="16" borderId="1" xfId="0" applyNumberFormat="1" applyFont="1" applyFill="1" applyBorder="1"/>
    <xf numFmtId="0" fontId="0" fillId="5" borderId="3" xfId="0" applyFill="1" applyBorder="1"/>
    <xf numFmtId="164" fontId="28" fillId="2" borderId="4" xfId="0" applyNumberFormat="1" applyFont="1" applyFill="1" applyBorder="1"/>
    <xf numFmtId="0" fontId="28" fillId="7" borderId="6" xfId="0" applyFont="1" applyFill="1" applyBorder="1"/>
    <xf numFmtId="164" fontId="29" fillId="7" borderId="10" xfId="0" applyNumberFormat="1" applyFont="1" applyFill="1" applyBorder="1" applyAlignment="1">
      <alignment horizontal="center"/>
    </xf>
    <xf numFmtId="43" fontId="55" fillId="2" borderId="2" xfId="0" applyNumberFormat="1" applyFont="1" applyFill="1" applyBorder="1" applyAlignment="1">
      <alignment horizontal="left" vertical="center"/>
    </xf>
    <xf numFmtId="43" fontId="55" fillId="7" borderId="4" xfId="0" applyNumberFormat="1" applyFont="1" applyFill="1" applyBorder="1" applyAlignment="1">
      <alignment horizontal="left" vertical="center"/>
    </xf>
    <xf numFmtId="14" fontId="34" fillId="25" borderId="5" xfId="0" applyNumberFormat="1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28" fillId="2" borderId="2" xfId="0" applyNumberFormat="1" applyFont="1" applyFill="1" applyBorder="1" applyAlignment="1">
      <alignment horizontal="center" vertical="center" wrapText="1"/>
    </xf>
    <xf numFmtId="0" fontId="84" fillId="2" borderId="3" xfId="0" applyFont="1" applyFill="1" applyBorder="1" applyAlignment="1">
      <alignment vertical="center"/>
    </xf>
    <xf numFmtId="0" fontId="29" fillId="2" borderId="3" xfId="0" applyFont="1" applyFill="1" applyBorder="1"/>
    <xf numFmtId="14" fontId="34" fillId="5" borderId="5" xfId="0" applyNumberFormat="1" applyFont="1" applyFill="1" applyBorder="1" applyAlignment="1">
      <alignment horizontal="left"/>
    </xf>
    <xf numFmtId="43" fontId="3" fillId="2" borderId="4" xfId="0" applyNumberFormat="1" applyFont="1" applyFill="1" applyBorder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164" fontId="28" fillId="23" borderId="1" xfId="0" applyNumberFormat="1" applyFont="1" applyFill="1" applyBorder="1" applyAlignment="1">
      <alignment horizontal="right" vertical="center"/>
    </xf>
    <xf numFmtId="43" fontId="29" fillId="5" borderId="6" xfId="0" applyNumberFormat="1" applyFont="1" applyFill="1" applyBorder="1"/>
    <xf numFmtId="0" fontId="0" fillId="5" borderId="6" xfId="0" applyFill="1" applyBorder="1" applyAlignment="1">
      <alignment horizontal="center"/>
    </xf>
    <xf numFmtId="0" fontId="0" fillId="5" borderId="12" xfId="0" applyFill="1" applyBorder="1"/>
    <xf numFmtId="164" fontId="11" fillId="16" borderId="3" xfId="0" applyNumberFormat="1" applyFont="1" applyFill="1" applyBorder="1" applyAlignment="1">
      <alignment horizontal="right"/>
    </xf>
    <xf numFmtId="0" fontId="0" fillId="2" borderId="4" xfId="0" applyFill="1" applyBorder="1"/>
    <xf numFmtId="0" fontId="0" fillId="2" borderId="12" xfId="0" applyFill="1" applyBorder="1"/>
    <xf numFmtId="0" fontId="18" fillId="2" borderId="1" xfId="0" applyFont="1" applyFill="1" applyBorder="1"/>
    <xf numFmtId="9" fontId="28" fillId="5" borderId="4" xfId="0" applyNumberFormat="1" applyFont="1" applyFill="1" applyBorder="1" applyAlignment="1">
      <alignment horizontal="center"/>
    </xf>
    <xf numFmtId="0" fontId="28" fillId="5" borderId="7" xfId="0" applyFont="1" applyFill="1" applyBorder="1" applyAlignment="1">
      <alignment horizontal="center" vertical="center"/>
    </xf>
    <xf numFmtId="0" fontId="84" fillId="5" borderId="3" xfId="0" applyFont="1" applyFill="1" applyBorder="1" applyAlignment="1">
      <alignment vertical="center"/>
    </xf>
    <xf numFmtId="0" fontId="28" fillId="5" borderId="8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center" vertical="center"/>
    </xf>
    <xf numFmtId="9" fontId="28" fillId="2" borderId="4" xfId="0" applyNumberFormat="1" applyFont="1" applyFill="1" applyBorder="1" applyAlignment="1">
      <alignment horizontal="center"/>
    </xf>
    <xf numFmtId="164" fontId="28" fillId="16" borderId="3" xfId="0" applyNumberFormat="1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center" vertical="center"/>
    </xf>
    <xf numFmtId="0" fontId="0" fillId="5" borderId="8" xfId="0" applyFill="1" applyBorder="1"/>
    <xf numFmtId="0" fontId="28" fillId="2" borderId="5" xfId="0" applyFont="1" applyFill="1" applyBorder="1"/>
    <xf numFmtId="164" fontId="88" fillId="16" borderId="1" xfId="0" applyNumberFormat="1" applyFont="1" applyFill="1" applyBorder="1" applyAlignment="1">
      <alignment horizontal="right" vertical="center"/>
    </xf>
    <xf numFmtId="164" fontId="29" fillId="2" borderId="10" xfId="0" applyNumberFormat="1" applyFont="1" applyFill="1" applyBorder="1" applyAlignment="1">
      <alignment horizontal="center"/>
    </xf>
    <xf numFmtId="0" fontId="28" fillId="2" borderId="13" xfId="0" applyFont="1" applyFill="1" applyBorder="1" applyAlignment="1">
      <alignment horizontal="left" vertical="center"/>
    </xf>
    <xf numFmtId="0" fontId="89" fillId="0" borderId="0" xfId="0" applyFont="1"/>
    <xf numFmtId="0" fontId="28" fillId="5" borderId="0" xfId="0" applyFont="1" applyFill="1" applyAlignment="1">
      <alignment horizontal="center" vertical="center"/>
    </xf>
    <xf numFmtId="9" fontId="28" fillId="5" borderId="0" xfId="0" applyNumberFormat="1" applyFont="1" applyFill="1" applyAlignment="1">
      <alignment horizontal="center" vertical="center" wrapText="1"/>
    </xf>
    <xf numFmtId="0" fontId="28" fillId="5" borderId="0" xfId="0" applyFont="1" applyFill="1" applyAlignment="1">
      <alignment horizontal="center"/>
    </xf>
    <xf numFmtId="0" fontId="28" fillId="5" borderId="0" xfId="0" applyFont="1" applyFill="1"/>
    <xf numFmtId="0" fontId="71" fillId="5" borderId="0" xfId="0" applyFont="1" applyFill="1" applyAlignment="1">
      <alignment vertical="center"/>
    </xf>
    <xf numFmtId="164" fontId="28" fillId="16" borderId="0" xfId="0" applyNumberFormat="1" applyFont="1" applyFill="1" applyAlignment="1">
      <alignment horizontal="center"/>
    </xf>
    <xf numFmtId="164" fontId="49" fillId="16" borderId="0" xfId="0" applyNumberFormat="1" applyFont="1" applyFill="1"/>
    <xf numFmtId="164" fontId="28" fillId="5" borderId="0" xfId="0" applyNumberFormat="1" applyFont="1" applyFill="1" applyAlignment="1">
      <alignment horizontal="right" vertical="center"/>
    </xf>
    <xf numFmtId="0" fontId="85" fillId="16" borderId="2" xfId="0" applyFont="1" applyFill="1" applyBorder="1"/>
    <xf numFmtId="0" fontId="3" fillId="12" borderId="0" xfId="0" applyFont="1" applyFill="1" applyAlignment="1">
      <alignment horizontal="center" vertical="center" wrapText="1"/>
    </xf>
    <xf numFmtId="0" fontId="3" fillId="12" borderId="12" xfId="0" applyFont="1" applyFill="1" applyBorder="1" applyAlignment="1">
      <alignment horizontal="center" vertical="center" wrapText="1"/>
    </xf>
    <xf numFmtId="0" fontId="28" fillId="7" borderId="12" xfId="0" applyFont="1" applyFill="1" applyBorder="1" applyAlignment="1">
      <alignment horizontal="center" vertical="center"/>
    </xf>
    <xf numFmtId="165" fontId="11" fillId="16" borderId="3" xfId="0" applyNumberFormat="1" applyFont="1" applyFill="1" applyBorder="1" applyAlignment="1">
      <alignment horizontal="center"/>
    </xf>
    <xf numFmtId="0" fontId="31" fillId="0" borderId="14" xfId="0" applyFont="1" applyBorder="1" applyAlignment="1">
      <alignment horizontal="left"/>
    </xf>
    <xf numFmtId="0" fontId="31" fillId="0" borderId="8" xfId="0" applyFont="1" applyBorder="1" applyAlignment="1">
      <alignment horizontal="left"/>
    </xf>
    <xf numFmtId="164" fontId="31" fillId="0" borderId="8" xfId="0" applyNumberFormat="1" applyFont="1" applyBorder="1" applyAlignment="1">
      <alignment horizontal="left"/>
    </xf>
    <xf numFmtId="0" fontId="31" fillId="0" borderId="8" xfId="0" applyFont="1" applyBorder="1" applyAlignment="1">
      <alignment horizontal="center"/>
    </xf>
    <xf numFmtId="0" fontId="0" fillId="23" borderId="12" xfId="0" applyFill="1" applyBorder="1"/>
    <xf numFmtId="9" fontId="29" fillId="7" borderId="6" xfId="0" applyNumberFormat="1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18" fillId="7" borderId="12" xfId="0" applyFont="1" applyFill="1" applyBorder="1"/>
    <xf numFmtId="43" fontId="3" fillId="7" borderId="4" xfId="0" applyNumberFormat="1" applyFont="1" applyFill="1" applyBorder="1" applyAlignment="1">
      <alignment horizontal="center" vertical="center" wrapText="1"/>
    </xf>
    <xf numFmtId="0" fontId="28" fillId="2" borderId="8" xfId="0" applyFont="1" applyFill="1" applyBorder="1"/>
    <xf numFmtId="43" fontId="3" fillId="7" borderId="4" xfId="0" applyNumberFormat="1" applyFont="1" applyFill="1" applyBorder="1" applyAlignment="1">
      <alignment horizontal="left" vertical="center" wrapText="1"/>
    </xf>
    <xf numFmtId="9" fontId="30" fillId="2" borderId="2" xfId="0" applyNumberFormat="1" applyFont="1" applyFill="1" applyBorder="1" applyAlignment="1">
      <alignment horizontal="center" vertical="center" wrapText="1"/>
    </xf>
    <xf numFmtId="9" fontId="30" fillId="2" borderId="3" xfId="0" applyNumberFormat="1" applyFont="1" applyFill="1" applyBorder="1" applyAlignment="1">
      <alignment horizontal="center"/>
    </xf>
    <xf numFmtId="43" fontId="29" fillId="2" borderId="2" xfId="0" applyNumberFormat="1" applyFont="1" applyFill="1" applyBorder="1" applyAlignment="1">
      <alignment horizontal="left"/>
    </xf>
    <xf numFmtId="0" fontId="28" fillId="2" borderId="3" xfId="0" applyFont="1" applyFill="1" applyBorder="1"/>
    <xf numFmtId="0" fontId="34" fillId="2" borderId="2" xfId="0" applyFont="1" applyFill="1" applyBorder="1" applyAlignment="1">
      <alignment horizontal="left"/>
    </xf>
    <xf numFmtId="0" fontId="0" fillId="5" borderId="9" xfId="0" applyFill="1" applyBorder="1" applyAlignment="1">
      <alignment horizontal="center"/>
    </xf>
    <xf numFmtId="14" fontId="34" fillId="16" borderId="5" xfId="0" applyNumberFormat="1" applyFont="1" applyFill="1" applyBorder="1" applyAlignment="1">
      <alignment horizontal="left"/>
    </xf>
    <xf numFmtId="14" fontId="34" fillId="16" borderId="3" xfId="0" applyNumberFormat="1" applyFont="1" applyFill="1" applyBorder="1" applyAlignment="1">
      <alignment horizontal="left"/>
    </xf>
    <xf numFmtId="9" fontId="29" fillId="2" borderId="6" xfId="0" applyNumberFormat="1" applyFont="1" applyFill="1" applyBorder="1" applyAlignment="1">
      <alignment horizontal="center" vertical="center"/>
    </xf>
    <xf numFmtId="0" fontId="86" fillId="5" borderId="2" xfId="0" applyFont="1" applyFill="1" applyBorder="1" applyAlignment="1">
      <alignment horizontal="center"/>
    </xf>
    <xf numFmtId="43" fontId="28" fillId="5" borderId="6" xfId="0" applyNumberFormat="1" applyFont="1" applyFill="1" applyBorder="1"/>
    <xf numFmtId="0" fontId="86" fillId="5" borderId="2" xfId="0" applyFont="1" applyFill="1" applyBorder="1"/>
    <xf numFmtId="0" fontId="3" fillId="4" borderId="15" xfId="0" applyFont="1" applyFill="1" applyBorder="1" applyAlignment="1">
      <alignment horizontal="center" vertical="center"/>
    </xf>
    <xf numFmtId="0" fontId="0" fillId="2" borderId="3" xfId="0" applyFill="1" applyBorder="1"/>
    <xf numFmtId="43" fontId="55" fillId="2" borderId="12" xfId="0" applyNumberFormat="1" applyFont="1" applyFill="1" applyBorder="1" applyAlignment="1">
      <alignment horizontal="left" vertical="center"/>
    </xf>
    <xf numFmtId="9" fontId="30" fillId="2" borderId="2" xfId="0" applyNumberFormat="1" applyFont="1" applyFill="1" applyBorder="1" applyAlignment="1">
      <alignment horizontal="center"/>
    </xf>
    <xf numFmtId="164" fontId="28" fillId="5" borderId="0" xfId="0" applyNumberFormat="1" applyFont="1" applyFill="1" applyAlignment="1">
      <alignment horizontal="center"/>
    </xf>
    <xf numFmtId="164" fontId="49" fillId="5" borderId="0" xfId="0" applyNumberFormat="1" applyFont="1" applyFill="1"/>
    <xf numFmtId="164" fontId="10" fillId="16" borderId="3" xfId="0" applyNumberFormat="1" applyFont="1" applyFill="1" applyBorder="1" applyAlignment="1">
      <alignment horizontal="right"/>
    </xf>
    <xf numFmtId="0" fontId="90" fillId="16" borderId="1" xfId="0" applyFont="1" applyFill="1" applyBorder="1"/>
    <xf numFmtId="164" fontId="90" fillId="16" borderId="1" xfId="0" applyNumberFormat="1" applyFont="1" applyFill="1" applyBorder="1"/>
    <xf numFmtId="0" fontId="53" fillId="5" borderId="1" xfId="0" applyFont="1" applyFill="1" applyBorder="1"/>
    <xf numFmtId="0" fontId="56" fillId="0" borderId="1" xfId="0" applyFont="1" applyBorder="1"/>
    <xf numFmtId="0" fontId="29" fillId="5" borderId="0" xfId="0" applyFont="1" applyFill="1"/>
    <xf numFmtId="43" fontId="29" fillId="5" borderId="10" xfId="0" applyNumberFormat="1" applyFont="1" applyFill="1" applyBorder="1"/>
    <xf numFmtId="164" fontId="11" fillId="5" borderId="2" xfId="0" applyNumberFormat="1" applyFont="1" applyFill="1" applyBorder="1" applyAlignment="1">
      <alignment horizontal="right"/>
    </xf>
    <xf numFmtId="164" fontId="53" fillId="16" borderId="3" xfId="0" applyNumberFormat="1" applyFont="1" applyFill="1" applyBorder="1"/>
    <xf numFmtId="164" fontId="28" fillId="23" borderId="6" xfId="0" applyNumberFormat="1" applyFont="1" applyFill="1" applyBorder="1" applyAlignment="1">
      <alignment horizontal="center" vertical="center"/>
    </xf>
    <xf numFmtId="164" fontId="29" fillId="2" borderId="2" xfId="0" applyNumberFormat="1" applyFont="1" applyFill="1" applyBorder="1" applyAlignment="1">
      <alignment horizontal="center"/>
    </xf>
    <xf numFmtId="0" fontId="86" fillId="2" borderId="2" xfId="0" applyFont="1" applyFill="1" applyBorder="1"/>
    <xf numFmtId="0" fontId="0" fillId="5" borderId="9" xfId="0" applyFill="1" applyBorder="1"/>
    <xf numFmtId="43" fontId="29" fillId="7" borderId="6" xfId="0" applyNumberFormat="1" applyFont="1" applyFill="1" applyBorder="1"/>
    <xf numFmtId="9" fontId="28" fillId="7" borderId="2" xfId="0" applyNumberFormat="1" applyFont="1" applyFill="1" applyBorder="1" applyAlignment="1">
      <alignment horizontal="center" vertical="center" wrapText="1"/>
    </xf>
    <xf numFmtId="0" fontId="34" fillId="25" borderId="14" xfId="0" applyFont="1" applyFill="1" applyBorder="1" applyAlignment="1">
      <alignment horizontal="left"/>
    </xf>
    <xf numFmtId="0" fontId="29" fillId="23" borderId="6" xfId="0" applyFont="1" applyFill="1" applyBorder="1"/>
    <xf numFmtId="0" fontId="0" fillId="7" borderId="1" xfId="0" applyFill="1" applyBorder="1" applyAlignment="1">
      <alignment horizontal="center"/>
    </xf>
    <xf numFmtId="0" fontId="86" fillId="2" borderId="12" xfId="0" applyFont="1" applyFill="1" applyBorder="1"/>
    <xf numFmtId="43" fontId="28" fillId="7" borderId="6" xfId="0" applyNumberFormat="1" applyFont="1" applyFill="1" applyBorder="1"/>
    <xf numFmtId="9" fontId="28" fillId="5" borderId="6" xfId="0" applyNumberFormat="1" applyFont="1" applyFill="1" applyBorder="1" applyAlignment="1">
      <alignment horizontal="center"/>
    </xf>
    <xf numFmtId="0" fontId="18" fillId="2" borderId="12" xfId="0" applyFont="1" applyFill="1" applyBorder="1"/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9" fontId="30" fillId="2" borderId="2" xfId="0" applyNumberFormat="1" applyFont="1" applyFill="1" applyBorder="1" applyAlignment="1">
      <alignment horizontal="center" vertical="center"/>
    </xf>
    <xf numFmtId="9" fontId="30" fillId="2" borderId="6" xfId="0" applyNumberFormat="1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164" fontId="72" fillId="5" borderId="1" xfId="0" applyNumberFormat="1" applyFont="1" applyFill="1" applyBorder="1"/>
    <xf numFmtId="0" fontId="72" fillId="29" borderId="1" xfId="0" applyFont="1" applyFill="1" applyBorder="1"/>
    <xf numFmtId="164" fontId="72" fillId="29" borderId="1" xfId="0" applyNumberFormat="1" applyFont="1" applyFill="1" applyBorder="1"/>
    <xf numFmtId="43" fontId="29" fillId="2" borderId="9" xfId="0" applyNumberFormat="1" applyFont="1" applyFill="1" applyBorder="1"/>
    <xf numFmtId="0" fontId="18" fillId="0" borderId="1" xfId="0" applyFont="1" applyBorder="1"/>
    <xf numFmtId="0" fontId="77" fillId="5" borderId="3" xfId="0" applyFont="1" applyFill="1" applyBorder="1"/>
    <xf numFmtId="0" fontId="69" fillId="29" borderId="3" xfId="0" applyFont="1" applyFill="1" applyBorder="1"/>
    <xf numFmtId="164" fontId="69" fillId="29" borderId="1" xfId="0" applyNumberFormat="1" applyFont="1" applyFill="1" applyBorder="1"/>
    <xf numFmtId="0" fontId="49" fillId="0" borderId="1" xfId="0" applyFont="1" applyBorder="1"/>
    <xf numFmtId="9" fontId="30" fillId="2" borderId="4" xfId="0" applyNumberFormat="1" applyFont="1" applyFill="1" applyBorder="1" applyAlignment="1">
      <alignment horizontal="center" vertical="center"/>
    </xf>
    <xf numFmtId="0" fontId="18" fillId="7" borderId="4" xfId="0" applyFont="1" applyFill="1" applyBorder="1"/>
    <xf numFmtId="164" fontId="11" fillId="23" borderId="5" xfId="0" applyNumberFormat="1" applyFont="1" applyFill="1" applyBorder="1" applyAlignment="1">
      <alignment horizontal="right"/>
    </xf>
    <xf numFmtId="9" fontId="28" fillId="23" borderId="2" xfId="0" applyNumberFormat="1" applyFont="1" applyFill="1" applyBorder="1" applyAlignment="1">
      <alignment horizontal="center"/>
    </xf>
    <xf numFmtId="43" fontId="55" fillId="7" borderId="1" xfId="0" applyNumberFormat="1" applyFont="1" applyFill="1" applyBorder="1" applyAlignment="1">
      <alignment horizontal="left" vertical="center"/>
    </xf>
    <xf numFmtId="0" fontId="0" fillId="7" borderId="12" xfId="0" applyFill="1" applyBorder="1"/>
    <xf numFmtId="43" fontId="29" fillId="2" borderId="6" xfId="0" applyNumberFormat="1" applyFont="1" applyFill="1" applyBorder="1" applyAlignment="1">
      <alignment horizontal="left"/>
    </xf>
    <xf numFmtId="0" fontId="55" fillId="7" borderId="3" xfId="0" applyFont="1" applyFill="1" applyBorder="1" applyAlignment="1">
      <alignment vertical="center"/>
    </xf>
    <xf numFmtId="9" fontId="91" fillId="2" borderId="2" xfId="0" applyNumberFormat="1" applyFont="1" applyFill="1" applyBorder="1" applyAlignment="1">
      <alignment horizontal="center"/>
    </xf>
    <xf numFmtId="0" fontId="86" fillId="7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vertical="center"/>
    </xf>
    <xf numFmtId="9" fontId="28" fillId="5" borderId="2" xfId="0" applyNumberFormat="1" applyFont="1" applyFill="1" applyBorder="1" applyAlignment="1">
      <alignment horizontal="center" vertical="center"/>
    </xf>
    <xf numFmtId="43" fontId="29" fillId="7" borderId="6" xfId="0" applyNumberFormat="1" applyFont="1" applyFill="1" applyBorder="1" applyAlignment="1">
      <alignment horizontal="left"/>
    </xf>
    <xf numFmtId="43" fontId="29" fillId="5" borderId="6" xfId="0" applyNumberFormat="1" applyFont="1" applyFill="1" applyBorder="1" applyAlignment="1">
      <alignment horizontal="left"/>
    </xf>
    <xf numFmtId="9" fontId="30" fillId="2" borderId="5" xfId="0" applyNumberFormat="1" applyFont="1" applyFill="1" applyBorder="1" applyAlignment="1">
      <alignment horizontal="center"/>
    </xf>
    <xf numFmtId="164" fontId="11" fillId="5" borderId="5" xfId="0" applyNumberFormat="1" applyFont="1" applyFill="1" applyBorder="1" applyAlignment="1">
      <alignment horizontal="right"/>
    </xf>
    <xf numFmtId="43" fontId="28" fillId="23" borderId="10" xfId="0" applyNumberFormat="1" applyFont="1" applyFill="1" applyBorder="1" applyAlignment="1">
      <alignment horizontal="center" vertical="center"/>
    </xf>
    <xf numFmtId="43" fontId="29" fillId="2" borderId="9" xfId="0" applyNumberFormat="1" applyFont="1" applyFill="1" applyBorder="1" applyAlignment="1">
      <alignment horizontal="left"/>
    </xf>
    <xf numFmtId="43" fontId="55" fillId="2" borderId="6" xfId="0" applyNumberFormat="1" applyFont="1" applyFill="1" applyBorder="1" applyAlignment="1">
      <alignment horizontal="left" vertical="center"/>
    </xf>
    <xf numFmtId="0" fontId="86" fillId="7" borderId="12" xfId="0" applyFont="1" applyFill="1" applyBorder="1"/>
    <xf numFmtId="0" fontId="0" fillId="7" borderId="4" xfId="0" applyFill="1" applyBorder="1"/>
    <xf numFmtId="0" fontId="85" fillId="5" borderId="2" xfId="0" applyFont="1" applyFill="1" applyBorder="1"/>
    <xf numFmtId="0" fontId="28" fillId="2" borderId="1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164" fontId="49" fillId="17" borderId="4" xfId="0" applyNumberFormat="1" applyFont="1" applyFill="1" applyBorder="1"/>
    <xf numFmtId="164" fontId="85" fillId="17" borderId="0" xfId="0" applyNumberFormat="1" applyFont="1" applyFill="1"/>
    <xf numFmtId="43" fontId="28" fillId="2" borderId="6" xfId="0" applyNumberFormat="1" applyFont="1" applyFill="1" applyBorder="1"/>
    <xf numFmtId="43" fontId="28" fillId="2" borderId="6" xfId="0" applyNumberFormat="1" applyFont="1" applyFill="1" applyBorder="1" applyAlignment="1">
      <alignment horizontal="left"/>
    </xf>
    <xf numFmtId="0" fontId="3" fillId="7" borderId="6" xfId="0" applyFont="1" applyFill="1" applyBorder="1" applyAlignment="1">
      <alignment vertical="center"/>
    </xf>
    <xf numFmtId="9" fontId="11" fillId="2" borderId="5" xfId="0" applyNumberFormat="1" applyFont="1" applyFill="1" applyBorder="1" applyAlignment="1">
      <alignment horizontal="center"/>
    </xf>
    <xf numFmtId="14" fontId="34" fillId="5" borderId="3" xfId="0" applyNumberFormat="1" applyFont="1" applyFill="1" applyBorder="1" applyAlignment="1">
      <alignment horizontal="left"/>
    </xf>
    <xf numFmtId="0" fontId="92" fillId="7" borderId="12" xfId="0" applyFont="1" applyFill="1" applyBorder="1"/>
    <xf numFmtId="0" fontId="0" fillId="7" borderId="1" xfId="0" applyFill="1" applyBorder="1"/>
    <xf numFmtId="9" fontId="30" fillId="7" borderId="6" xfId="0" applyNumberFormat="1" applyFont="1" applyFill="1" applyBorder="1" applyAlignment="1">
      <alignment horizontal="center"/>
    </xf>
    <xf numFmtId="0" fontId="34" fillId="5" borderId="10" xfId="0" applyFont="1" applyFill="1" applyBorder="1" applyAlignment="1">
      <alignment horizontal="center"/>
    </xf>
    <xf numFmtId="14" fontId="34" fillId="5" borderId="0" xfId="0" applyNumberFormat="1" applyFont="1" applyFill="1" applyAlignment="1">
      <alignment horizontal="right"/>
    </xf>
    <xf numFmtId="14" fontId="34" fillId="5" borderId="0" xfId="0" applyNumberFormat="1" applyFont="1" applyFill="1" applyAlignment="1">
      <alignment horizontal="left"/>
    </xf>
    <xf numFmtId="164" fontId="34" fillId="5" borderId="0" xfId="0" applyNumberFormat="1" applyFont="1" applyFill="1" applyAlignment="1">
      <alignment horizontal="left"/>
    </xf>
    <xf numFmtId="0" fontId="34" fillId="16" borderId="0" xfId="0" applyFont="1" applyFill="1" applyAlignment="1">
      <alignment horizontal="center"/>
    </xf>
    <xf numFmtId="0" fontId="3" fillId="23" borderId="3" xfId="0" applyFont="1" applyFill="1" applyBorder="1" applyAlignment="1">
      <alignment vertical="center"/>
    </xf>
    <xf numFmtId="0" fontId="30" fillId="7" borderId="6" xfId="0" applyFont="1" applyFill="1" applyBorder="1" applyAlignment="1">
      <alignment horizontal="center" vertical="center"/>
    </xf>
    <xf numFmtId="164" fontId="30" fillId="7" borderId="1" xfId="0" applyNumberFormat="1" applyFont="1" applyFill="1" applyBorder="1" applyAlignment="1">
      <alignment horizontal="right" vertical="center"/>
    </xf>
    <xf numFmtId="0" fontId="93" fillId="7" borderId="2" xfId="0" applyFont="1" applyFill="1" applyBorder="1"/>
    <xf numFmtId="0" fontId="93" fillId="7" borderId="2" xfId="0" applyFont="1" applyFill="1" applyBorder="1" applyAlignment="1">
      <alignment horizontal="center"/>
    </xf>
    <xf numFmtId="0" fontId="94" fillId="7" borderId="2" xfId="0" applyFont="1" applyFill="1" applyBorder="1"/>
    <xf numFmtId="0" fontId="95" fillId="0" borderId="1" xfId="0" applyFont="1" applyBorder="1"/>
    <xf numFmtId="14" fontId="34" fillId="5" borderId="4" xfId="0" applyNumberFormat="1" applyFont="1" applyFill="1" applyBorder="1" applyAlignment="1">
      <alignment horizontal="left"/>
    </xf>
    <xf numFmtId="9" fontId="30" fillId="7" borderId="2" xfId="0" applyNumberFormat="1" applyFont="1" applyFill="1" applyBorder="1" applyAlignment="1">
      <alignment horizontal="center"/>
    </xf>
    <xf numFmtId="164" fontId="29" fillId="7" borderId="2" xfId="0" applyNumberFormat="1" applyFont="1" applyFill="1" applyBorder="1" applyAlignment="1">
      <alignment horizontal="center"/>
    </xf>
    <xf numFmtId="43" fontId="28" fillId="7" borderId="10" xfId="0" applyNumberFormat="1" applyFont="1" applyFill="1" applyBorder="1" applyAlignment="1">
      <alignment horizontal="center" vertical="center"/>
    </xf>
    <xf numFmtId="43" fontId="3" fillId="7" borderId="10" xfId="0" applyNumberFormat="1" applyFont="1" applyFill="1" applyBorder="1" applyAlignment="1">
      <alignment horizontal="left" vertical="center"/>
    </xf>
    <xf numFmtId="0" fontId="18" fillId="7" borderId="1" xfId="0" applyFont="1" applyFill="1" applyBorder="1"/>
    <xf numFmtId="164" fontId="28" fillId="7" borderId="4" xfId="0" applyNumberFormat="1" applyFont="1" applyFill="1" applyBorder="1" applyAlignment="1">
      <alignment horizontal="right" vertical="center"/>
    </xf>
    <xf numFmtId="9" fontId="29" fillId="2" borderId="2" xfId="0" applyNumberFormat="1" applyFont="1" applyFill="1" applyBorder="1" applyAlignment="1">
      <alignment horizontal="center" vertical="center"/>
    </xf>
    <xf numFmtId="0" fontId="18" fillId="2" borderId="7" xfId="0" applyFont="1" applyFill="1" applyBorder="1"/>
    <xf numFmtId="0" fontId="34" fillId="16" borderId="15" xfId="0" applyFont="1" applyFill="1" applyBorder="1" applyAlignment="1">
      <alignment horizontal="left"/>
    </xf>
    <xf numFmtId="0" fontId="93" fillId="5" borderId="2" xfId="0" applyFont="1" applyFill="1" applyBorder="1"/>
    <xf numFmtId="0" fontId="93" fillId="5" borderId="2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 vertical="center"/>
    </xf>
    <xf numFmtId="0" fontId="94" fillId="5" borderId="2" xfId="0" applyFont="1" applyFill="1" applyBorder="1"/>
    <xf numFmtId="164" fontId="11" fillId="7" borderId="15" xfId="0" applyNumberFormat="1" applyFont="1" applyFill="1" applyBorder="1" applyAlignment="1">
      <alignment horizontal="right"/>
    </xf>
    <xf numFmtId="164" fontId="29" fillId="7" borderId="4" xfId="0" applyNumberFormat="1" applyFont="1" applyFill="1" applyBorder="1" applyAlignment="1">
      <alignment horizontal="center"/>
    </xf>
    <xf numFmtId="0" fontId="18" fillId="7" borderId="7" xfId="0" applyFont="1" applyFill="1" applyBorder="1"/>
    <xf numFmtId="43" fontId="3" fillId="7" borderId="6" xfId="0" applyNumberFormat="1" applyFont="1" applyFill="1" applyBorder="1" applyAlignment="1">
      <alignment horizontal="left" vertical="center"/>
    </xf>
    <xf numFmtId="0" fontId="3" fillId="5" borderId="6" xfId="0" applyFont="1" applyFill="1" applyBorder="1" applyAlignment="1">
      <alignment vertical="center"/>
    </xf>
    <xf numFmtId="0" fontId="28" fillId="23" borderId="7" xfId="0" applyFont="1" applyFill="1" applyBorder="1" applyAlignment="1">
      <alignment horizontal="center" vertical="center"/>
    </xf>
    <xf numFmtId="9" fontId="29" fillId="2" borderId="4" xfId="0" applyNumberFormat="1" applyFont="1" applyFill="1" applyBorder="1" applyAlignment="1">
      <alignment horizontal="center" vertical="center"/>
    </xf>
    <xf numFmtId="43" fontId="28" fillId="7" borderId="6" xfId="0" applyNumberFormat="1" applyFont="1" applyFill="1" applyBorder="1" applyAlignment="1">
      <alignment horizontal="left"/>
    </xf>
    <xf numFmtId="0" fontId="78" fillId="0" borderId="0" xfId="0" applyFont="1"/>
    <xf numFmtId="164" fontId="29" fillId="23" borderId="2" xfId="0" applyNumberFormat="1" applyFont="1" applyFill="1" applyBorder="1" applyAlignment="1">
      <alignment horizontal="center"/>
    </xf>
    <xf numFmtId="43" fontId="55" fillId="5" borderId="12" xfId="0" applyNumberFormat="1" applyFont="1" applyFill="1" applyBorder="1" applyAlignment="1">
      <alignment horizontal="left" vertical="center"/>
    </xf>
    <xf numFmtId="0" fontId="95" fillId="0" borderId="0" xfId="0" applyFont="1"/>
    <xf numFmtId="0" fontId="31" fillId="0" borderId="12" xfId="0" applyFont="1" applyBorder="1" applyAlignment="1">
      <alignment horizontal="left"/>
    </xf>
    <xf numFmtId="0" fontId="94" fillId="2" borderId="2" xfId="0" applyFont="1" applyFill="1" applyBorder="1"/>
    <xf numFmtId="43" fontId="55" fillId="23" borderId="10" xfId="0" applyNumberFormat="1" applyFont="1" applyFill="1" applyBorder="1" applyAlignment="1">
      <alignment horizontal="left" vertical="center"/>
    </xf>
    <xf numFmtId="14" fontId="34" fillId="5" borderId="10" xfId="0" applyNumberFormat="1" applyFont="1" applyFill="1" applyBorder="1" applyAlignment="1">
      <alignment horizontal="left"/>
    </xf>
    <xf numFmtId="164" fontId="30" fillId="5" borderId="2" xfId="0" applyNumberFormat="1" applyFont="1" applyFill="1" applyBorder="1" applyAlignment="1">
      <alignment horizontal="right" vertical="center"/>
    </xf>
    <xf numFmtId="0" fontId="85" fillId="5" borderId="5" xfId="0" applyFont="1" applyFill="1" applyBorder="1"/>
    <xf numFmtId="0" fontId="94" fillId="7" borderId="12" xfId="0" applyFont="1" applyFill="1" applyBorder="1"/>
    <xf numFmtId="0" fontId="28" fillId="23" borderId="9" xfId="0" applyFont="1" applyFill="1" applyBorder="1" applyAlignment="1">
      <alignment horizontal="center" vertical="center"/>
    </xf>
    <xf numFmtId="164" fontId="30" fillId="7" borderId="2" xfId="0" applyNumberFormat="1" applyFont="1" applyFill="1" applyBorder="1" applyAlignment="1">
      <alignment horizontal="right" vertical="center"/>
    </xf>
    <xf numFmtId="43" fontId="28" fillId="5" borderId="6" xfId="0" applyNumberFormat="1" applyFont="1" applyFill="1" applyBorder="1" applyAlignment="1">
      <alignment horizontal="left"/>
    </xf>
    <xf numFmtId="0" fontId="28" fillId="5" borderId="12" xfId="0" applyFont="1" applyFill="1" applyBorder="1" applyAlignment="1">
      <alignment horizontal="center" vertical="center"/>
    </xf>
    <xf numFmtId="43" fontId="29" fillId="5" borderId="9" xfId="0" applyNumberFormat="1" applyFont="1" applyFill="1" applyBorder="1" applyAlignment="1">
      <alignment horizontal="left"/>
    </xf>
    <xf numFmtId="43" fontId="29" fillId="7" borderId="9" xfId="0" applyNumberFormat="1" applyFont="1" applyFill="1" applyBorder="1" applyAlignment="1">
      <alignment horizontal="left"/>
    </xf>
    <xf numFmtId="0" fontId="31" fillId="0" borderId="3" xfId="0" applyFont="1" applyBorder="1" applyAlignment="1">
      <alignment horizontal="left"/>
    </xf>
    <xf numFmtId="43" fontId="28" fillId="2" borderId="3" xfId="0" applyNumberFormat="1" applyFont="1" applyFill="1" applyBorder="1" applyAlignment="1">
      <alignment horizontal="left"/>
    </xf>
    <xf numFmtId="164" fontId="29" fillId="5" borderId="6" xfId="0" applyNumberFormat="1" applyFont="1" applyFill="1" applyBorder="1" applyAlignment="1">
      <alignment horizontal="center"/>
    </xf>
    <xf numFmtId="164" fontId="0" fillId="2" borderId="1" xfId="0" applyNumberFormat="1" applyFill="1" applyBorder="1"/>
    <xf numFmtId="0" fontId="93" fillId="7" borderId="8" xfId="0" applyFont="1" applyFill="1" applyBorder="1" applyAlignment="1">
      <alignment horizontal="center"/>
    </xf>
    <xf numFmtId="168" fontId="29" fillId="2" borderId="4" xfId="0" applyNumberFormat="1" applyFont="1" applyFill="1" applyBorder="1" applyAlignment="1">
      <alignment horizontal="center"/>
    </xf>
    <xf numFmtId="168" fontId="28" fillId="2" borderId="4" xfId="0" applyNumberFormat="1" applyFont="1" applyFill="1" applyBorder="1" applyAlignment="1">
      <alignment horizontal="center"/>
    </xf>
    <xf numFmtId="0" fontId="18" fillId="7" borderId="12" xfId="0" applyFont="1" applyFill="1" applyBorder="1" applyAlignment="1">
      <alignment wrapText="1"/>
    </xf>
    <xf numFmtId="9" fontId="28" fillId="23" borderId="6" xfId="0" applyNumberFormat="1" applyFont="1" applyFill="1" applyBorder="1" applyAlignment="1">
      <alignment horizontal="center"/>
    </xf>
    <xf numFmtId="0" fontId="93" fillId="2" borderId="2" xfId="0" applyFont="1" applyFill="1" applyBorder="1"/>
    <xf numFmtId="0" fontId="93" fillId="2" borderId="2" xfId="0" applyFont="1" applyFill="1" applyBorder="1" applyAlignment="1">
      <alignment horizontal="center"/>
    </xf>
    <xf numFmtId="0" fontId="86" fillId="5" borderId="8" xfId="0" applyFont="1" applyFill="1" applyBorder="1" applyAlignment="1">
      <alignment horizontal="center"/>
    </xf>
    <xf numFmtId="0" fontId="96" fillId="0" borderId="0" xfId="0" applyFont="1"/>
    <xf numFmtId="0" fontId="28" fillId="23" borderId="6" xfId="0" applyFont="1" applyFill="1" applyBorder="1"/>
    <xf numFmtId="164" fontId="28" fillId="2" borderId="5" xfId="0" applyNumberFormat="1" applyFont="1" applyFill="1" applyBorder="1" applyAlignment="1">
      <alignment horizontal="right"/>
    </xf>
    <xf numFmtId="0" fontId="94" fillId="2" borderId="8" xfId="0" applyFont="1" applyFill="1" applyBorder="1"/>
    <xf numFmtId="9" fontId="30" fillId="7" borderId="10" xfId="0" applyNumberFormat="1" applyFont="1" applyFill="1" applyBorder="1" applyAlignment="1">
      <alignment horizontal="center"/>
    </xf>
    <xf numFmtId="9" fontId="30" fillId="23" borderId="2" xfId="0" applyNumberFormat="1" applyFont="1" applyFill="1" applyBorder="1" applyAlignment="1">
      <alignment horizontal="center"/>
    </xf>
    <xf numFmtId="0" fontId="18" fillId="23" borderId="12" xfId="0" applyFont="1" applyFill="1" applyBorder="1"/>
    <xf numFmtId="43" fontId="29" fillId="23" borderId="6" xfId="0" applyNumberFormat="1" applyFont="1" applyFill="1" applyBorder="1" applyAlignment="1">
      <alignment horizontal="left"/>
    </xf>
    <xf numFmtId="9" fontId="30" fillId="23" borderId="1" xfId="0" applyNumberFormat="1" applyFont="1" applyFill="1" applyBorder="1" applyAlignment="1">
      <alignment horizontal="center" vertical="center" wrapText="1"/>
    </xf>
    <xf numFmtId="0" fontId="54" fillId="2" borderId="6" xfId="0" applyFont="1" applyFill="1" applyBorder="1" applyAlignment="1">
      <alignment horizontal="center" vertical="center"/>
    </xf>
    <xf numFmtId="43" fontId="55" fillId="7" borderId="10" xfId="0" applyNumberFormat="1" applyFont="1" applyFill="1" applyBorder="1" applyAlignment="1">
      <alignment horizontal="left" vertical="center"/>
    </xf>
    <xf numFmtId="9" fontId="28" fillId="7" borderId="6" xfId="0" applyNumberFormat="1" applyFont="1" applyFill="1" applyBorder="1" applyAlignment="1">
      <alignment horizontal="center" vertical="center" wrapText="1"/>
    </xf>
    <xf numFmtId="9" fontId="30" fillId="2" borderId="10" xfId="0" applyNumberFormat="1" applyFont="1" applyFill="1" applyBorder="1" applyAlignment="1">
      <alignment horizontal="center" vertical="center" wrapText="1"/>
    </xf>
    <xf numFmtId="0" fontId="96" fillId="5" borderId="1" xfId="0" applyFont="1" applyFill="1" applyBorder="1"/>
    <xf numFmtId="0" fontId="17" fillId="5" borderId="0" xfId="0" applyFont="1" applyFill="1" applyAlignment="1">
      <alignment horizontal="center" vertical="center" wrapText="1"/>
    </xf>
    <xf numFmtId="164" fontId="28" fillId="5" borderId="0" xfId="0" applyNumberFormat="1" applyFont="1" applyFill="1" applyAlignment="1">
      <alignment vertical="center"/>
    </xf>
    <xf numFmtId="43" fontId="28" fillId="5" borderId="10" xfId="0" applyNumberFormat="1" applyFont="1" applyFill="1" applyBorder="1" applyAlignment="1">
      <alignment horizontal="center" vertical="center"/>
    </xf>
    <xf numFmtId="43" fontId="55" fillId="5" borderId="1" xfId="0" applyNumberFormat="1" applyFont="1" applyFill="1" applyBorder="1" applyAlignment="1">
      <alignment horizontal="left" vertical="center"/>
    </xf>
    <xf numFmtId="164" fontId="28" fillId="5" borderId="5" xfId="0" applyNumberFormat="1" applyFont="1" applyFill="1" applyBorder="1" applyAlignment="1">
      <alignment horizontal="right"/>
    </xf>
    <xf numFmtId="164" fontId="28" fillId="5" borderId="1" xfId="0" applyNumberFormat="1" applyFont="1" applyFill="1" applyBorder="1" applyAlignment="1">
      <alignment horizontal="center"/>
    </xf>
    <xf numFmtId="43" fontId="3" fillId="5" borderId="1" xfId="0" applyNumberFormat="1" applyFont="1" applyFill="1" applyBorder="1" applyAlignment="1">
      <alignment horizontal="left" vertical="center"/>
    </xf>
    <xf numFmtId="9" fontId="11" fillId="5" borderId="2" xfId="0" applyNumberFormat="1" applyFont="1" applyFill="1" applyBorder="1" applyAlignment="1">
      <alignment horizontal="center"/>
    </xf>
    <xf numFmtId="0" fontId="28" fillId="5" borderId="8" xfId="0" applyFont="1" applyFill="1" applyBorder="1"/>
    <xf numFmtId="9" fontId="28" fillId="5" borderId="10" xfId="0" applyNumberFormat="1" applyFont="1" applyFill="1" applyBorder="1" applyAlignment="1">
      <alignment horizontal="center"/>
    </xf>
    <xf numFmtId="9" fontId="30" fillId="5" borderId="10" xfId="0" applyNumberFormat="1" applyFont="1" applyFill="1" applyBorder="1" applyAlignment="1">
      <alignment horizontal="center"/>
    </xf>
    <xf numFmtId="164" fontId="29" fillId="5" borderId="2" xfId="0" applyNumberFormat="1" applyFont="1" applyFill="1" applyBorder="1" applyAlignment="1">
      <alignment horizontal="center"/>
    </xf>
    <xf numFmtId="43" fontId="55" fillId="5" borderId="10" xfId="0" applyNumberFormat="1" applyFont="1" applyFill="1" applyBorder="1" applyAlignment="1">
      <alignment horizontal="left" vertical="center"/>
    </xf>
    <xf numFmtId="0" fontId="86" fillId="5" borderId="12" xfId="0" applyFont="1" applyFill="1" applyBorder="1"/>
    <xf numFmtId="0" fontId="94" fillId="5" borderId="12" xfId="0" applyFont="1" applyFill="1" applyBorder="1"/>
    <xf numFmtId="0" fontId="18" fillId="5" borderId="12" xfId="0" applyFont="1" applyFill="1" applyBorder="1"/>
    <xf numFmtId="9" fontId="30" fillId="5" borderId="6" xfId="0" applyNumberFormat="1" applyFont="1" applyFill="1" applyBorder="1" applyAlignment="1">
      <alignment horizontal="center"/>
    </xf>
    <xf numFmtId="0" fontId="54" fillId="5" borderId="6" xfId="0" applyFont="1" applyFill="1" applyBorder="1" applyAlignment="1">
      <alignment horizontal="center" vertical="center"/>
    </xf>
    <xf numFmtId="9" fontId="30" fillId="5" borderId="10" xfId="0" applyNumberFormat="1" applyFont="1" applyFill="1" applyBorder="1" applyAlignment="1">
      <alignment horizontal="center" vertical="center" wrapText="1"/>
    </xf>
    <xf numFmtId="0" fontId="29" fillId="5" borderId="9" xfId="0" applyFont="1" applyFill="1" applyBorder="1"/>
    <xf numFmtId="9" fontId="28" fillId="5" borderId="6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/>
    <xf numFmtId="9" fontId="30" fillId="23" borderId="6" xfId="0" applyNumberFormat="1" applyFont="1" applyFill="1" applyBorder="1" applyAlignment="1">
      <alignment horizontal="center"/>
    </xf>
    <xf numFmtId="43" fontId="28" fillId="23" borderId="6" xfId="0" applyNumberFormat="1" applyFont="1" applyFill="1" applyBorder="1" applyAlignment="1">
      <alignment horizontal="left"/>
    </xf>
    <xf numFmtId="9" fontId="29" fillId="23" borderId="4" xfId="0" applyNumberFormat="1" applyFont="1" applyFill="1" applyBorder="1" applyAlignment="1">
      <alignment horizontal="center"/>
    </xf>
    <xf numFmtId="164" fontId="29" fillId="23" borderId="2" xfId="0" applyNumberFormat="1" applyFont="1" applyFill="1" applyBorder="1"/>
    <xf numFmtId="9" fontId="28" fillId="23" borderId="3" xfId="0" applyNumberFormat="1" applyFont="1" applyFill="1" applyBorder="1" applyAlignment="1">
      <alignment horizontal="center" vertical="center" wrapText="1"/>
    </xf>
    <xf numFmtId="9" fontId="30" fillId="23" borderId="1" xfId="0" applyNumberFormat="1" applyFont="1" applyFill="1" applyBorder="1" applyAlignment="1">
      <alignment horizontal="center"/>
    </xf>
    <xf numFmtId="0" fontId="28" fillId="23" borderId="1" xfId="0" applyFont="1" applyFill="1" applyBorder="1" applyAlignment="1">
      <alignment horizontal="center" vertical="center"/>
    </xf>
    <xf numFmtId="0" fontId="28" fillId="23" borderId="1" xfId="0" applyFont="1" applyFill="1" applyBorder="1" applyAlignment="1">
      <alignment horizontal="center"/>
    </xf>
    <xf numFmtId="9" fontId="28" fillId="23" borderId="11" xfId="0" applyNumberFormat="1" applyFont="1" applyFill="1" applyBorder="1" applyAlignment="1">
      <alignment horizontal="center" vertical="center" wrapText="1"/>
    </xf>
    <xf numFmtId="9" fontId="30" fillId="23" borderId="11" xfId="0" applyNumberFormat="1" applyFont="1" applyFill="1" applyBorder="1" applyAlignment="1">
      <alignment horizontal="center" vertical="center" wrapText="1"/>
    </xf>
    <xf numFmtId="43" fontId="28" fillId="23" borderId="9" xfId="0" applyNumberFormat="1" applyFont="1" applyFill="1" applyBorder="1" applyAlignment="1">
      <alignment horizontal="left"/>
    </xf>
    <xf numFmtId="0" fontId="28" fillId="2" borderId="6" xfId="0" applyFont="1" applyFill="1" applyBorder="1" applyAlignment="1">
      <alignment horizontal="right" vertical="center"/>
    </xf>
    <xf numFmtId="0" fontId="97" fillId="2" borderId="4" xfId="0" applyFont="1" applyFill="1" applyBorder="1" applyAlignment="1">
      <alignment horizontal="center"/>
    </xf>
    <xf numFmtId="9" fontId="28" fillId="23" borderId="4" xfId="0" applyNumberFormat="1" applyFont="1" applyFill="1" applyBorder="1" applyAlignment="1">
      <alignment horizontal="center"/>
    </xf>
    <xf numFmtId="164" fontId="28" fillId="23" borderId="1" xfId="0" applyNumberFormat="1" applyFont="1" applyFill="1" applyBorder="1"/>
    <xf numFmtId="9" fontId="28" fillId="23" borderId="3" xfId="0" applyNumberFormat="1" applyFont="1" applyFill="1" applyBorder="1" applyAlignment="1">
      <alignment horizontal="center"/>
    </xf>
    <xf numFmtId="0" fontId="93" fillId="23" borderId="2" xfId="0" applyFont="1" applyFill="1" applyBorder="1"/>
    <xf numFmtId="0" fontId="93" fillId="23" borderId="2" xfId="0" applyFont="1" applyFill="1" applyBorder="1" applyAlignment="1">
      <alignment horizontal="center"/>
    </xf>
    <xf numFmtId="0" fontId="94" fillId="23" borderId="2" xfId="0" applyFont="1" applyFill="1" applyBorder="1"/>
    <xf numFmtId="0" fontId="28" fillId="23" borderId="7" xfId="0" applyFont="1" applyFill="1" applyBorder="1" applyAlignment="1">
      <alignment horizontal="center"/>
    </xf>
    <xf numFmtId="0" fontId="28" fillId="23" borderId="12" xfId="0" applyFont="1" applyFill="1" applyBorder="1" applyAlignment="1">
      <alignment horizontal="center" vertical="center"/>
    </xf>
    <xf numFmtId="164" fontId="29" fillId="23" borderId="1" xfId="0" applyNumberFormat="1" applyFont="1" applyFill="1" applyBorder="1" applyAlignment="1">
      <alignment horizontal="center"/>
    </xf>
    <xf numFmtId="43" fontId="28" fillId="23" borderId="1" xfId="0" applyNumberFormat="1" applyFont="1" applyFill="1" applyBorder="1" applyAlignment="1">
      <alignment horizontal="center" vertical="center"/>
    </xf>
    <xf numFmtId="43" fontId="55" fillId="23" borderId="1" xfId="0" applyNumberFormat="1" applyFont="1" applyFill="1" applyBorder="1" applyAlignment="1">
      <alignment horizontal="left" vertical="center"/>
    </xf>
    <xf numFmtId="43" fontId="17" fillId="5" borderId="2" xfId="0" applyNumberFormat="1" applyFont="1" applyFill="1" applyBorder="1" applyAlignment="1">
      <alignment horizontal="center" vertical="center" wrapText="1"/>
    </xf>
    <xf numFmtId="43" fontId="17" fillId="5" borderId="8" xfId="0" applyNumberFormat="1" applyFont="1" applyFill="1" applyBorder="1" applyAlignment="1">
      <alignment horizontal="center" vertical="center" wrapText="1"/>
    </xf>
    <xf numFmtId="43" fontId="17" fillId="5" borderId="6" xfId="0" applyNumberFormat="1" applyFont="1" applyFill="1" applyBorder="1" applyAlignment="1">
      <alignment horizontal="center" vertical="center" wrapText="1"/>
    </xf>
    <xf numFmtId="0" fontId="44" fillId="3" borderId="4" xfId="0" applyFont="1" applyFill="1" applyBorder="1" applyAlignment="1">
      <alignment horizontal="center"/>
    </xf>
    <xf numFmtId="0" fontId="44" fillId="3" borderId="15" xfId="0" applyFont="1" applyFill="1" applyBorder="1" applyAlignment="1">
      <alignment horizontal="center"/>
    </xf>
    <xf numFmtId="0" fontId="44" fillId="3" borderId="1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/>
    </xf>
    <xf numFmtId="0" fontId="44" fillId="3" borderId="2" xfId="0" applyFont="1" applyFill="1" applyBorder="1" applyAlignment="1">
      <alignment horizontal="center"/>
    </xf>
    <xf numFmtId="0" fontId="17" fillId="5" borderId="13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43" fontId="17" fillId="5" borderId="13" xfId="0" applyNumberFormat="1" applyFont="1" applyFill="1" applyBorder="1" applyAlignment="1">
      <alignment horizontal="center" vertical="center" wrapText="1"/>
    </xf>
    <xf numFmtId="43" fontId="17" fillId="5" borderId="0" xfId="0" applyNumberFormat="1" applyFont="1" applyFill="1" applyAlignment="1">
      <alignment horizontal="center" vertical="center" wrapText="1"/>
    </xf>
    <xf numFmtId="43" fontId="17" fillId="5" borderId="1" xfId="0" applyNumberFormat="1" applyFont="1" applyFill="1" applyBorder="1" applyAlignment="1">
      <alignment horizontal="center" vertical="center" wrapText="1"/>
    </xf>
    <xf numFmtId="0" fontId="2" fillId="24" borderId="12" xfId="0" applyFont="1" applyFill="1" applyBorder="1" applyAlignment="1">
      <alignment horizontal="center"/>
    </xf>
    <xf numFmtId="0" fontId="2" fillId="24" borderId="7" xfId="0" applyFont="1" applyFill="1" applyBorder="1" applyAlignment="1">
      <alignment horizontal="center"/>
    </xf>
    <xf numFmtId="0" fontId="44" fillId="3" borderId="10" xfId="0" applyFont="1" applyFill="1" applyBorder="1" applyAlignment="1">
      <alignment horizontal="center"/>
    </xf>
    <xf numFmtId="0" fontId="44" fillId="3" borderId="3" xfId="0" applyFont="1" applyFill="1" applyBorder="1" applyAlignment="1">
      <alignment horizontal="center"/>
    </xf>
    <xf numFmtId="0" fontId="60" fillId="5" borderId="8" xfId="0" applyFont="1" applyFill="1" applyBorder="1" applyAlignment="1">
      <alignment horizontal="center" vertical="center"/>
    </xf>
    <xf numFmtId="0" fontId="60" fillId="5" borderId="6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44" fillId="3" borderId="5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24" borderId="13" xfId="0" applyFont="1" applyFill="1" applyBorder="1" applyAlignment="1">
      <alignment horizontal="center"/>
    </xf>
    <xf numFmtId="0" fontId="2" fillId="24" borderId="0" xfId="0" applyFont="1" applyFill="1" applyAlignment="1">
      <alignment horizontal="center"/>
    </xf>
    <xf numFmtId="0" fontId="44" fillId="17" borderId="2" xfId="0" applyFont="1" applyFill="1" applyBorder="1" applyAlignment="1">
      <alignment horizontal="center"/>
    </xf>
    <xf numFmtId="0" fontId="44" fillId="17" borderId="1" xfId="0" applyFont="1" applyFill="1" applyBorder="1" applyAlignment="1">
      <alignment horizontal="center"/>
    </xf>
    <xf numFmtId="0" fontId="44" fillId="17" borderId="4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62" fillId="0" borderId="8" xfId="0" applyFont="1" applyBorder="1" applyAlignment="1">
      <alignment horizontal="center" vertical="center"/>
    </xf>
    <xf numFmtId="0" fontId="62" fillId="0" borderId="6" xfId="0" applyFont="1" applyBorder="1" applyAlignment="1">
      <alignment horizontal="center" vertical="center"/>
    </xf>
    <xf numFmtId="0" fontId="3" fillId="6" borderId="12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60" fillId="0" borderId="2" xfId="0" applyFont="1" applyBorder="1" applyAlignment="1">
      <alignment horizontal="center" vertical="center"/>
    </xf>
    <xf numFmtId="0" fontId="60" fillId="0" borderId="8" xfId="0" applyFont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52" fillId="5" borderId="2" xfId="0" applyFont="1" applyFill="1" applyBorder="1" applyAlignment="1">
      <alignment horizontal="center" vertical="center" wrapText="1"/>
    </xf>
    <xf numFmtId="0" fontId="52" fillId="5" borderId="8" xfId="0" applyFont="1" applyFill="1" applyBorder="1" applyAlignment="1">
      <alignment horizontal="center" vertical="center" wrapText="1"/>
    </xf>
    <xf numFmtId="0" fontId="52" fillId="5" borderId="6" xfId="0" applyFont="1" applyFill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 wrapText="1"/>
    </xf>
    <xf numFmtId="164" fontId="8" fillId="0" borderId="12" xfId="0" applyNumberFormat="1" applyFont="1" applyBorder="1" applyAlignment="1">
      <alignment horizontal="center" vertical="center" wrapText="1"/>
    </xf>
    <xf numFmtId="164" fontId="8" fillId="0" borderId="9" xfId="0" applyNumberFormat="1" applyFont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165" fontId="10" fillId="2" borderId="2" xfId="0" applyNumberFormat="1" applyFont="1" applyFill="1" applyBorder="1" applyAlignment="1">
      <alignment horizontal="center" vertical="center"/>
    </xf>
    <xf numFmtId="165" fontId="10" fillId="2" borderId="6" xfId="0" applyNumberFormat="1" applyFont="1" applyFill="1" applyBorder="1" applyAlignment="1">
      <alignment horizontal="center" vertical="center"/>
    </xf>
    <xf numFmtId="0" fontId="44" fillId="3" borderId="13" xfId="0" applyFont="1" applyFill="1" applyBorder="1" applyAlignment="1">
      <alignment horizontal="center"/>
    </xf>
    <xf numFmtId="0" fontId="44" fillId="3" borderId="0" xfId="0" applyFont="1" applyFill="1" applyAlignment="1">
      <alignment horizontal="center"/>
    </xf>
    <xf numFmtId="0" fontId="44" fillId="3" borderId="14" xfId="0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0" fontId="3" fillId="17" borderId="12" xfId="0" applyFont="1" applyFill="1" applyBorder="1" applyAlignment="1">
      <alignment horizontal="center"/>
    </xf>
    <xf numFmtId="0" fontId="3" fillId="17" borderId="7" xfId="0" applyFont="1" applyFill="1" applyBorder="1" applyAlignment="1">
      <alignment horizontal="center"/>
    </xf>
    <xf numFmtId="0" fontId="3" fillId="17" borderId="9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36" fillId="5" borderId="2" xfId="0" applyFont="1" applyFill="1" applyBorder="1" applyAlignment="1">
      <alignment horizontal="center" vertical="center" wrapText="1"/>
    </xf>
    <xf numFmtId="0" fontId="36" fillId="5" borderId="8" xfId="0" applyFont="1" applyFill="1" applyBorder="1" applyAlignment="1">
      <alignment horizontal="center" vertical="center" wrapText="1"/>
    </xf>
    <xf numFmtId="0" fontId="36" fillId="5" borderId="6" xfId="0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 wrapText="1"/>
    </xf>
    <xf numFmtId="0" fontId="39" fillId="5" borderId="2" xfId="0" applyFont="1" applyFill="1" applyBorder="1" applyAlignment="1">
      <alignment horizontal="center" vertical="center" wrapText="1"/>
    </xf>
    <xf numFmtId="0" fontId="39" fillId="5" borderId="8" xfId="0" applyFont="1" applyFill="1" applyBorder="1" applyAlignment="1">
      <alignment horizontal="center" vertical="center" wrapText="1"/>
    </xf>
    <xf numFmtId="0" fontId="39" fillId="5" borderId="6" xfId="0" applyFont="1" applyFill="1" applyBorder="1" applyAlignment="1">
      <alignment horizontal="center" vertical="center" wrapText="1"/>
    </xf>
    <xf numFmtId="0" fontId="37" fillId="5" borderId="2" xfId="0" applyFont="1" applyFill="1" applyBorder="1" applyAlignment="1">
      <alignment horizontal="center" vertical="center"/>
    </xf>
    <xf numFmtId="0" fontId="37" fillId="5" borderId="8" xfId="0" applyFont="1" applyFill="1" applyBorder="1" applyAlignment="1">
      <alignment horizontal="center" vertical="center"/>
    </xf>
    <xf numFmtId="0" fontId="37" fillId="5" borderId="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4" fontId="8" fillId="2" borderId="10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17" fillId="5" borderId="4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43" fontId="17" fillId="5" borderId="10" xfId="0" applyNumberFormat="1" applyFont="1" applyFill="1" applyBorder="1" applyAlignment="1">
      <alignment horizontal="center" vertical="center" wrapText="1"/>
    </xf>
    <xf numFmtId="43" fontId="17" fillId="30" borderId="13" xfId="0" applyNumberFormat="1" applyFont="1" applyFill="1" applyBorder="1" applyAlignment="1">
      <alignment horizontal="center" vertical="center" wrapText="1"/>
    </xf>
    <xf numFmtId="43" fontId="17" fillId="30" borderId="8" xfId="0" applyNumberFormat="1" applyFont="1" applyFill="1" applyBorder="1" applyAlignment="1">
      <alignment horizontal="center" vertical="center" wrapText="1"/>
    </xf>
    <xf numFmtId="43" fontId="17" fillId="30" borderId="6" xfId="0" applyNumberFormat="1" applyFont="1" applyFill="1" applyBorder="1" applyAlignment="1">
      <alignment horizontal="center" vertical="center" wrapText="1"/>
    </xf>
    <xf numFmtId="43" fontId="17" fillId="5" borderId="15" xfId="0" applyNumberFormat="1" applyFont="1" applyFill="1" applyBorder="1" applyAlignment="1">
      <alignment horizontal="center" vertical="center" wrapText="1"/>
    </xf>
    <xf numFmtId="43" fontId="17" fillId="5" borderId="12" xfId="0" applyNumberFormat="1" applyFont="1" applyFill="1" applyBorder="1" applyAlignment="1">
      <alignment horizontal="center" vertical="center" wrapText="1"/>
    </xf>
    <xf numFmtId="43" fontId="17" fillId="5" borderId="7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35" fillId="5" borderId="1" xfId="0" applyFont="1" applyFill="1" applyBorder="1" applyAlignment="1">
      <alignment horizontal="center"/>
    </xf>
    <xf numFmtId="0" fontId="35" fillId="5" borderId="2" xfId="0" applyFont="1" applyFill="1" applyBorder="1" applyAlignment="1">
      <alignment horizontal="center"/>
    </xf>
    <xf numFmtId="0" fontId="35" fillId="5" borderId="4" xfId="0" applyFont="1" applyFill="1" applyBorder="1" applyAlignment="1">
      <alignment horizontal="center"/>
    </xf>
    <xf numFmtId="0" fontId="26" fillId="24" borderId="1" xfId="0" applyFont="1" applyFill="1" applyBorder="1" applyAlignment="1">
      <alignment horizontal="center"/>
    </xf>
    <xf numFmtId="0" fontId="26" fillId="24" borderId="4" xfId="0" applyFont="1" applyFill="1" applyBorder="1" applyAlignment="1">
      <alignment horizontal="center"/>
    </xf>
    <xf numFmtId="0" fontId="35" fillId="5" borderId="0" xfId="0" applyFont="1" applyFill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86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85" fillId="0" borderId="0" xfId="0" applyFont="1" applyAlignment="1">
      <alignment horizontal="center"/>
    </xf>
    <xf numFmtId="0" fontId="5" fillId="5" borderId="15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26" fillId="0" borderId="1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26" fillId="5" borderId="1" xfId="0" applyFont="1" applyFill="1" applyBorder="1" applyAlignment="1">
      <alignment horizontal="center"/>
    </xf>
    <xf numFmtId="0" fontId="35" fillId="5" borderId="11" xfId="0" applyFont="1" applyFill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35" fillId="5" borderId="15" xfId="0" applyFont="1" applyFill="1" applyBorder="1" applyAlignment="1">
      <alignment horizontal="center"/>
    </xf>
    <xf numFmtId="0" fontId="19" fillId="17" borderId="4" xfId="0" applyFont="1" applyFill="1" applyBorder="1" applyAlignment="1">
      <alignment horizontal="center"/>
    </xf>
    <xf numFmtId="0" fontId="19" fillId="17" borderId="11" xfId="0" applyFont="1" applyFill="1" applyBorder="1" applyAlignment="1">
      <alignment horizontal="center"/>
    </xf>
    <xf numFmtId="0" fontId="19" fillId="17" borderId="3" xfId="0" applyFont="1" applyFill="1" applyBorder="1" applyAlignment="1">
      <alignment horizontal="center"/>
    </xf>
    <xf numFmtId="0" fontId="49" fillId="13" borderId="10" xfId="0" applyFont="1" applyFill="1" applyBorder="1" applyAlignment="1">
      <alignment horizontal="center" vertical="center"/>
    </xf>
    <xf numFmtId="0" fontId="49" fillId="13" borderId="4" xfId="0" applyFont="1" applyFill="1" applyBorder="1" applyAlignment="1">
      <alignment horizontal="center" vertical="center"/>
    </xf>
    <xf numFmtId="0" fontId="50" fillId="14" borderId="1" xfId="0" applyFont="1" applyFill="1" applyBorder="1" applyAlignment="1">
      <alignment horizontal="center"/>
    </xf>
    <xf numFmtId="0" fontId="50" fillId="14" borderId="4" xfId="0" applyFont="1" applyFill="1" applyBorder="1" applyAlignment="1">
      <alignment horizontal="center"/>
    </xf>
    <xf numFmtId="0" fontId="50" fillId="14" borderId="11" xfId="0" applyFont="1" applyFill="1" applyBorder="1" applyAlignment="1">
      <alignment horizontal="center"/>
    </xf>
    <xf numFmtId="0" fontId="50" fillId="14" borderId="3" xfId="0" applyFont="1" applyFill="1" applyBorder="1" applyAlignment="1">
      <alignment horizontal="center"/>
    </xf>
    <xf numFmtId="14" fontId="34" fillId="5" borderId="15" xfId="0" applyNumberFormat="1" applyFont="1" applyFill="1" applyBorder="1" applyAlignment="1">
      <alignment horizontal="center"/>
    </xf>
    <xf numFmtId="14" fontId="34" fillId="5" borderId="7" xfId="0" applyNumberFormat="1" applyFont="1" applyFill="1" applyBorder="1" applyAlignment="1">
      <alignment horizontal="center"/>
    </xf>
    <xf numFmtId="0" fontId="12" fillId="13" borderId="10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/>
    </xf>
    <xf numFmtId="0" fontId="30" fillId="14" borderId="4" xfId="0" applyFont="1" applyFill="1" applyBorder="1" applyAlignment="1">
      <alignment horizontal="center"/>
    </xf>
    <xf numFmtId="0" fontId="30" fillId="14" borderId="11" xfId="0" applyFont="1" applyFill="1" applyBorder="1" applyAlignment="1">
      <alignment horizontal="center"/>
    </xf>
    <xf numFmtId="0" fontId="30" fillId="14" borderId="3" xfId="0" applyFont="1" applyFill="1" applyBorder="1" applyAlignment="1">
      <alignment horizontal="center"/>
    </xf>
    <xf numFmtId="0" fontId="30" fillId="14" borderId="1" xfId="0" applyFont="1" applyFill="1" applyBorder="1" applyAlignment="1">
      <alignment horizontal="center"/>
    </xf>
    <xf numFmtId="0" fontId="50" fillId="14" borderId="2" xfId="0" applyFont="1" applyFill="1" applyBorder="1" applyAlignment="1">
      <alignment horizontal="center"/>
    </xf>
    <xf numFmtId="170" fontId="78" fillId="5" borderId="1" xfId="0" applyNumberFormat="1" applyFont="1" applyFill="1" applyBorder="1" applyAlignment="1">
      <alignment horizontal="center"/>
    </xf>
    <xf numFmtId="170" fontId="53" fillId="16" borderId="1" xfId="0" applyNumberFormat="1" applyFont="1" applyFill="1" applyBorder="1" applyAlignment="1">
      <alignment horizontal="center"/>
    </xf>
    <xf numFmtId="0" fontId="31" fillId="2" borderId="10" xfId="0" applyFont="1" applyFill="1" applyBorder="1" applyAlignment="1">
      <alignment horizontal="left"/>
    </xf>
    <xf numFmtId="0" fontId="31" fillId="2" borderId="15" xfId="0" applyFont="1" applyFill="1" applyBorder="1" applyAlignment="1">
      <alignment horizontal="left"/>
    </xf>
    <xf numFmtId="0" fontId="31" fillId="2" borderId="4" xfId="0" applyFont="1" applyFill="1" applyBorder="1" applyAlignment="1">
      <alignment horizontal="left"/>
    </xf>
    <xf numFmtId="0" fontId="31" fillId="2" borderId="11" xfId="0" applyFont="1" applyFill="1" applyBorder="1" applyAlignment="1">
      <alignment horizontal="left"/>
    </xf>
    <xf numFmtId="0" fontId="31" fillId="5" borderId="4" xfId="0" applyFont="1" applyFill="1" applyBorder="1" applyAlignment="1">
      <alignment horizontal="left"/>
    </xf>
    <xf numFmtId="0" fontId="31" fillId="5" borderId="11" xfId="0" applyFont="1" applyFill="1" applyBorder="1" applyAlignment="1">
      <alignment horizontal="left"/>
    </xf>
    <xf numFmtId="0" fontId="0" fillId="0" borderId="7" xfId="0" applyBorder="1" applyAlignment="1">
      <alignment horizontal="center" wrapText="1"/>
    </xf>
    <xf numFmtId="0" fontId="61" fillId="0" borderId="1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31" fillId="5" borderId="10" xfId="0" applyFont="1" applyFill="1" applyBorder="1" applyAlignment="1">
      <alignment horizontal="left"/>
    </xf>
    <xf numFmtId="0" fontId="31" fillId="5" borderId="15" xfId="0" applyFont="1" applyFill="1" applyBorder="1" applyAlignment="1">
      <alignment horizontal="left"/>
    </xf>
    <xf numFmtId="0" fontId="29" fillId="25" borderId="1" xfId="0" applyFont="1" applyFill="1" applyBorder="1" applyAlignment="1">
      <alignment horizontal="right"/>
    </xf>
    <xf numFmtId="0" fontId="29" fillId="25" borderId="4" xfId="0" applyFont="1" applyFill="1" applyBorder="1" applyAlignment="1">
      <alignment horizontal="right"/>
    </xf>
    <xf numFmtId="0" fontId="29" fillId="0" borderId="1" xfId="0" applyFont="1" applyBorder="1" applyAlignment="1">
      <alignment horizontal="center" vertical="center"/>
    </xf>
    <xf numFmtId="170" fontId="78" fillId="2" borderId="6" xfId="0" applyNumberFormat="1" applyFont="1" applyFill="1" applyBorder="1" applyAlignment="1">
      <alignment horizontal="center"/>
    </xf>
    <xf numFmtId="170" fontId="78" fillId="2" borderId="1" xfId="0" applyNumberFormat="1" applyFont="1" applyFill="1" applyBorder="1" applyAlignment="1">
      <alignment horizontal="center"/>
    </xf>
    <xf numFmtId="0" fontId="53" fillId="25" borderId="4" xfId="0" applyFont="1" applyFill="1" applyBorder="1" applyAlignment="1">
      <alignment horizontal="right"/>
    </xf>
    <xf numFmtId="0" fontId="53" fillId="25" borderId="11" xfId="0" applyFont="1" applyFill="1" applyBorder="1" applyAlignment="1">
      <alignment horizontal="right"/>
    </xf>
    <xf numFmtId="0" fontId="53" fillId="25" borderId="3" xfId="0" applyFont="1" applyFill="1" applyBorder="1" applyAlignment="1">
      <alignment horizontal="right"/>
    </xf>
    <xf numFmtId="164" fontId="53" fillId="25" borderId="4" xfId="0" applyNumberFormat="1" applyFont="1" applyFill="1" applyBorder="1" applyAlignment="1">
      <alignment horizontal="center"/>
    </xf>
    <xf numFmtId="0" fontId="53" fillId="25" borderId="11" xfId="0" applyFont="1" applyFill="1" applyBorder="1" applyAlignment="1">
      <alignment horizontal="center"/>
    </xf>
    <xf numFmtId="0" fontId="53" fillId="25" borderId="3" xfId="0" applyFont="1" applyFill="1" applyBorder="1" applyAlignment="1">
      <alignment horizontal="center"/>
    </xf>
    <xf numFmtId="0" fontId="29" fillId="2" borderId="4" xfId="0" applyFont="1" applyFill="1" applyBorder="1" applyAlignment="1">
      <alignment horizontal="left"/>
    </xf>
    <xf numFmtId="0" fontId="29" fillId="2" borderId="11" xfId="0" applyFont="1" applyFill="1" applyBorder="1" applyAlignment="1">
      <alignment horizontal="left"/>
    </xf>
    <xf numFmtId="0" fontId="29" fillId="2" borderId="3" xfId="0" applyFont="1" applyFill="1" applyBorder="1" applyAlignment="1">
      <alignment horizontal="left"/>
    </xf>
    <xf numFmtId="164" fontId="29" fillId="2" borderId="4" xfId="0" applyNumberFormat="1" applyFont="1" applyFill="1" applyBorder="1" applyAlignment="1">
      <alignment horizontal="left"/>
    </xf>
    <xf numFmtId="164" fontId="29" fillId="2" borderId="11" xfId="0" applyNumberFormat="1" applyFont="1" applyFill="1" applyBorder="1" applyAlignment="1">
      <alignment horizontal="left"/>
    </xf>
    <xf numFmtId="164" fontId="29" fillId="2" borderId="3" xfId="0" applyNumberFormat="1" applyFont="1" applyFill="1" applyBorder="1" applyAlignment="1">
      <alignment horizontal="left"/>
    </xf>
    <xf numFmtId="0" fontId="29" fillId="2" borderId="4" xfId="0" applyFont="1" applyFill="1" applyBorder="1" applyAlignment="1">
      <alignment horizontal="center"/>
    </xf>
    <xf numFmtId="0" fontId="29" fillId="2" borderId="11" xfId="0" applyFont="1" applyFill="1" applyBorder="1" applyAlignment="1">
      <alignment horizontal="center"/>
    </xf>
    <xf numFmtId="0" fontId="29" fillId="2" borderId="3" xfId="0" applyFont="1" applyFill="1" applyBorder="1" applyAlignment="1">
      <alignment horizontal="center"/>
    </xf>
    <xf numFmtId="0" fontId="29" fillId="2" borderId="10" xfId="0" applyFont="1" applyFill="1" applyBorder="1" applyAlignment="1">
      <alignment horizontal="center"/>
    </xf>
    <xf numFmtId="0" fontId="29" fillId="2" borderId="15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57" fillId="24" borderId="1" xfId="0" applyFont="1" applyFill="1" applyBorder="1" applyAlignment="1">
      <alignment horizontal="center"/>
    </xf>
    <xf numFmtId="0" fontId="57" fillId="24" borderId="2" xfId="0" applyFont="1" applyFill="1" applyBorder="1" applyAlignment="1">
      <alignment horizontal="center"/>
    </xf>
    <xf numFmtId="0" fontId="18" fillId="27" borderId="1" xfId="0" applyFont="1" applyFill="1" applyBorder="1" applyAlignment="1">
      <alignment horizontal="center" vertical="center"/>
    </xf>
    <xf numFmtId="0" fontId="58" fillId="24" borderId="1" xfId="0" applyFont="1" applyFill="1" applyBorder="1" applyAlignment="1">
      <alignment horizontal="center"/>
    </xf>
    <xf numFmtId="0" fontId="18" fillId="27" borderId="8" xfId="0" applyFont="1" applyFill="1" applyBorder="1" applyAlignment="1">
      <alignment horizontal="center" vertical="center"/>
    </xf>
    <xf numFmtId="0" fontId="18" fillId="27" borderId="13" xfId="0" applyFont="1" applyFill="1" applyBorder="1" applyAlignment="1">
      <alignment horizontal="center" vertical="center"/>
    </xf>
    <xf numFmtId="0" fontId="18" fillId="27" borderId="0" xfId="0" applyFont="1" applyFill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56" fillId="2" borderId="4" xfId="0" applyFont="1" applyFill="1" applyBorder="1" applyAlignment="1">
      <alignment horizontal="center"/>
    </xf>
    <xf numFmtId="0" fontId="56" fillId="2" borderId="11" xfId="0" applyFont="1" applyFill="1" applyBorder="1" applyAlignment="1">
      <alignment horizontal="center"/>
    </xf>
    <xf numFmtId="0" fontId="56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left"/>
    </xf>
    <xf numFmtId="0" fontId="11" fillId="2" borderId="11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left"/>
    </xf>
    <xf numFmtId="164" fontId="53" fillId="25" borderId="11" xfId="0" applyNumberFormat="1" applyFont="1" applyFill="1" applyBorder="1" applyAlignment="1">
      <alignment horizontal="center"/>
    </xf>
    <xf numFmtId="164" fontId="53" fillId="25" borderId="3" xfId="0" applyNumberFormat="1" applyFont="1" applyFill="1" applyBorder="1" applyAlignment="1">
      <alignment horizontal="center"/>
    </xf>
    <xf numFmtId="164" fontId="29" fillId="2" borderId="10" xfId="0" applyNumberFormat="1" applyFont="1" applyFill="1" applyBorder="1" applyAlignment="1">
      <alignment horizontal="left"/>
    </xf>
    <xf numFmtId="164" fontId="29" fillId="2" borderId="15" xfId="0" applyNumberFormat="1" applyFont="1" applyFill="1" applyBorder="1" applyAlignment="1">
      <alignment horizontal="left"/>
    </xf>
    <xf numFmtId="164" fontId="29" fillId="2" borderId="5" xfId="0" applyNumberFormat="1" applyFont="1" applyFill="1" applyBorder="1" applyAlignment="1">
      <alignment horizontal="left"/>
    </xf>
    <xf numFmtId="0" fontId="59" fillId="24" borderId="1" xfId="0" applyFont="1" applyFill="1" applyBorder="1" applyAlignment="1">
      <alignment horizontal="center"/>
    </xf>
    <xf numFmtId="0" fontId="18" fillId="27" borderId="6" xfId="0" applyFont="1" applyFill="1" applyBorder="1" applyAlignment="1">
      <alignment horizontal="center" vertical="center"/>
    </xf>
    <xf numFmtId="0" fontId="18" fillId="27" borderId="12" xfId="0" applyFont="1" applyFill="1" applyBorder="1" applyAlignment="1">
      <alignment horizontal="center" vertical="center"/>
    </xf>
    <xf numFmtId="0" fontId="18" fillId="27" borderId="7" xfId="0" applyFont="1" applyFill="1" applyBorder="1" applyAlignment="1">
      <alignment horizontal="center" vertical="center"/>
    </xf>
    <xf numFmtId="0" fontId="56" fillId="27" borderId="6" xfId="0" applyFont="1" applyFill="1" applyBorder="1" applyAlignment="1">
      <alignment horizontal="center" vertical="center"/>
    </xf>
    <xf numFmtId="0" fontId="56" fillId="27" borderId="12" xfId="0" applyFont="1" applyFill="1" applyBorder="1" applyAlignment="1">
      <alignment horizontal="center" vertical="center"/>
    </xf>
    <xf numFmtId="0" fontId="56" fillId="27" borderId="7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left"/>
    </xf>
    <xf numFmtId="0" fontId="29" fillId="2" borderId="15" xfId="0" applyFont="1" applyFill="1" applyBorder="1" applyAlignment="1">
      <alignment horizontal="left"/>
    </xf>
    <xf numFmtId="0" fontId="29" fillId="2" borderId="5" xfId="0" applyFont="1" applyFill="1" applyBorder="1" applyAlignment="1">
      <alignment horizontal="left"/>
    </xf>
    <xf numFmtId="0" fontId="29" fillId="2" borderId="1" xfId="0" applyFont="1" applyFill="1" applyBorder="1" applyAlignment="1">
      <alignment horizontal="left"/>
    </xf>
    <xf numFmtId="164" fontId="29" fillId="2" borderId="1" xfId="0" applyNumberFormat="1" applyFont="1" applyFill="1" applyBorder="1" applyAlignment="1">
      <alignment horizontal="left"/>
    </xf>
    <xf numFmtId="0" fontId="29" fillId="2" borderId="1" xfId="0" applyFont="1" applyFill="1" applyBorder="1" applyAlignment="1">
      <alignment horizontal="center"/>
    </xf>
    <xf numFmtId="0" fontId="51" fillId="2" borderId="4" xfId="0" applyFont="1" applyFill="1" applyBorder="1" applyAlignment="1">
      <alignment horizontal="left"/>
    </xf>
    <xf numFmtId="0" fontId="51" fillId="2" borderId="11" xfId="0" applyFont="1" applyFill="1" applyBorder="1" applyAlignment="1">
      <alignment horizontal="left"/>
    </xf>
    <xf numFmtId="0" fontId="51" fillId="2" borderId="3" xfId="0" applyFont="1" applyFill="1" applyBorder="1" applyAlignment="1">
      <alignment horizontal="left"/>
    </xf>
    <xf numFmtId="0" fontId="29" fillId="2" borderId="4" xfId="0" applyFont="1" applyFill="1" applyBorder="1" applyAlignment="1"/>
    <xf numFmtId="0" fontId="29" fillId="2" borderId="11" xfId="0" applyFont="1" applyFill="1" applyBorder="1" applyAlignment="1"/>
    <xf numFmtId="0" fontId="29" fillId="2" borderId="3" xfId="0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00FFE1"/>
      <color rgb="FFC38B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Gisela Rojas" id="{ADB00CC7-A42A-4650-9927-BAF469F252A8}" userId="S::directoraarriendos@portadainmobiliaria.com::d25df4f4-b7a4-46be-966d-3ee9c0c18e5c" providerId="AD"/>
  <person displayName="Administración La Estrella" id="{F67839D0-93F8-45C1-A602-B6023E6F145A}" userId="S::administracionlaestrella@portadainmobiliaria.com::02acbb81-09ab-459b-be6d-4f57bcf558b6" providerId="AD"/>
</personList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82" dT="2021-03-30T17:52:33.10" personId="{ADB00CC7-A42A-4650-9927-BAF469F252A8}" id="{DC627DC3-5CE7-4309-86F5-D64CD78F323B}">
    <text xml:space="preserve">COMISION DEL PROPIETARIO AL 8% </text>
  </threadedComment>
  <threadedComment ref="O870" dT="2021-11-29T22:28:40.85" personId="{ADB00CC7-A42A-4650-9927-BAF469F252A8}" id="{96593CC9-CE59-495A-BE9C-9C8BAE9A0A39}">
    <text xml:space="preserve">DESCONTAR 51.000 DE UN NEGOCIO QUE SE ANULO EL MES ANTERIOR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35" dT="2021-03-12T20:17:19.58" personId="{F67839D0-93F8-45C1-A602-B6023E6F145A}" id="{AC07A4E6-E67D-4BFD-AF8D-6FFC40EF177A}">
    <text>CONDICION PARTUCULA SS 
7063591</text>
  </threadedComment>
  <threadedComment ref="H1017" dT="2021-11-29T22:32:01.44" personId="{ADB00CC7-A42A-4650-9927-BAF469F252A8}" id="{9793E7F3-2490-44B6-A005-25E8F906F530}">
    <text xml:space="preserve">SE DESCUENTA 34.000 DEL NEGOCIO QUE SE DAÑO EL MES PASASO </text>
  </threadedComment>
  <threadedComment ref="H1058" dT="2021-11-29T22:35:03.77" personId="{ADB00CC7-A42A-4650-9927-BAF469F252A8}" id="{5DA28729-C9F0-4209-BD56-208B6B2C63C6}">
    <text>DESCONTAR 25.500 DEL NEGOCIO QUE SE ANULA DEL MES PASADO TOTAL A PAGAR 781.800</text>
  </threadedComment>
  <threadedComment ref="I2069" dT="2022-08-31T15:33:45.98" personId="{ADB00CC7-A42A-4650-9927-BAF469F252A8}" id="{FD384175-6610-4DFA-A2D9-1FE2BBE22466}">
    <text xml:space="preserve">se liquida con los 22 dias laborados, sacando los 8 de vacaciones, con el % correspondiente.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177"/>
  <sheetViews>
    <sheetView topLeftCell="A2082" workbookViewId="0">
      <selection activeCell="B2086" sqref="B2086:J2086"/>
    </sheetView>
  </sheetViews>
  <sheetFormatPr defaultColWidth="9.140625" defaultRowHeight="15"/>
  <cols>
    <col min="1" max="1" width="18.28515625" customWidth="1"/>
    <col min="2" max="2" width="20.5703125" style="84" customWidth="1"/>
    <col min="3" max="3" width="16.5703125" style="84" customWidth="1"/>
    <col min="4" max="4" width="54.28515625" customWidth="1"/>
    <col min="5" max="5" width="19.7109375" customWidth="1"/>
    <col min="6" max="6" width="8.85546875" customWidth="1"/>
    <col min="7" max="7" width="17.7109375" style="84" customWidth="1"/>
    <col min="8" max="8" width="21.7109375" customWidth="1"/>
    <col min="9" max="9" width="25.5703125" customWidth="1"/>
    <col min="10" max="10" width="53.5703125" customWidth="1"/>
    <col min="11" max="11" width="12.140625" customWidth="1"/>
    <col min="12" max="12" width="51.42578125" customWidth="1"/>
    <col min="13" max="13" width="17.140625" customWidth="1"/>
    <col min="14" max="14" width="10.42578125" bestFit="1" customWidth="1"/>
    <col min="15" max="15" width="18.85546875" customWidth="1"/>
  </cols>
  <sheetData>
    <row r="1" spans="1:15" ht="31.5">
      <c r="A1" s="1600" t="s">
        <v>0</v>
      </c>
      <c r="B1" s="1600"/>
      <c r="C1" s="1600"/>
      <c r="D1" s="1600"/>
      <c r="E1" s="1600"/>
      <c r="F1" s="1600"/>
      <c r="G1" s="1600"/>
      <c r="H1" s="1600"/>
      <c r="I1" s="1600"/>
      <c r="J1" s="1600"/>
      <c r="K1" s="1600"/>
      <c r="L1" s="1600"/>
      <c r="M1" s="1600"/>
      <c r="N1" s="1600"/>
      <c r="O1" s="1600"/>
    </row>
    <row r="2" spans="1:15" ht="28.5" customHeight="1">
      <c r="A2" s="1530" t="s">
        <v>1</v>
      </c>
      <c r="B2" s="1532"/>
      <c r="C2" s="1532"/>
      <c r="D2" s="1532"/>
      <c r="E2" s="1532"/>
      <c r="F2" s="1532"/>
      <c r="G2" s="1532"/>
      <c r="H2" s="1532"/>
      <c r="I2" s="1532"/>
      <c r="J2" s="1549"/>
      <c r="K2" s="1533" t="s">
        <v>2</v>
      </c>
      <c r="L2" s="1533"/>
      <c r="M2" s="1533"/>
      <c r="N2" s="1533"/>
      <c r="O2" s="1533"/>
    </row>
    <row r="3" spans="1:15" ht="30">
      <c r="A3" s="1" t="s">
        <v>3</v>
      </c>
      <c r="B3" s="1"/>
      <c r="C3" s="35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5</v>
      </c>
      <c r="M3" s="1" t="s">
        <v>13</v>
      </c>
      <c r="N3" s="126" t="s">
        <v>7</v>
      </c>
      <c r="O3" s="1" t="s">
        <v>14</v>
      </c>
    </row>
    <row r="4" spans="1:15" ht="15" customHeight="1">
      <c r="A4" s="1614" t="s">
        <v>15</v>
      </c>
      <c r="B4" s="736"/>
      <c r="C4" s="276"/>
      <c r="D4" s="284" t="s">
        <v>16</v>
      </c>
      <c r="E4" s="211"/>
      <c r="F4" s="211"/>
      <c r="G4" s="211"/>
      <c r="H4" s="211" t="s">
        <v>17</v>
      </c>
      <c r="I4" s="211" t="s">
        <v>18</v>
      </c>
      <c r="J4" s="284" t="s">
        <v>19</v>
      </c>
      <c r="K4" s="135">
        <v>10582</v>
      </c>
      <c r="L4" s="136" t="s">
        <v>20</v>
      </c>
      <c r="M4" s="141">
        <v>2000000</v>
      </c>
      <c r="N4" s="138">
        <v>0.05</v>
      </c>
      <c r="O4" s="143">
        <f>M4*N4</f>
        <v>100000</v>
      </c>
    </row>
    <row r="5" spans="1:15" ht="15" customHeight="1">
      <c r="A5" s="1615"/>
      <c r="B5" s="736"/>
      <c r="C5" s="267"/>
      <c r="D5" s="284" t="s">
        <v>21</v>
      </c>
      <c r="E5" s="308"/>
      <c r="F5" s="220"/>
      <c r="G5" s="268"/>
      <c r="H5" s="211" t="s">
        <v>22</v>
      </c>
      <c r="I5" s="211" t="s">
        <v>18</v>
      </c>
      <c r="J5" s="284" t="s">
        <v>23</v>
      </c>
      <c r="K5" s="269" t="s">
        <v>24</v>
      </c>
      <c r="L5" s="269"/>
      <c r="M5" s="269"/>
      <c r="N5" s="269"/>
      <c r="O5" s="269"/>
    </row>
    <row r="6" spans="1:15" ht="15" customHeight="1">
      <c r="A6" s="1615"/>
      <c r="B6" s="736"/>
      <c r="C6" s="233">
        <v>0.1</v>
      </c>
      <c r="D6" s="136" t="s">
        <v>25</v>
      </c>
      <c r="E6" s="143">
        <v>850000</v>
      </c>
      <c r="F6" s="138">
        <v>0.1</v>
      </c>
      <c r="G6" s="278">
        <f>E6*F6</f>
        <v>85000</v>
      </c>
      <c r="H6" s="135" t="s">
        <v>22</v>
      </c>
      <c r="I6" s="135" t="s">
        <v>18</v>
      </c>
      <c r="J6" s="262"/>
      <c r="K6" s="269" t="s">
        <v>24</v>
      </c>
      <c r="L6" s="269"/>
      <c r="M6" s="269"/>
      <c r="N6" s="269"/>
      <c r="O6" s="269"/>
    </row>
    <row r="7" spans="1:15" ht="15" customHeight="1">
      <c r="A7" s="1615"/>
      <c r="B7" s="736"/>
      <c r="C7" s="233">
        <v>0.1</v>
      </c>
      <c r="D7" s="136" t="s">
        <v>26</v>
      </c>
      <c r="E7" s="143">
        <v>1100000</v>
      </c>
      <c r="F7" s="138">
        <v>0.05</v>
      </c>
      <c r="G7" s="278">
        <f>E7*F7</f>
        <v>55000</v>
      </c>
      <c r="H7" s="135" t="s">
        <v>27</v>
      </c>
      <c r="I7" s="135" t="s">
        <v>18</v>
      </c>
      <c r="J7" s="262"/>
      <c r="K7" s="163"/>
      <c r="L7" s="163"/>
      <c r="M7" s="163"/>
      <c r="N7" s="163"/>
      <c r="O7" s="163"/>
    </row>
    <row r="8" spans="1:15" s="32" customFormat="1" ht="15" customHeight="1">
      <c r="A8" s="1615"/>
      <c r="B8" s="736"/>
      <c r="C8" s="233">
        <v>0.1</v>
      </c>
      <c r="D8" s="136" t="s">
        <v>28</v>
      </c>
      <c r="E8" s="143">
        <v>800000</v>
      </c>
      <c r="F8" s="138">
        <v>0.05</v>
      </c>
      <c r="G8" s="278">
        <f>E8*F8</f>
        <v>40000</v>
      </c>
      <c r="H8" s="135" t="s">
        <v>17</v>
      </c>
      <c r="I8" s="135" t="s">
        <v>18</v>
      </c>
      <c r="J8" s="262"/>
      <c r="K8" s="163"/>
      <c r="L8" s="163"/>
      <c r="M8" s="163"/>
      <c r="N8" s="163"/>
      <c r="O8" s="163"/>
    </row>
    <row r="9" spans="1:15" s="32" customFormat="1" ht="15" customHeight="1">
      <c r="A9" s="1615"/>
      <c r="B9" s="736"/>
      <c r="C9" s="233">
        <v>0.1</v>
      </c>
      <c r="D9" s="136" t="s">
        <v>29</v>
      </c>
      <c r="E9" s="143">
        <v>1200000</v>
      </c>
      <c r="F9" s="138">
        <v>0.06</v>
      </c>
      <c r="G9" s="278">
        <f>E9*F9</f>
        <v>72000</v>
      </c>
      <c r="H9" s="135" t="s">
        <v>30</v>
      </c>
      <c r="I9" s="135" t="s">
        <v>18</v>
      </c>
      <c r="J9" s="262"/>
      <c r="K9" s="163"/>
      <c r="L9" s="163"/>
      <c r="M9" s="163"/>
      <c r="N9" s="163"/>
      <c r="O9" s="163"/>
    </row>
    <row r="10" spans="1:15" s="32" customFormat="1" ht="15" customHeight="1">
      <c r="A10" s="1615"/>
      <c r="B10" s="736"/>
      <c r="C10" s="233">
        <v>0.1</v>
      </c>
      <c r="D10" s="136" t="s">
        <v>31</v>
      </c>
      <c r="E10" s="143">
        <v>950000</v>
      </c>
      <c r="F10" s="138">
        <v>0.1</v>
      </c>
      <c r="G10" s="278">
        <f>E10*F10</f>
        <v>95000</v>
      </c>
      <c r="H10" s="135" t="s">
        <v>22</v>
      </c>
      <c r="I10" s="135" t="s">
        <v>32</v>
      </c>
      <c r="J10" s="262"/>
      <c r="K10" s="163"/>
      <c r="L10" s="163"/>
      <c r="M10" s="163"/>
      <c r="N10" s="163"/>
      <c r="O10" s="163"/>
    </row>
    <row r="11" spans="1:15" s="32" customFormat="1" ht="15" customHeight="1">
      <c r="A11" s="1615"/>
      <c r="B11" s="736"/>
      <c r="C11" s="233">
        <v>0.1</v>
      </c>
      <c r="D11" s="136" t="s">
        <v>33</v>
      </c>
      <c r="E11" s="143">
        <v>1200000</v>
      </c>
      <c r="F11" s="138">
        <v>0.1</v>
      </c>
      <c r="G11" s="278">
        <f>E11*F11</f>
        <v>120000</v>
      </c>
      <c r="H11" s="135" t="s">
        <v>22</v>
      </c>
      <c r="I11" s="135" t="s">
        <v>32</v>
      </c>
      <c r="J11" s="262"/>
      <c r="K11" s="163"/>
      <c r="L11" s="163"/>
      <c r="M11" s="163"/>
      <c r="N11" s="163"/>
      <c r="O11" s="163"/>
    </row>
    <row r="12" spans="1:15" ht="15" customHeight="1">
      <c r="A12" s="1615"/>
      <c r="B12" s="736"/>
      <c r="C12" s="279"/>
      <c r="D12" s="223"/>
      <c r="E12" s="265"/>
      <c r="F12" s="279"/>
      <c r="G12" s="281"/>
      <c r="H12" s="213"/>
      <c r="I12" s="213"/>
      <c r="J12" s="262"/>
      <c r="K12" s="213"/>
      <c r="L12" s="223"/>
      <c r="M12" s="282"/>
      <c r="N12" s="279"/>
      <c r="O12" s="282"/>
    </row>
    <row r="13" spans="1:15" ht="15.75">
      <c r="A13" s="1615"/>
      <c r="B13" s="7"/>
      <c r="C13" s="213"/>
      <c r="D13" s="223" t="s">
        <v>34</v>
      </c>
      <c r="E13" s="309">
        <f>SUM(E6:E12)</f>
        <v>6100000</v>
      </c>
      <c r="F13" s="223"/>
      <c r="G13" s="281">
        <f>SUM(G6:G12)</f>
        <v>467000</v>
      </c>
      <c r="H13" s="223"/>
      <c r="I13" s="223"/>
      <c r="J13" s="223"/>
      <c r="K13" s="266"/>
      <c r="L13" s="266"/>
      <c r="M13" s="266"/>
      <c r="N13" s="266"/>
      <c r="O13" s="283">
        <f>SUM(O4:O12)</f>
        <v>100000</v>
      </c>
    </row>
    <row r="14" spans="1:15" ht="15.75">
      <c r="A14" s="1616"/>
      <c r="B14" s="7"/>
      <c r="C14" s="213"/>
      <c r="D14" s="223"/>
      <c r="E14" s="309"/>
      <c r="F14" s="223"/>
      <c r="G14" s="281"/>
      <c r="H14" s="223"/>
      <c r="I14" s="223"/>
      <c r="J14" s="223"/>
      <c r="K14" s="266"/>
      <c r="L14" s="266"/>
      <c r="M14" s="266"/>
      <c r="N14" s="266"/>
      <c r="O14" s="283">
        <f>O13+G13</f>
        <v>567000</v>
      </c>
    </row>
    <row r="15" spans="1:15">
      <c r="K15" s="12"/>
      <c r="L15" s="12"/>
      <c r="M15" s="12"/>
      <c r="N15" s="12"/>
      <c r="O15" s="39"/>
    </row>
    <row r="16" spans="1:15" ht="27.75" customHeight="1">
      <c r="A16" s="1530" t="s">
        <v>35</v>
      </c>
      <c r="B16" s="1532"/>
      <c r="C16" s="1532"/>
      <c r="D16" s="1532"/>
      <c r="E16" s="1532"/>
      <c r="F16" s="1532"/>
      <c r="G16" s="1532"/>
      <c r="H16" s="1532"/>
      <c r="I16" s="1532"/>
      <c r="J16" s="1549"/>
      <c r="K16" s="1533" t="s">
        <v>2</v>
      </c>
      <c r="L16" s="1533"/>
      <c r="M16" s="1533"/>
      <c r="N16" s="1533"/>
      <c r="O16" s="1533"/>
    </row>
    <row r="17" spans="1:15" ht="30">
      <c r="A17" s="1" t="s">
        <v>3</v>
      </c>
      <c r="B17" s="1"/>
      <c r="C17" s="35" t="s">
        <v>4</v>
      </c>
      <c r="D17" s="1" t="s">
        <v>5</v>
      </c>
      <c r="E17" s="1" t="s">
        <v>6</v>
      </c>
      <c r="F17" s="1" t="s">
        <v>7</v>
      </c>
      <c r="G17" s="1" t="s">
        <v>8</v>
      </c>
      <c r="H17" s="1" t="s">
        <v>9</v>
      </c>
      <c r="I17" s="1" t="s">
        <v>10</v>
      </c>
      <c r="J17" s="1" t="s">
        <v>11</v>
      </c>
      <c r="K17" s="68" t="s">
        <v>12</v>
      </c>
      <c r="L17" s="68" t="s">
        <v>5</v>
      </c>
      <c r="M17" s="68" t="s">
        <v>13</v>
      </c>
      <c r="N17" s="129" t="s">
        <v>7</v>
      </c>
      <c r="O17" s="68" t="s">
        <v>14</v>
      </c>
    </row>
    <row r="18" spans="1:15" ht="15" customHeight="1">
      <c r="A18" s="1611" t="s">
        <v>36</v>
      </c>
      <c r="B18" s="736"/>
      <c r="C18" s="285"/>
      <c r="D18" s="222" t="s">
        <v>37</v>
      </c>
      <c r="E18" s="305"/>
      <c r="F18" s="220"/>
      <c r="G18" s="268"/>
      <c r="H18" s="289"/>
      <c r="I18" s="289" t="s">
        <v>18</v>
      </c>
      <c r="J18" s="211"/>
      <c r="K18" s="135">
        <v>10482</v>
      </c>
      <c r="L18" s="136" t="s">
        <v>26</v>
      </c>
      <c r="M18" s="143">
        <v>1100000</v>
      </c>
      <c r="N18" s="138">
        <v>0.05</v>
      </c>
      <c r="O18" s="278">
        <f>M18*N18</f>
        <v>55000</v>
      </c>
    </row>
    <row r="19" spans="1:15" ht="15" customHeight="1">
      <c r="A19" s="1612"/>
      <c r="B19" s="736"/>
      <c r="C19" s="285"/>
      <c r="D19" s="277" t="s">
        <v>38</v>
      </c>
      <c r="E19" s="305"/>
      <c r="F19" s="220"/>
      <c r="G19" s="268"/>
      <c r="H19" s="211"/>
      <c r="I19" s="211" t="s">
        <v>18</v>
      </c>
      <c r="J19" s="277" t="s">
        <v>39</v>
      </c>
      <c r="K19" s="163" t="s">
        <v>24</v>
      </c>
      <c r="L19" s="262"/>
      <c r="M19" s="261"/>
      <c r="N19" s="162"/>
      <c r="O19" s="286"/>
    </row>
    <row r="20" spans="1:15" ht="15" customHeight="1">
      <c r="A20" s="1612"/>
      <c r="B20" s="736"/>
      <c r="C20" s="285"/>
      <c r="D20" s="277" t="s">
        <v>40</v>
      </c>
      <c r="E20" s="305"/>
      <c r="F20" s="220"/>
      <c r="G20" s="268"/>
      <c r="H20" s="211" t="s">
        <v>22</v>
      </c>
      <c r="I20" s="211" t="s">
        <v>18</v>
      </c>
      <c r="J20" s="277" t="s">
        <v>39</v>
      </c>
      <c r="K20" s="163" t="s">
        <v>24</v>
      </c>
      <c r="L20" s="262"/>
      <c r="M20" s="261"/>
      <c r="N20" s="162"/>
      <c r="O20" s="286"/>
    </row>
    <row r="21" spans="1:15" ht="15" customHeight="1">
      <c r="A21" s="1612"/>
      <c r="B21" s="736"/>
      <c r="C21" s="233">
        <v>0.1</v>
      </c>
      <c r="D21" s="136" t="s">
        <v>41</v>
      </c>
      <c r="E21" s="141">
        <v>1300000</v>
      </c>
      <c r="F21" s="138">
        <v>0.1</v>
      </c>
      <c r="G21" s="278">
        <f>E21*F21</f>
        <v>130000</v>
      </c>
      <c r="H21" s="135" t="s">
        <v>27</v>
      </c>
      <c r="I21" s="135" t="s">
        <v>18</v>
      </c>
      <c r="J21" s="287"/>
      <c r="K21" s="73"/>
      <c r="L21" s="206"/>
      <c r="M21" s="282"/>
      <c r="N21" s="279"/>
      <c r="O21" s="282"/>
    </row>
    <row r="22" spans="1:15" s="32" customFormat="1" ht="15" customHeight="1">
      <c r="A22" s="1612"/>
      <c r="B22" s="736"/>
      <c r="C22" s="233">
        <v>0.1</v>
      </c>
      <c r="D22" s="136" t="s">
        <v>42</v>
      </c>
      <c r="E22" s="141">
        <v>1250000</v>
      </c>
      <c r="F22" s="138">
        <v>0.1</v>
      </c>
      <c r="G22" s="278">
        <f>E22*F22</f>
        <v>125000</v>
      </c>
      <c r="H22" s="135" t="s">
        <v>27</v>
      </c>
      <c r="I22" s="135" t="s">
        <v>18</v>
      </c>
      <c r="J22" s="262"/>
      <c r="K22" s="213"/>
      <c r="L22" s="223"/>
      <c r="M22" s="282"/>
      <c r="N22" s="279"/>
      <c r="O22" s="282"/>
    </row>
    <row r="23" spans="1:15" s="32" customFormat="1" ht="15" customHeight="1">
      <c r="A23" s="1612"/>
      <c r="B23" s="736"/>
      <c r="C23" s="233">
        <v>0.1</v>
      </c>
      <c r="D23" s="136" t="s">
        <v>20</v>
      </c>
      <c r="E23" s="141">
        <v>2000000</v>
      </c>
      <c r="F23" s="138">
        <v>0.05</v>
      </c>
      <c r="G23" s="278">
        <f>E23*F23</f>
        <v>100000</v>
      </c>
      <c r="H23" s="135" t="s">
        <v>22</v>
      </c>
      <c r="I23" s="135" t="s">
        <v>18</v>
      </c>
      <c r="J23" s="262"/>
      <c r="K23" s="213"/>
      <c r="L23" s="223"/>
      <c r="M23" s="282"/>
      <c r="N23" s="279"/>
      <c r="O23" s="282"/>
    </row>
    <row r="24" spans="1:15" s="32" customFormat="1" ht="15" customHeight="1">
      <c r="A24" s="1612"/>
      <c r="B24" s="736"/>
      <c r="C24" s="233">
        <v>0.1</v>
      </c>
      <c r="D24" s="136" t="s">
        <v>43</v>
      </c>
      <c r="E24" s="141">
        <v>1250000</v>
      </c>
      <c r="F24" s="138">
        <v>0.1</v>
      </c>
      <c r="G24" s="278">
        <f>E24*F24</f>
        <v>125000</v>
      </c>
      <c r="H24" s="135" t="s">
        <v>27</v>
      </c>
      <c r="I24" s="135" t="s">
        <v>44</v>
      </c>
      <c r="J24" s="262"/>
      <c r="K24" s="213"/>
      <c r="L24" s="223"/>
      <c r="M24" s="282"/>
      <c r="N24" s="279"/>
      <c r="O24" s="282"/>
    </row>
    <row r="25" spans="1:15" ht="15" customHeight="1">
      <c r="A25" s="1612"/>
      <c r="B25" s="736"/>
      <c r="C25" s="290"/>
      <c r="D25" s="206"/>
      <c r="E25" s="291"/>
      <c r="F25" s="306"/>
      <c r="G25" s="307"/>
      <c r="H25" s="73"/>
      <c r="I25" s="73"/>
      <c r="J25" s="287"/>
      <c r="K25" s="292"/>
      <c r="L25" s="292"/>
      <c r="M25" s="266"/>
      <c r="N25" s="266"/>
      <c r="O25" s="283">
        <f>SUM(O18:O24)</f>
        <v>55000</v>
      </c>
    </row>
    <row r="26" spans="1:15" ht="15.75">
      <c r="A26" s="1613"/>
      <c r="B26" s="71"/>
      <c r="C26" s="157"/>
      <c r="D26" s="156"/>
      <c r="E26" s="154">
        <f>SUM(E21:E25)</f>
        <v>5800000</v>
      </c>
      <c r="F26" s="156"/>
      <c r="G26" s="293">
        <f>SUM(G21:G25)</f>
        <v>480000</v>
      </c>
      <c r="H26" s="156"/>
      <c r="I26" s="156"/>
      <c r="J26" s="156"/>
      <c r="K26" s="156"/>
      <c r="L26" s="156"/>
      <c r="M26" s="156"/>
      <c r="N26" s="156"/>
      <c r="O26" s="294">
        <f>O25+G26</f>
        <v>535000</v>
      </c>
    </row>
    <row r="29" spans="1:15" ht="26.25" customHeight="1">
      <c r="A29" s="1530" t="s">
        <v>45</v>
      </c>
      <c r="B29" s="1532"/>
      <c r="C29" s="1532"/>
      <c r="D29" s="1532"/>
      <c r="E29" s="1532"/>
      <c r="F29" s="1532"/>
      <c r="G29" s="1532"/>
      <c r="H29" s="1532"/>
      <c r="I29" s="1532"/>
      <c r="J29" s="1549"/>
      <c r="K29" s="1558" t="s">
        <v>2</v>
      </c>
      <c r="L29" s="1559"/>
      <c r="M29" s="1559"/>
      <c r="N29" s="1559"/>
      <c r="O29" s="1560"/>
    </row>
    <row r="30" spans="1:15" ht="30">
      <c r="A30" s="1" t="s">
        <v>3</v>
      </c>
      <c r="B30" s="1"/>
      <c r="C30" s="35" t="s">
        <v>4</v>
      </c>
      <c r="D30" s="1" t="s">
        <v>5</v>
      </c>
      <c r="E30" s="1" t="s">
        <v>6</v>
      </c>
      <c r="F30" s="1" t="s">
        <v>7</v>
      </c>
      <c r="G30" s="1" t="s">
        <v>8</v>
      </c>
      <c r="H30" s="1" t="s">
        <v>9</v>
      </c>
      <c r="I30" s="1" t="s">
        <v>10</v>
      </c>
      <c r="J30" s="1" t="s">
        <v>11</v>
      </c>
      <c r="K30" s="1" t="s">
        <v>12</v>
      </c>
      <c r="L30" s="1" t="s">
        <v>5</v>
      </c>
      <c r="M30" s="1" t="s">
        <v>13</v>
      </c>
      <c r="N30" s="126" t="s">
        <v>7</v>
      </c>
      <c r="O30" s="1" t="s">
        <v>14</v>
      </c>
    </row>
    <row r="31" spans="1:15" ht="15" customHeight="1">
      <c r="A31" s="1611" t="s">
        <v>36</v>
      </c>
      <c r="B31" s="310"/>
      <c r="C31" s="233">
        <v>0.08</v>
      </c>
      <c r="D31" s="136" t="s">
        <v>46</v>
      </c>
      <c r="E31" s="141">
        <v>1100000</v>
      </c>
      <c r="F31" s="231">
        <v>0.05</v>
      </c>
      <c r="G31" s="278">
        <f>F31*E31</f>
        <v>55000</v>
      </c>
      <c r="H31" s="135" t="s">
        <v>30</v>
      </c>
      <c r="I31" s="135" t="s">
        <v>18</v>
      </c>
      <c r="J31" s="262"/>
      <c r="K31" s="213"/>
      <c r="L31" s="223"/>
      <c r="M31" s="282"/>
      <c r="N31" s="279"/>
      <c r="O31" s="282"/>
    </row>
    <row r="32" spans="1:15" ht="15" customHeight="1">
      <c r="A32" s="1612"/>
      <c r="B32" s="310"/>
      <c r="C32" s="233">
        <v>0.1</v>
      </c>
      <c r="D32" s="149" t="s">
        <v>47</v>
      </c>
      <c r="E32" s="141">
        <v>1000000</v>
      </c>
      <c r="F32" s="148">
        <v>0.06</v>
      </c>
      <c r="G32" s="278">
        <f>F32*E32</f>
        <v>60000</v>
      </c>
      <c r="H32" s="147" t="s">
        <v>30</v>
      </c>
      <c r="I32" s="147" t="s">
        <v>18</v>
      </c>
      <c r="J32" s="262"/>
      <c r="K32" s="163"/>
      <c r="L32" s="163"/>
      <c r="M32" s="163"/>
      <c r="N32" s="163"/>
      <c r="O32" s="163"/>
    </row>
    <row r="33" spans="1:15" ht="15" customHeight="1">
      <c r="A33" s="1612"/>
      <c r="B33" s="310"/>
      <c r="C33" s="148">
        <v>0.1</v>
      </c>
      <c r="D33" s="149" t="s">
        <v>48</v>
      </c>
      <c r="E33" s="141">
        <v>1000000</v>
      </c>
      <c r="F33" s="148">
        <v>0.1</v>
      </c>
      <c r="G33" s="278">
        <f>F33*E33</f>
        <v>100000</v>
      </c>
      <c r="H33" s="147" t="s">
        <v>49</v>
      </c>
      <c r="I33" s="147" t="s">
        <v>18</v>
      </c>
      <c r="J33" s="262"/>
      <c r="K33" s="266"/>
      <c r="L33" s="266"/>
      <c r="M33" s="266"/>
      <c r="N33" s="266"/>
      <c r="O33" s="283"/>
    </row>
    <row r="34" spans="1:15" ht="15" customHeight="1">
      <c r="A34" s="1612"/>
      <c r="B34" s="310"/>
      <c r="C34" s="148">
        <v>0.1</v>
      </c>
      <c r="D34" s="149" t="s">
        <v>50</v>
      </c>
      <c r="E34" s="141">
        <v>1300000</v>
      </c>
      <c r="F34" s="148">
        <v>0.06</v>
      </c>
      <c r="G34" s="278">
        <f>F34*E34</f>
        <v>78000</v>
      </c>
      <c r="H34" s="147" t="s">
        <v>30</v>
      </c>
      <c r="I34" s="147" t="s">
        <v>18</v>
      </c>
      <c r="J34" s="262"/>
      <c r="K34" s="266"/>
      <c r="L34" s="266"/>
      <c r="M34" s="266"/>
      <c r="N34" s="266"/>
      <c r="O34" s="283"/>
    </row>
    <row r="35" spans="1:15" ht="15" customHeight="1">
      <c r="A35" s="1612"/>
      <c r="B35" s="310"/>
      <c r="C35" s="148">
        <v>0.1</v>
      </c>
      <c r="D35" s="149" t="s">
        <v>51</v>
      </c>
      <c r="E35" s="141">
        <v>1000000</v>
      </c>
      <c r="F35" s="148">
        <v>0.1</v>
      </c>
      <c r="G35" s="278">
        <f>F35*E35</f>
        <v>100000</v>
      </c>
      <c r="H35" s="147" t="s">
        <v>49</v>
      </c>
      <c r="I35" s="147" t="s">
        <v>18</v>
      </c>
      <c r="J35" s="262"/>
      <c r="K35" s="266"/>
      <c r="L35" s="266"/>
      <c r="M35" s="266"/>
      <c r="N35" s="266"/>
      <c r="O35" s="283"/>
    </row>
    <row r="36" spans="1:15" ht="15" customHeight="1">
      <c r="A36" s="1612"/>
      <c r="B36" s="310"/>
      <c r="C36" s="148">
        <v>0.08</v>
      </c>
      <c r="D36" s="149" t="s">
        <v>52</v>
      </c>
      <c r="E36" s="141">
        <v>1050000</v>
      </c>
      <c r="F36" s="148">
        <v>0.05</v>
      </c>
      <c r="G36" s="278">
        <f>F36*E36</f>
        <v>52500</v>
      </c>
      <c r="H36" s="147" t="s">
        <v>30</v>
      </c>
      <c r="I36" s="147" t="s">
        <v>18</v>
      </c>
      <c r="J36" s="262"/>
      <c r="K36" s="266"/>
      <c r="L36" s="266"/>
      <c r="M36" s="266"/>
      <c r="N36" s="266"/>
      <c r="O36" s="283"/>
    </row>
    <row r="37" spans="1:15" ht="15" customHeight="1">
      <c r="A37" s="1612"/>
      <c r="B37" s="310"/>
      <c r="C37" s="148">
        <v>0.1</v>
      </c>
      <c r="D37" s="149" t="s">
        <v>53</v>
      </c>
      <c r="E37" s="141">
        <v>1050000</v>
      </c>
      <c r="F37" s="148">
        <v>0.05</v>
      </c>
      <c r="G37" s="278">
        <f>F37*E37</f>
        <v>52500</v>
      </c>
      <c r="H37" s="147" t="s">
        <v>54</v>
      </c>
      <c r="I37" s="147" t="s">
        <v>32</v>
      </c>
      <c r="J37" s="262"/>
      <c r="K37" s="266"/>
      <c r="L37" s="266"/>
      <c r="M37" s="266"/>
      <c r="N37" s="266"/>
      <c r="O37" s="283"/>
    </row>
    <row r="38" spans="1:15" ht="15" customHeight="1">
      <c r="A38" s="1612"/>
      <c r="B38" s="310"/>
      <c r="C38" s="148">
        <v>0.1</v>
      </c>
      <c r="D38" s="149" t="s">
        <v>55</v>
      </c>
      <c r="E38" s="141">
        <v>1200000</v>
      </c>
      <c r="F38" s="148">
        <v>0.06</v>
      </c>
      <c r="G38" s="278">
        <f>F38*E38</f>
        <v>72000</v>
      </c>
      <c r="H38" s="147" t="s">
        <v>30</v>
      </c>
      <c r="I38" s="147" t="s">
        <v>18</v>
      </c>
      <c r="J38" s="262"/>
      <c r="K38" s="266"/>
      <c r="L38" s="266"/>
      <c r="M38" s="266"/>
      <c r="N38" s="266"/>
      <c r="O38" s="283"/>
    </row>
    <row r="39" spans="1:15" ht="15" customHeight="1">
      <c r="A39" s="1612"/>
      <c r="B39" s="310"/>
      <c r="C39" s="279"/>
      <c r="D39" s="223"/>
      <c r="E39" s="282"/>
      <c r="F39" s="279"/>
      <c r="G39" s="281"/>
      <c r="H39" s="213"/>
      <c r="I39" s="213"/>
      <c r="J39" s="262"/>
      <c r="K39" s="266"/>
      <c r="L39" s="266"/>
      <c r="M39" s="266"/>
      <c r="N39" s="266"/>
      <c r="O39" s="283">
        <f>SUM(O31:O34)</f>
        <v>0</v>
      </c>
    </row>
    <row r="40" spans="1:15" ht="15.75">
      <c r="A40" s="1613"/>
      <c r="B40" s="7"/>
      <c r="C40" s="213"/>
      <c r="D40" s="223"/>
      <c r="E40" s="282">
        <f>SUM(E31:E39)</f>
        <v>8700000</v>
      </c>
      <c r="F40" s="223"/>
      <c r="G40" s="281">
        <f>SUM(G31:G39)</f>
        <v>570000</v>
      </c>
      <c r="H40" s="223"/>
      <c r="I40" s="223"/>
      <c r="J40" s="223"/>
      <c r="K40" s="156"/>
      <c r="L40" s="156"/>
      <c r="M40" s="156"/>
      <c r="N40" s="156"/>
      <c r="O40" s="294">
        <f>O39+G40</f>
        <v>570000</v>
      </c>
    </row>
    <row r="43" spans="1:15" ht="27" customHeight="1">
      <c r="A43" s="1530" t="s">
        <v>56</v>
      </c>
      <c r="B43" s="1532"/>
      <c r="C43" s="1532"/>
      <c r="D43" s="1532"/>
      <c r="E43" s="1532"/>
      <c r="F43" s="1532"/>
      <c r="G43" s="1532"/>
      <c r="H43" s="1532"/>
      <c r="I43" s="1532"/>
      <c r="J43" s="1549"/>
      <c r="K43" s="1558" t="s">
        <v>2</v>
      </c>
      <c r="L43" s="1559"/>
      <c r="M43" s="1559"/>
      <c r="N43" s="1559"/>
      <c r="O43" s="1560"/>
    </row>
    <row r="44" spans="1:15" ht="30">
      <c r="A44" s="1" t="s">
        <v>3</v>
      </c>
      <c r="B44" s="1"/>
      <c r="C44" s="35" t="s">
        <v>4</v>
      </c>
      <c r="D44" s="1" t="s">
        <v>5</v>
      </c>
      <c r="E44" s="1" t="s">
        <v>6</v>
      </c>
      <c r="F44" s="1" t="s">
        <v>7</v>
      </c>
      <c r="G44" s="1" t="s">
        <v>8</v>
      </c>
      <c r="H44" s="314" t="s">
        <v>9</v>
      </c>
      <c r="I44" s="1" t="s">
        <v>10</v>
      </c>
      <c r="J44" s="1" t="s">
        <v>11</v>
      </c>
      <c r="K44" s="1" t="s">
        <v>12</v>
      </c>
      <c r="L44" s="1" t="s">
        <v>5</v>
      </c>
      <c r="M44" s="1" t="s">
        <v>13</v>
      </c>
      <c r="N44" s="126" t="s">
        <v>7</v>
      </c>
      <c r="O44" s="1" t="s">
        <v>14</v>
      </c>
    </row>
    <row r="45" spans="1:15" ht="15" customHeight="1">
      <c r="A45" s="1610" t="s">
        <v>36</v>
      </c>
      <c r="B45" s="310"/>
      <c r="C45" s="276"/>
      <c r="D45" s="222" t="s">
        <v>57</v>
      </c>
      <c r="E45" s="311"/>
      <c r="F45" s="285"/>
      <c r="G45" s="312"/>
      <c r="H45" s="289" t="s">
        <v>22</v>
      </c>
      <c r="I45" s="289" t="s">
        <v>32</v>
      </c>
      <c r="J45" s="277" t="s">
        <v>58</v>
      </c>
      <c r="K45" s="269" t="s">
        <v>24</v>
      </c>
      <c r="L45" s="269"/>
      <c r="M45" s="269"/>
      <c r="N45" s="269"/>
      <c r="O45" s="269"/>
    </row>
    <row r="46" spans="1:15" ht="15" customHeight="1">
      <c r="A46" s="1610"/>
      <c r="B46" s="310"/>
      <c r="C46" s="148">
        <v>0.1</v>
      </c>
      <c r="D46" s="149" t="s">
        <v>59</v>
      </c>
      <c r="E46" s="150">
        <v>1000000</v>
      </c>
      <c r="F46" s="148">
        <v>0.06</v>
      </c>
      <c r="G46" s="313">
        <f>E46*F46</f>
        <v>60000</v>
      </c>
      <c r="H46" s="147" t="s">
        <v>30</v>
      </c>
      <c r="I46" s="147" t="s">
        <v>18</v>
      </c>
      <c r="J46" s="262"/>
      <c r="K46" s="147">
        <v>10551</v>
      </c>
      <c r="L46" s="149" t="s">
        <v>53</v>
      </c>
      <c r="M46" s="141">
        <v>1050000</v>
      </c>
      <c r="N46" s="148">
        <v>0.05</v>
      </c>
      <c r="O46" s="143">
        <f>N46*M46</f>
        <v>52500</v>
      </c>
    </row>
    <row r="47" spans="1:15" ht="15" customHeight="1">
      <c r="A47" s="1610"/>
      <c r="B47" s="310"/>
      <c r="C47" s="148">
        <v>0.1</v>
      </c>
      <c r="D47" s="149" t="s">
        <v>60</v>
      </c>
      <c r="E47" s="150">
        <v>1050000</v>
      </c>
      <c r="F47" s="148">
        <v>0.05</v>
      </c>
      <c r="G47" s="313">
        <f>E47*F47</f>
        <v>52500</v>
      </c>
      <c r="H47" s="147" t="s">
        <v>30</v>
      </c>
      <c r="I47" s="147" t="s">
        <v>18</v>
      </c>
      <c r="J47" s="262"/>
      <c r="K47" s="213"/>
      <c r="L47" s="223"/>
      <c r="M47" s="282"/>
      <c r="N47" s="279"/>
      <c r="O47" s="282"/>
    </row>
    <row r="48" spans="1:15" ht="15" customHeight="1">
      <c r="A48" s="1610"/>
      <c r="B48" s="310"/>
      <c r="C48" s="148">
        <v>0.1</v>
      </c>
      <c r="D48" s="149" t="s">
        <v>61</v>
      </c>
      <c r="E48" s="150">
        <v>980000</v>
      </c>
      <c r="F48" s="148">
        <v>0.06</v>
      </c>
      <c r="G48" s="313">
        <f>E48*F48</f>
        <v>58800</v>
      </c>
      <c r="H48" s="147" t="s">
        <v>30</v>
      </c>
      <c r="I48" s="147" t="s">
        <v>18</v>
      </c>
      <c r="J48" s="262"/>
      <c r="K48" s="213"/>
      <c r="L48" s="223"/>
      <c r="M48" s="282"/>
      <c r="N48" s="279"/>
      <c r="O48" s="282"/>
    </row>
    <row r="49" spans="1:15" ht="15" customHeight="1">
      <c r="A49" s="1610"/>
      <c r="B49" s="310"/>
      <c r="C49" s="148">
        <v>0.1</v>
      </c>
      <c r="D49" s="149" t="s">
        <v>62</v>
      </c>
      <c r="E49" s="150">
        <v>900000</v>
      </c>
      <c r="F49" s="148">
        <v>0.06</v>
      </c>
      <c r="G49" s="313">
        <f>E49*F49</f>
        <v>54000</v>
      </c>
      <c r="H49" s="147" t="s">
        <v>30</v>
      </c>
      <c r="I49" s="147" t="s">
        <v>32</v>
      </c>
      <c r="J49" s="262"/>
      <c r="K49" s="213"/>
      <c r="L49" s="223"/>
      <c r="M49" s="282"/>
      <c r="N49" s="279"/>
      <c r="O49" s="282"/>
    </row>
    <row r="50" spans="1:15" ht="15" customHeight="1">
      <c r="A50" s="1610"/>
      <c r="B50" s="310"/>
      <c r="C50" s="73"/>
      <c r="D50" s="206"/>
      <c r="E50" s="296"/>
      <c r="F50" s="206"/>
      <c r="G50" s="73"/>
      <c r="H50" s="206"/>
      <c r="I50" s="206"/>
      <c r="J50" s="262"/>
      <c r="K50" s="163"/>
      <c r="L50" s="163"/>
      <c r="M50" s="163"/>
      <c r="N50" s="163"/>
      <c r="O50" s="261">
        <f>SUM(O46:O49)</f>
        <v>52500</v>
      </c>
    </row>
    <row r="51" spans="1:15" ht="15" customHeight="1">
      <c r="A51" s="1610"/>
      <c r="B51" s="310"/>
      <c r="C51" s="213"/>
      <c r="D51" s="223"/>
      <c r="E51" s="282">
        <f>SUM(E46:E50)</f>
        <v>3930000</v>
      </c>
      <c r="F51" s="223"/>
      <c r="G51" s="281">
        <f>SUM(G46:G50)</f>
        <v>225300</v>
      </c>
      <c r="H51" s="223"/>
      <c r="I51" s="223"/>
      <c r="J51" s="223"/>
      <c r="K51" s="266"/>
      <c r="L51" s="266"/>
      <c r="M51" s="266"/>
      <c r="N51" s="266"/>
      <c r="O51" s="297">
        <f>O50+G51</f>
        <v>277800</v>
      </c>
    </row>
    <row r="54" spans="1:15" ht="21.75" customHeight="1">
      <c r="A54" s="1530" t="s">
        <v>63</v>
      </c>
      <c r="B54" s="1532"/>
      <c r="C54" s="1532"/>
      <c r="D54" s="1532"/>
      <c r="E54" s="1532"/>
      <c r="F54" s="1532"/>
      <c r="G54" s="1532"/>
      <c r="H54" s="1532"/>
      <c r="I54" s="1532"/>
      <c r="J54" s="1549"/>
      <c r="K54" s="1558" t="s">
        <v>2</v>
      </c>
      <c r="L54" s="1559"/>
      <c r="M54" s="1559"/>
      <c r="N54" s="1559"/>
      <c r="O54" s="1560"/>
    </row>
    <row r="55" spans="1:15" ht="30">
      <c r="A55" s="1" t="s">
        <v>3</v>
      </c>
      <c r="B55" s="1"/>
      <c r="C55" s="35" t="s">
        <v>4</v>
      </c>
      <c r="D55" s="1" t="s">
        <v>5</v>
      </c>
      <c r="E55" s="1" t="s">
        <v>6</v>
      </c>
      <c r="F55" s="1" t="s">
        <v>7</v>
      </c>
      <c r="G55" s="1" t="s">
        <v>8</v>
      </c>
      <c r="H55" s="314" t="s">
        <v>9</v>
      </c>
      <c r="I55" s="1" t="s">
        <v>10</v>
      </c>
      <c r="J55" s="1" t="s">
        <v>11</v>
      </c>
      <c r="K55" s="1" t="s">
        <v>12</v>
      </c>
      <c r="L55" s="1" t="s">
        <v>5</v>
      </c>
      <c r="M55" s="1" t="s">
        <v>13</v>
      </c>
      <c r="N55" s="126" t="s">
        <v>7</v>
      </c>
      <c r="O55" s="1" t="s">
        <v>14</v>
      </c>
    </row>
    <row r="56" spans="1:15" ht="15" customHeight="1">
      <c r="A56" s="1604" t="s">
        <v>64</v>
      </c>
      <c r="B56" s="315"/>
      <c r="C56" s="276"/>
      <c r="D56" s="277" t="s">
        <v>65</v>
      </c>
      <c r="E56" s="305"/>
      <c r="F56" s="211"/>
      <c r="G56" s="211"/>
      <c r="H56" s="211" t="s">
        <v>30</v>
      </c>
      <c r="I56" s="211" t="s">
        <v>18</v>
      </c>
      <c r="J56" s="262"/>
      <c r="K56" s="213"/>
      <c r="L56" s="223"/>
      <c r="M56" s="282"/>
      <c r="N56" s="279"/>
      <c r="O56" s="282"/>
    </row>
    <row r="57" spans="1:15" ht="15" customHeight="1">
      <c r="A57" s="1605"/>
      <c r="B57" s="315"/>
      <c r="C57" s="279"/>
      <c r="D57" s="223"/>
      <c r="E57" s="265"/>
      <c r="F57" s="279"/>
      <c r="G57" s="281"/>
      <c r="H57" s="213"/>
      <c r="I57" s="213"/>
      <c r="J57" s="262"/>
      <c r="K57" s="163"/>
      <c r="L57" s="163"/>
      <c r="M57" s="163"/>
      <c r="N57" s="163"/>
      <c r="O57" s="163"/>
    </row>
    <row r="58" spans="1:15" ht="15" customHeight="1">
      <c r="A58" s="1605"/>
      <c r="B58" s="315"/>
      <c r="C58" s="279"/>
      <c r="D58" s="223"/>
      <c r="E58" s="282"/>
      <c r="F58" s="279"/>
      <c r="G58" s="281"/>
      <c r="H58" s="213"/>
      <c r="I58" s="213"/>
      <c r="J58" s="262"/>
      <c r="K58" s="266"/>
      <c r="L58" s="266"/>
      <c r="M58" s="266"/>
      <c r="N58" s="266"/>
      <c r="O58" s="283">
        <f>SUM(O56:O57)</f>
        <v>0</v>
      </c>
    </row>
    <row r="59" spans="1:15" ht="15.75">
      <c r="A59" s="1606"/>
      <c r="B59" s="71"/>
      <c r="C59" s="157"/>
      <c r="D59" s="156"/>
      <c r="E59" s="154">
        <f>SUM(E56:E58)</f>
        <v>0</v>
      </c>
      <c r="F59" s="156"/>
      <c r="G59" s="157"/>
      <c r="H59" s="156">
        <f>SUM(H56:H58)</f>
        <v>0</v>
      </c>
      <c r="I59" s="156"/>
      <c r="J59" s="156"/>
      <c r="K59" s="156"/>
      <c r="L59" s="156"/>
      <c r="M59" s="156"/>
      <c r="N59" s="156"/>
      <c r="O59" s="294">
        <f>O58+H59</f>
        <v>0</v>
      </c>
    </row>
    <row r="61" spans="1:15" ht="25.5" customHeight="1">
      <c r="A61" s="1548" t="s">
        <v>66</v>
      </c>
      <c r="B61" s="1531"/>
      <c r="C61" s="1531"/>
      <c r="D61" s="1531"/>
      <c r="E61" s="1531"/>
      <c r="F61" s="1531"/>
      <c r="G61" s="1531"/>
      <c r="H61" s="1531"/>
      <c r="I61" s="1531"/>
      <c r="J61" s="1554"/>
      <c r="K61" s="1566" t="s">
        <v>2</v>
      </c>
      <c r="L61" s="1567"/>
      <c r="M61" s="1567"/>
      <c r="N61" s="1567"/>
      <c r="O61" s="1568"/>
    </row>
    <row r="62" spans="1:15" ht="30">
      <c r="A62" s="3" t="s">
        <v>3</v>
      </c>
      <c r="B62" s="3"/>
      <c r="C62" s="2" t="s">
        <v>4</v>
      </c>
      <c r="D62" s="3" t="s">
        <v>5</v>
      </c>
      <c r="E62" s="3" t="s">
        <v>6</v>
      </c>
      <c r="F62" s="3" t="s">
        <v>7</v>
      </c>
      <c r="G62" s="3" t="s">
        <v>8</v>
      </c>
      <c r="H62" s="15" t="s">
        <v>9</v>
      </c>
      <c r="I62" s="3" t="s">
        <v>10</v>
      </c>
      <c r="J62" s="3" t="s">
        <v>11</v>
      </c>
      <c r="K62" s="3" t="s">
        <v>12</v>
      </c>
      <c r="L62" s="3" t="s">
        <v>5</v>
      </c>
      <c r="M62" s="3" t="s">
        <v>13</v>
      </c>
      <c r="N62" s="3" t="s">
        <v>7</v>
      </c>
      <c r="O62" s="3" t="s">
        <v>14</v>
      </c>
    </row>
    <row r="63" spans="1:15" ht="15" customHeight="1">
      <c r="A63" s="1604"/>
      <c r="B63" s="315"/>
      <c r="C63" s="148">
        <v>0.1</v>
      </c>
      <c r="D63" s="149" t="s">
        <v>67</v>
      </c>
      <c r="E63" s="141">
        <v>1130000</v>
      </c>
      <c r="F63" s="148">
        <v>0.1</v>
      </c>
      <c r="G63" s="313">
        <f>E63*F63</f>
        <v>113000</v>
      </c>
      <c r="H63" s="147" t="s">
        <v>30</v>
      </c>
      <c r="I63" s="149" t="s">
        <v>18</v>
      </c>
      <c r="J63" s="262"/>
      <c r="K63" s="213"/>
      <c r="L63" s="223"/>
      <c r="M63" s="282"/>
      <c r="N63" s="279"/>
      <c r="O63" s="282"/>
    </row>
    <row r="64" spans="1:15" ht="15" customHeight="1">
      <c r="A64" s="1605"/>
      <c r="B64" s="315"/>
      <c r="C64" s="73"/>
      <c r="D64" s="206"/>
      <c r="E64" s="206"/>
      <c r="F64" s="206"/>
      <c r="G64" s="73"/>
      <c r="H64" s="206"/>
      <c r="I64" s="206"/>
      <c r="J64" s="262"/>
      <c r="K64" s="163"/>
      <c r="L64" s="163"/>
      <c r="M64" s="163"/>
      <c r="N64" s="163"/>
      <c r="O64" s="163"/>
    </row>
    <row r="65" spans="1:15" ht="15.75">
      <c r="A65" s="1606"/>
      <c r="B65" s="71"/>
      <c r="C65" s="157"/>
      <c r="D65" s="156" t="s">
        <v>34</v>
      </c>
      <c r="E65" s="154">
        <f>SUM(E63:E64)</f>
        <v>1130000</v>
      </c>
      <c r="F65" s="156"/>
      <c r="G65" s="293">
        <f>SUM(G63:G64)</f>
        <v>113000</v>
      </c>
      <c r="H65" s="156"/>
      <c r="I65" s="156"/>
      <c r="J65" s="156"/>
      <c r="K65" s="156"/>
      <c r="L65" s="156"/>
      <c r="M65" s="156"/>
      <c r="N65" s="156"/>
      <c r="O65" s="156"/>
    </row>
    <row r="67" spans="1:15" ht="20.25" customHeight="1">
      <c r="A67" s="298" t="s">
        <v>68</v>
      </c>
      <c r="B67" s="299"/>
      <c r="C67" s="98"/>
      <c r="D67" s="141">
        <f>E65+E59+E51+E40+E26+E13</f>
        <v>25660000</v>
      </c>
    </row>
    <row r="68" spans="1:15" ht="19.5" customHeight="1">
      <c r="A68" s="300" t="s">
        <v>69</v>
      </c>
      <c r="B68" s="301"/>
      <c r="C68" s="22"/>
      <c r="D68" s="20"/>
    </row>
    <row r="69" spans="1:15" ht="21" customHeight="1">
      <c r="A69" s="302" t="s">
        <v>70</v>
      </c>
      <c r="B69" s="303"/>
      <c r="C69" s="101"/>
      <c r="D69" s="21"/>
    </row>
    <row r="71" spans="1:15" ht="15" customHeight="1">
      <c r="A71" s="1576" t="s">
        <v>71</v>
      </c>
      <c r="B71" s="734"/>
      <c r="C71" s="1576" t="s">
        <v>72</v>
      </c>
      <c r="D71" s="1576" t="s">
        <v>73</v>
      </c>
    </row>
    <row r="72" spans="1:15" ht="15" customHeight="1">
      <c r="A72" s="1577"/>
      <c r="B72" s="735"/>
      <c r="C72" s="1577"/>
      <c r="D72" s="1577"/>
    </row>
    <row r="73" spans="1:15" ht="15" customHeight="1">
      <c r="A73" s="1576" t="s">
        <v>74</v>
      </c>
      <c r="B73" s="734"/>
      <c r="C73" s="1593">
        <f>E63+E49+E48+E47+E46+E38+E37+E36+E35+E34+E33+E31</f>
        <v>12760000</v>
      </c>
      <c r="D73" s="1582">
        <v>12</v>
      </c>
    </row>
    <row r="74" spans="1:15" ht="15" customHeight="1">
      <c r="A74" s="1577"/>
      <c r="B74" s="735"/>
      <c r="C74" s="1594"/>
      <c r="D74" s="1583"/>
    </row>
    <row r="75" spans="1:15" ht="15" customHeight="1">
      <c r="A75" s="1576" t="s">
        <v>75</v>
      </c>
      <c r="B75" s="734"/>
      <c r="C75" s="1593">
        <f>E32+E24+E21+E11+E23</f>
        <v>6750000</v>
      </c>
      <c r="D75" s="1582">
        <v>5</v>
      </c>
    </row>
    <row r="76" spans="1:15" ht="15" customHeight="1">
      <c r="A76" s="1577"/>
      <c r="B76" s="735"/>
      <c r="C76" s="1594"/>
      <c r="D76" s="1583"/>
    </row>
    <row r="77" spans="1:15" ht="15" customHeight="1">
      <c r="A77" s="1576" t="s">
        <v>76</v>
      </c>
      <c r="B77" s="734"/>
      <c r="C77" s="1593">
        <f>E22+E10+E9+E8+E7+E6</f>
        <v>6150000</v>
      </c>
      <c r="D77" s="1582">
        <v>6</v>
      </c>
    </row>
    <row r="78" spans="1:15" ht="15" customHeight="1">
      <c r="A78" s="1577"/>
      <c r="B78" s="735"/>
      <c r="C78" s="1594"/>
      <c r="D78" s="1583"/>
    </row>
    <row r="79" spans="1:15" ht="15" customHeight="1">
      <c r="A79" s="1584" t="s">
        <v>77</v>
      </c>
      <c r="B79" s="737"/>
      <c r="C79" s="1593">
        <v>0</v>
      </c>
      <c r="D79" s="1582">
        <v>0</v>
      </c>
    </row>
    <row r="80" spans="1:15" ht="15" customHeight="1">
      <c r="A80" s="1585"/>
      <c r="B80" s="738"/>
      <c r="C80" s="1594"/>
      <c r="D80" s="1583"/>
    </row>
    <row r="81" spans="1:15" ht="15" customHeight="1">
      <c r="A81" s="1576" t="s">
        <v>78</v>
      </c>
      <c r="B81" s="734"/>
      <c r="C81" s="1593">
        <v>0</v>
      </c>
      <c r="D81" s="1582">
        <v>0</v>
      </c>
    </row>
    <row r="82" spans="1:15" ht="15" customHeight="1">
      <c r="A82" s="1577"/>
      <c r="B82" s="735"/>
      <c r="C82" s="1594"/>
      <c r="D82" s="1583"/>
    </row>
    <row r="83" spans="1:15" ht="15" customHeight="1">
      <c r="A83" s="1576" t="s">
        <v>79</v>
      </c>
      <c r="B83" s="734"/>
      <c r="C83" s="1593">
        <v>0</v>
      </c>
      <c r="D83" s="1582">
        <v>0</v>
      </c>
    </row>
    <row r="84" spans="1:15" ht="15" customHeight="1">
      <c r="A84" s="1577"/>
      <c r="B84" s="735"/>
      <c r="C84" s="1594"/>
      <c r="D84" s="1583"/>
    </row>
    <row r="85" spans="1:15" ht="15" customHeight="1">
      <c r="A85" s="1576" t="s">
        <v>80</v>
      </c>
      <c r="B85" s="734"/>
      <c r="C85" s="1593">
        <f>C83+C81+C79+C77+C75+C73</f>
        <v>25660000</v>
      </c>
      <c r="D85" s="1582">
        <f>D83+D81+D79+D77+D75+D73</f>
        <v>23</v>
      </c>
    </row>
    <row r="86" spans="1:15" ht="15" customHeight="1">
      <c r="A86" s="1577"/>
      <c r="B86" s="735"/>
      <c r="C86" s="1594"/>
      <c r="D86" s="1583"/>
    </row>
    <row r="91" spans="1:15" ht="31.5">
      <c r="A91" s="1600" t="s">
        <v>81</v>
      </c>
      <c r="B91" s="1600"/>
      <c r="C91" s="1600"/>
      <c r="D91" s="1600"/>
      <c r="E91" s="1600"/>
      <c r="F91" s="1600"/>
      <c r="G91" s="1600"/>
      <c r="H91" s="1600"/>
      <c r="I91" s="1600"/>
      <c r="J91" s="1600"/>
      <c r="K91" s="1600"/>
      <c r="L91" s="1600"/>
      <c r="M91" s="1600"/>
      <c r="N91" s="1600"/>
      <c r="O91" s="1600"/>
    </row>
    <row r="92" spans="1:15" ht="27.75" customHeight="1">
      <c r="A92" s="1548" t="s">
        <v>1</v>
      </c>
      <c r="B92" s="1531"/>
      <c r="C92" s="1531"/>
      <c r="D92" s="1531"/>
      <c r="E92" s="1531"/>
      <c r="F92" s="1531"/>
      <c r="G92" s="1531"/>
      <c r="H92" s="1531"/>
      <c r="I92" s="1531"/>
      <c r="J92" s="1554"/>
      <c r="K92" s="1555" t="s">
        <v>2</v>
      </c>
      <c r="L92" s="1555"/>
      <c r="M92" s="1555"/>
      <c r="N92" s="1555"/>
      <c r="O92" s="1555"/>
    </row>
    <row r="93" spans="1:15" ht="30">
      <c r="A93" s="3" t="s">
        <v>3</v>
      </c>
      <c r="B93" s="3"/>
      <c r="C93" s="2" t="s">
        <v>4</v>
      </c>
      <c r="D93" s="3" t="s">
        <v>5</v>
      </c>
      <c r="E93" s="3" t="s">
        <v>6</v>
      </c>
      <c r="F93" s="3" t="s">
        <v>7</v>
      </c>
      <c r="G93" s="3" t="s">
        <v>8</v>
      </c>
      <c r="H93" s="3" t="s">
        <v>9</v>
      </c>
      <c r="I93" s="3" t="s">
        <v>10</v>
      </c>
      <c r="J93" s="3" t="s">
        <v>11</v>
      </c>
      <c r="K93" s="3" t="s">
        <v>12</v>
      </c>
      <c r="L93" s="3" t="s">
        <v>5</v>
      </c>
      <c r="M93" s="3" t="s">
        <v>13</v>
      </c>
      <c r="N93" s="3" t="s">
        <v>7</v>
      </c>
      <c r="O93" s="3" t="s">
        <v>14</v>
      </c>
    </row>
    <row r="94" spans="1:15" ht="15" customHeight="1">
      <c r="A94" s="1556" t="s">
        <v>82</v>
      </c>
      <c r="B94" s="736"/>
      <c r="C94" s="233">
        <v>0.1</v>
      </c>
      <c r="D94" s="136" t="s">
        <v>83</v>
      </c>
      <c r="E94" s="143">
        <v>1050000</v>
      </c>
      <c r="F94" s="138">
        <v>0.1</v>
      </c>
      <c r="G94" s="278">
        <f>E94*F94</f>
        <v>105000</v>
      </c>
      <c r="H94" s="135" t="s">
        <v>22</v>
      </c>
      <c r="I94" s="135" t="s">
        <v>18</v>
      </c>
      <c r="J94" s="262"/>
      <c r="K94" s="135">
        <v>10778</v>
      </c>
      <c r="L94" s="136" t="s">
        <v>84</v>
      </c>
      <c r="M94" s="143">
        <v>850000</v>
      </c>
      <c r="N94" s="260">
        <v>0.05</v>
      </c>
      <c r="O94" s="278">
        <f>M94*N94</f>
        <v>42500</v>
      </c>
    </row>
    <row r="95" spans="1:15" ht="15" customHeight="1">
      <c r="A95" s="1552"/>
      <c r="B95" s="736"/>
      <c r="C95" s="233">
        <v>0.1</v>
      </c>
      <c r="D95" s="136" t="s">
        <v>85</v>
      </c>
      <c r="E95" s="143">
        <v>1100000</v>
      </c>
      <c r="F95" s="138">
        <v>0.1</v>
      </c>
      <c r="G95" s="278">
        <f>E95*F95</f>
        <v>110000</v>
      </c>
      <c r="H95" s="135" t="s">
        <v>22</v>
      </c>
      <c r="I95" s="135" t="s">
        <v>32</v>
      </c>
      <c r="J95" s="262"/>
      <c r="K95" s="163"/>
      <c r="L95" s="262"/>
      <c r="M95" s="261"/>
      <c r="N95" s="260"/>
      <c r="O95" s="286"/>
    </row>
    <row r="96" spans="1:15" ht="15" customHeight="1">
      <c r="A96" s="1552"/>
      <c r="B96" s="736"/>
      <c r="C96" s="233">
        <v>0.1</v>
      </c>
      <c r="D96" s="136" t="s">
        <v>86</v>
      </c>
      <c r="E96" s="143">
        <v>810000</v>
      </c>
      <c r="F96" s="138">
        <v>0.06</v>
      </c>
      <c r="G96" s="278">
        <f>E96*F96</f>
        <v>48600</v>
      </c>
      <c r="H96" s="135" t="s">
        <v>30</v>
      </c>
      <c r="I96" s="135" t="s">
        <v>18</v>
      </c>
      <c r="J96" s="262"/>
      <c r="K96" s="156"/>
      <c r="L96" s="163"/>
      <c r="M96" s="262"/>
      <c r="N96" s="261"/>
      <c r="O96" s="260"/>
    </row>
    <row r="97" spans="1:15" ht="15" customHeight="1">
      <c r="A97" s="1552"/>
      <c r="B97" s="736"/>
      <c r="C97" s="233">
        <v>0.1</v>
      </c>
      <c r="D97" s="136" t="s">
        <v>87</v>
      </c>
      <c r="E97" s="143">
        <v>980000</v>
      </c>
      <c r="F97" s="138">
        <v>0.1</v>
      </c>
      <c r="G97" s="278">
        <f>E97*F97</f>
        <v>98000</v>
      </c>
      <c r="H97" s="135" t="s">
        <v>22</v>
      </c>
      <c r="I97" s="135" t="s">
        <v>44</v>
      </c>
      <c r="J97" s="262"/>
      <c r="K97" s="163"/>
      <c r="L97" s="163"/>
      <c r="M97" s="163"/>
      <c r="N97" s="163"/>
      <c r="O97" s="163"/>
    </row>
    <row r="98" spans="1:15" ht="15" customHeight="1">
      <c r="A98" s="1552"/>
      <c r="B98" s="736"/>
      <c r="C98" s="233">
        <v>0.1</v>
      </c>
      <c r="D98" s="136" t="s">
        <v>88</v>
      </c>
      <c r="E98" s="143">
        <v>1250000</v>
      </c>
      <c r="F98" s="138">
        <v>0.05</v>
      </c>
      <c r="G98" s="278">
        <f>E98*F98</f>
        <v>62500</v>
      </c>
      <c r="H98" s="317" t="s">
        <v>89</v>
      </c>
      <c r="I98" s="135" t="s">
        <v>44</v>
      </c>
      <c r="J98" s="262"/>
      <c r="K98" s="163"/>
      <c r="L98" s="163"/>
      <c r="M98" s="163"/>
      <c r="N98" s="163"/>
      <c r="O98" s="163"/>
    </row>
    <row r="99" spans="1:15" ht="15" customHeight="1">
      <c r="A99" s="1552"/>
      <c r="B99" s="736"/>
      <c r="C99" s="233">
        <v>0.1</v>
      </c>
      <c r="D99" s="136" t="s">
        <v>90</v>
      </c>
      <c r="E99" s="143">
        <v>1300000</v>
      </c>
      <c r="F99" s="138">
        <v>0.1</v>
      </c>
      <c r="G99" s="278">
        <f>E99*F99</f>
        <v>130000</v>
      </c>
      <c r="H99" s="135" t="s">
        <v>22</v>
      </c>
      <c r="I99" s="135" t="s">
        <v>91</v>
      </c>
      <c r="J99" s="262"/>
      <c r="K99" s="163"/>
      <c r="L99" s="163"/>
      <c r="M99" s="163"/>
      <c r="N99" s="163"/>
      <c r="O99" s="163"/>
    </row>
    <row r="100" spans="1:15" ht="15" customHeight="1">
      <c r="A100" s="1552"/>
      <c r="B100" s="736"/>
      <c r="C100" s="233">
        <v>0.1</v>
      </c>
      <c r="D100" s="136" t="s">
        <v>92</v>
      </c>
      <c r="E100" s="143">
        <v>1150000</v>
      </c>
      <c r="F100" s="138">
        <v>0.1</v>
      </c>
      <c r="G100" s="278">
        <f>E100*F100</f>
        <v>115000</v>
      </c>
      <c r="H100" s="135" t="s">
        <v>22</v>
      </c>
      <c r="I100" s="135" t="s">
        <v>91</v>
      </c>
      <c r="J100" s="262"/>
      <c r="K100" s="163"/>
      <c r="L100" s="163"/>
      <c r="M100" s="163"/>
      <c r="N100" s="163"/>
      <c r="O100" s="163"/>
    </row>
    <row r="101" spans="1:15" ht="15" customHeight="1">
      <c r="A101" s="1552"/>
      <c r="B101" s="736"/>
      <c r="C101" s="148">
        <v>0.1</v>
      </c>
      <c r="D101" s="149" t="s">
        <v>93</v>
      </c>
      <c r="E101" s="141">
        <v>1200000</v>
      </c>
      <c r="F101" s="148">
        <v>0.06</v>
      </c>
      <c r="G101" s="278">
        <f>E101*F101</f>
        <v>72000</v>
      </c>
      <c r="H101" s="147" t="s">
        <v>30</v>
      </c>
      <c r="I101" s="147" t="s">
        <v>91</v>
      </c>
      <c r="J101" s="262"/>
      <c r="K101" s="213"/>
      <c r="L101" s="223"/>
      <c r="M101" s="282"/>
      <c r="N101" s="279"/>
      <c r="O101" s="282"/>
    </row>
    <row r="102" spans="1:15" ht="15" customHeight="1">
      <c r="A102" s="1552"/>
      <c r="B102" s="736"/>
      <c r="C102" s="148">
        <v>0.1</v>
      </c>
      <c r="D102" s="149" t="s">
        <v>94</v>
      </c>
      <c r="E102" s="141">
        <v>850000</v>
      </c>
      <c r="F102" s="148">
        <v>0.1</v>
      </c>
      <c r="G102" s="278">
        <f>E102*F102</f>
        <v>85000</v>
      </c>
      <c r="H102" s="147" t="s">
        <v>22</v>
      </c>
      <c r="I102" s="147" t="s">
        <v>91</v>
      </c>
      <c r="J102" s="262"/>
      <c r="K102" s="163"/>
      <c r="L102" s="163"/>
      <c r="M102" s="163"/>
      <c r="N102" s="163"/>
      <c r="O102" s="163"/>
    </row>
    <row r="103" spans="1:15" ht="14.25" customHeight="1">
      <c r="A103" s="1552"/>
      <c r="B103" s="736"/>
      <c r="C103" s="318"/>
      <c r="D103" s="262"/>
      <c r="E103" s="261"/>
      <c r="F103" s="162"/>
      <c r="G103" s="286"/>
      <c r="H103" s="163"/>
      <c r="I103" s="163"/>
      <c r="J103" s="262"/>
      <c r="K103" s="163"/>
      <c r="L103" s="163"/>
      <c r="M103" s="163"/>
      <c r="N103" s="163"/>
      <c r="O103" s="163"/>
    </row>
    <row r="104" spans="1:15" ht="15" customHeight="1">
      <c r="A104" s="1552"/>
      <c r="B104" s="736"/>
      <c r="C104" s="318"/>
      <c r="D104" s="262"/>
      <c r="E104" s="261"/>
      <c r="F104" s="162"/>
      <c r="G104" s="286"/>
      <c r="H104" s="163"/>
      <c r="I104" s="163"/>
      <c r="J104" s="262"/>
      <c r="K104" s="163"/>
      <c r="L104" s="163"/>
      <c r="M104" s="163"/>
      <c r="N104" s="163"/>
      <c r="O104" s="163"/>
    </row>
    <row r="105" spans="1:15" ht="15.75">
      <c r="A105" s="1552"/>
      <c r="B105" s="7"/>
      <c r="C105" s="213"/>
      <c r="D105" s="223" t="s">
        <v>34</v>
      </c>
      <c r="E105" s="309">
        <f>SUM(E94:E102)</f>
        <v>9690000</v>
      </c>
      <c r="F105" s="223"/>
      <c r="G105" s="281">
        <f>SUM(G94:G102)</f>
        <v>826100</v>
      </c>
      <c r="H105" s="223"/>
      <c r="I105" s="223"/>
      <c r="J105" s="223"/>
      <c r="K105" s="266"/>
      <c r="L105" s="266"/>
      <c r="M105" s="266"/>
      <c r="N105" s="266"/>
      <c r="O105" s="283">
        <f>SUM(O94:O102)</f>
        <v>42500</v>
      </c>
    </row>
    <row r="106" spans="1:15" ht="15.75">
      <c r="A106" s="1542"/>
      <c r="B106" s="71"/>
      <c r="C106" s="157"/>
      <c r="D106" s="156"/>
      <c r="E106" s="156"/>
      <c r="F106" s="156"/>
      <c r="G106" s="157"/>
      <c r="H106" s="156"/>
      <c r="I106" s="156"/>
      <c r="J106" s="156"/>
      <c r="K106" s="266"/>
      <c r="L106" s="266"/>
      <c r="M106" s="266"/>
      <c r="N106" s="266"/>
      <c r="O106" s="297">
        <f>O105+G105</f>
        <v>868600</v>
      </c>
    </row>
    <row r="109" spans="1:15" ht="24" customHeight="1">
      <c r="A109" s="1548" t="s">
        <v>35</v>
      </c>
      <c r="B109" s="1531"/>
      <c r="C109" s="1531"/>
      <c r="D109" s="1531"/>
      <c r="E109" s="1531"/>
      <c r="F109" s="1531"/>
      <c r="G109" s="1531"/>
      <c r="H109" s="1531"/>
      <c r="I109" s="1531"/>
      <c r="J109" s="1554"/>
      <c r="K109" s="1555" t="s">
        <v>2</v>
      </c>
      <c r="L109" s="1555"/>
      <c r="M109" s="1555"/>
      <c r="N109" s="1555"/>
      <c r="O109" s="1555"/>
    </row>
    <row r="110" spans="1:15" ht="30">
      <c r="A110" s="3" t="s">
        <v>3</v>
      </c>
      <c r="B110" s="3"/>
      <c r="C110" s="2" t="s">
        <v>4</v>
      </c>
      <c r="D110" s="3" t="s">
        <v>5</v>
      </c>
      <c r="E110" s="3" t="s">
        <v>6</v>
      </c>
      <c r="F110" s="3" t="s">
        <v>7</v>
      </c>
      <c r="G110" s="3" t="s">
        <v>8</v>
      </c>
      <c r="H110" s="3" t="s">
        <v>9</v>
      </c>
      <c r="I110" s="3" t="s">
        <v>10</v>
      </c>
      <c r="J110" s="3" t="s">
        <v>11</v>
      </c>
      <c r="K110" s="3" t="s">
        <v>12</v>
      </c>
      <c r="L110" s="3" t="s">
        <v>5</v>
      </c>
      <c r="M110" s="3" t="s">
        <v>13</v>
      </c>
      <c r="N110" s="3" t="s">
        <v>7</v>
      </c>
      <c r="O110" s="3" t="s">
        <v>14</v>
      </c>
    </row>
    <row r="111" spans="1:15" ht="15" customHeight="1">
      <c r="A111" s="1556" t="s">
        <v>95</v>
      </c>
      <c r="B111" s="736"/>
      <c r="C111" s="211"/>
      <c r="D111" s="277" t="s">
        <v>96</v>
      </c>
      <c r="E111" s="211"/>
      <c r="F111" s="211"/>
      <c r="G111" s="211"/>
      <c r="H111" s="211" t="s">
        <v>89</v>
      </c>
      <c r="I111" s="211" t="s">
        <v>91</v>
      </c>
      <c r="J111" s="277"/>
      <c r="K111" s="135">
        <v>10629</v>
      </c>
      <c r="L111" s="136" t="s">
        <v>88</v>
      </c>
      <c r="M111" s="143">
        <v>1250000</v>
      </c>
      <c r="N111" s="260">
        <v>0.05</v>
      </c>
      <c r="O111" s="278">
        <f>M111*N111</f>
        <v>62500</v>
      </c>
    </row>
    <row r="112" spans="1:15" s="32" customFormat="1" ht="15" customHeight="1">
      <c r="A112" s="1552"/>
      <c r="B112" s="736"/>
      <c r="C112" s="233">
        <v>0.1</v>
      </c>
      <c r="D112" s="136" t="s">
        <v>97</v>
      </c>
      <c r="E112" s="143">
        <v>1430000</v>
      </c>
      <c r="F112" s="138">
        <v>0.06</v>
      </c>
      <c r="G112" s="278">
        <f>E112*F112</f>
        <v>85800</v>
      </c>
      <c r="H112" s="135" t="s">
        <v>30</v>
      </c>
      <c r="I112" s="135" t="s">
        <v>44</v>
      </c>
      <c r="J112" s="262"/>
      <c r="K112" s="163"/>
      <c r="L112" s="262"/>
      <c r="M112" s="261"/>
      <c r="N112" s="260"/>
      <c r="O112" s="286"/>
    </row>
    <row r="113" spans="1:15" ht="15" customHeight="1">
      <c r="A113" s="1552"/>
      <c r="B113" s="736"/>
      <c r="C113" s="148">
        <v>0.1</v>
      </c>
      <c r="D113" s="149" t="s">
        <v>98</v>
      </c>
      <c r="E113" s="141">
        <v>1350000</v>
      </c>
      <c r="F113" s="148">
        <v>0.05</v>
      </c>
      <c r="G113" s="278">
        <f>E113*F113</f>
        <v>67500</v>
      </c>
      <c r="H113" s="147" t="s">
        <v>89</v>
      </c>
      <c r="I113" s="147" t="s">
        <v>91</v>
      </c>
      <c r="J113" s="262"/>
      <c r="K113" s="163"/>
      <c r="L113" s="163"/>
      <c r="M113" s="163"/>
      <c r="N113" s="163"/>
      <c r="O113" s="163"/>
    </row>
    <row r="114" spans="1:15" ht="15" customHeight="1">
      <c r="A114" s="1552"/>
      <c r="B114" s="736"/>
      <c r="C114" s="148">
        <v>0.1</v>
      </c>
      <c r="D114" s="149" t="s">
        <v>99</v>
      </c>
      <c r="E114" s="141">
        <v>850000</v>
      </c>
      <c r="F114" s="148">
        <v>0.05</v>
      </c>
      <c r="G114" s="278">
        <f>E114*F114</f>
        <v>42500</v>
      </c>
      <c r="H114" s="320" t="s">
        <v>22</v>
      </c>
      <c r="I114" s="147" t="s">
        <v>91</v>
      </c>
      <c r="J114" s="262"/>
      <c r="K114" s="163"/>
      <c r="L114" s="163"/>
      <c r="M114" s="163"/>
      <c r="N114" s="163"/>
      <c r="O114" s="163"/>
    </row>
    <row r="115" spans="1:15" ht="15" customHeight="1">
      <c r="A115" s="1552"/>
      <c r="B115" s="736"/>
      <c r="C115" s="157"/>
      <c r="D115" s="156"/>
      <c r="E115" s="156"/>
      <c r="F115" s="156"/>
      <c r="G115" s="157"/>
      <c r="H115" s="156"/>
      <c r="I115" s="213" t="s">
        <v>100</v>
      </c>
      <c r="J115" s="262"/>
      <c r="K115" s="163"/>
      <c r="L115" s="163"/>
      <c r="M115" s="163"/>
      <c r="N115" s="163"/>
      <c r="O115" s="163"/>
    </row>
    <row r="116" spans="1:15" ht="15" customHeight="1">
      <c r="A116" s="1552"/>
      <c r="B116" s="736"/>
      <c r="C116" s="279"/>
      <c r="D116" s="223"/>
      <c r="E116" s="265"/>
      <c r="F116" s="279"/>
      <c r="G116" s="281"/>
      <c r="H116" s="213"/>
      <c r="I116" s="213"/>
      <c r="J116" s="262"/>
      <c r="K116" s="163"/>
      <c r="L116" s="163"/>
      <c r="M116" s="163"/>
      <c r="N116" s="163"/>
      <c r="O116" s="163"/>
    </row>
    <row r="117" spans="1:15" ht="15.75">
      <c r="A117" s="1552"/>
      <c r="B117" s="7"/>
      <c r="C117" s="213"/>
      <c r="D117" s="223" t="s">
        <v>34</v>
      </c>
      <c r="E117" s="309">
        <f>SUM(E112:E116)</f>
        <v>3630000</v>
      </c>
      <c r="F117" s="223"/>
      <c r="G117" s="281">
        <f>SUM(G112:G114)</f>
        <v>195800</v>
      </c>
      <c r="H117" s="223"/>
      <c r="I117" s="223"/>
      <c r="J117" s="223"/>
      <c r="K117" s="266"/>
      <c r="L117" s="266"/>
      <c r="M117" s="266"/>
      <c r="N117" s="266"/>
      <c r="O117" s="283">
        <f>SUM(O111:O116)</f>
        <v>62500</v>
      </c>
    </row>
    <row r="118" spans="1:15" ht="15.75">
      <c r="A118" s="1542"/>
      <c r="B118" s="71"/>
      <c r="C118" s="157"/>
      <c r="D118" s="156"/>
      <c r="E118" s="156"/>
      <c r="F118" s="156"/>
      <c r="G118" s="157"/>
      <c r="H118" s="156"/>
      <c r="I118" s="156"/>
      <c r="J118" s="156"/>
      <c r="K118" s="266"/>
      <c r="L118" s="266"/>
      <c r="M118" s="266"/>
      <c r="N118" s="266"/>
      <c r="O118" s="297">
        <f>O117+G117</f>
        <v>258300</v>
      </c>
    </row>
    <row r="121" spans="1:15" ht="24" customHeight="1">
      <c r="A121" s="1548" t="s">
        <v>45</v>
      </c>
      <c r="B121" s="1531"/>
      <c r="C121" s="1531"/>
      <c r="D121" s="1531"/>
      <c r="E121" s="1531"/>
      <c r="F121" s="1531"/>
      <c r="G121" s="1531"/>
      <c r="H121" s="1531"/>
      <c r="I121" s="1531"/>
      <c r="J121" s="1554"/>
      <c r="K121" s="1555" t="s">
        <v>2</v>
      </c>
      <c r="L121" s="1555"/>
      <c r="M121" s="1555"/>
      <c r="N121" s="1555"/>
      <c r="O121" s="1555"/>
    </row>
    <row r="122" spans="1:15" ht="30">
      <c r="A122" s="3" t="s">
        <v>3</v>
      </c>
      <c r="B122" s="3"/>
      <c r="C122" s="2" t="s">
        <v>4</v>
      </c>
      <c r="D122" s="3" t="s">
        <v>5</v>
      </c>
      <c r="E122" s="3" t="s">
        <v>6</v>
      </c>
      <c r="F122" s="3" t="s">
        <v>7</v>
      </c>
      <c r="G122" s="3" t="s">
        <v>8</v>
      </c>
      <c r="H122" s="3" t="s">
        <v>9</v>
      </c>
      <c r="I122" s="3" t="s">
        <v>10</v>
      </c>
      <c r="J122" s="3" t="s">
        <v>11</v>
      </c>
      <c r="K122" s="3" t="s">
        <v>12</v>
      </c>
      <c r="L122" s="3" t="s">
        <v>5</v>
      </c>
      <c r="M122" s="3" t="s">
        <v>13</v>
      </c>
      <c r="N122" s="3" t="s">
        <v>7</v>
      </c>
      <c r="O122" s="3" t="s">
        <v>14</v>
      </c>
    </row>
    <row r="123" spans="1:15" ht="15" customHeight="1">
      <c r="A123" s="1607" t="s">
        <v>95</v>
      </c>
      <c r="B123" s="326"/>
      <c r="C123" s="148">
        <v>0.1</v>
      </c>
      <c r="D123" s="149" t="s">
        <v>101</v>
      </c>
      <c r="E123" s="141">
        <v>1100000</v>
      </c>
      <c r="F123" s="148">
        <v>0.1</v>
      </c>
      <c r="G123" s="278">
        <f>E123*F123</f>
        <v>110000</v>
      </c>
      <c r="H123" s="147" t="s">
        <v>49</v>
      </c>
      <c r="I123" s="147" t="s">
        <v>32</v>
      </c>
      <c r="J123" s="262"/>
      <c r="K123" s="135">
        <v>10666</v>
      </c>
      <c r="L123" s="136" t="s">
        <v>102</v>
      </c>
      <c r="M123" s="143">
        <v>1100000</v>
      </c>
      <c r="N123" s="260">
        <v>0.05</v>
      </c>
      <c r="O123" s="278">
        <f>M123*N123</f>
        <v>55000</v>
      </c>
    </row>
    <row r="124" spans="1:15" ht="15" customHeight="1">
      <c r="A124" s="1608"/>
      <c r="B124" s="326"/>
      <c r="C124" s="148">
        <v>0.1</v>
      </c>
      <c r="D124" s="149" t="s">
        <v>103</v>
      </c>
      <c r="E124" s="141">
        <v>1150000</v>
      </c>
      <c r="F124" s="148">
        <v>0.1</v>
      </c>
      <c r="G124" s="278">
        <f>E124*F124</f>
        <v>115000</v>
      </c>
      <c r="H124" s="147" t="s">
        <v>49</v>
      </c>
      <c r="I124" s="147" t="s">
        <v>91</v>
      </c>
      <c r="J124" s="262"/>
      <c r="K124" s="163"/>
      <c r="L124" s="223"/>
      <c r="M124" s="265"/>
      <c r="N124" s="260"/>
      <c r="O124" s="286"/>
    </row>
    <row r="125" spans="1:15" ht="15" customHeight="1">
      <c r="A125" s="1608"/>
      <c r="B125" s="326"/>
      <c r="C125" s="148">
        <v>0.1</v>
      </c>
      <c r="D125" s="149" t="s">
        <v>104</v>
      </c>
      <c r="E125" s="141">
        <v>1250000</v>
      </c>
      <c r="F125" s="148">
        <v>0.1</v>
      </c>
      <c r="G125" s="278">
        <f>E125*F125</f>
        <v>125000</v>
      </c>
      <c r="H125" s="147" t="s">
        <v>49</v>
      </c>
      <c r="I125" s="147" t="s">
        <v>91</v>
      </c>
      <c r="J125" s="262"/>
      <c r="K125" s="163"/>
      <c r="L125" s="163"/>
      <c r="M125" s="163"/>
      <c r="N125" s="163"/>
      <c r="O125" s="163"/>
    </row>
    <row r="126" spans="1:15" ht="15" customHeight="1">
      <c r="A126" s="1608"/>
      <c r="B126" s="326"/>
      <c r="C126" s="148">
        <v>0.1</v>
      </c>
      <c r="D126" s="149" t="s">
        <v>105</v>
      </c>
      <c r="E126" s="141">
        <v>750000</v>
      </c>
      <c r="F126" s="148">
        <v>0.1</v>
      </c>
      <c r="G126" s="278">
        <f>E126*F126</f>
        <v>75000</v>
      </c>
      <c r="H126" s="147" t="s">
        <v>49</v>
      </c>
      <c r="I126" s="147" t="s">
        <v>32</v>
      </c>
      <c r="J126" s="262"/>
      <c r="K126" s="163"/>
      <c r="L126" s="163"/>
      <c r="M126" s="163"/>
      <c r="N126" s="163"/>
      <c r="O126" s="163"/>
    </row>
    <row r="127" spans="1:15" ht="15" customHeight="1">
      <c r="A127" s="1608"/>
      <c r="B127" s="326"/>
      <c r="C127" s="148">
        <v>0.1</v>
      </c>
      <c r="D127" s="149" t="s">
        <v>106</v>
      </c>
      <c r="E127" s="141">
        <v>1100000</v>
      </c>
      <c r="F127" s="148">
        <v>0.1</v>
      </c>
      <c r="G127" s="278">
        <f>E127*F127</f>
        <v>110000</v>
      </c>
      <c r="H127" s="147" t="s">
        <v>49</v>
      </c>
      <c r="I127" s="147" t="s">
        <v>91</v>
      </c>
      <c r="J127" s="262"/>
      <c r="K127" s="163"/>
      <c r="L127" s="163"/>
      <c r="M127" s="163"/>
      <c r="N127" s="163"/>
      <c r="O127" s="163"/>
    </row>
    <row r="128" spans="1:15" ht="15" customHeight="1">
      <c r="A128" s="1608"/>
      <c r="B128" s="326"/>
      <c r="C128" s="148">
        <v>0.1</v>
      </c>
      <c r="D128" s="149" t="s">
        <v>107</v>
      </c>
      <c r="E128" s="141">
        <v>1700000</v>
      </c>
      <c r="F128" s="148">
        <v>0.1</v>
      </c>
      <c r="G128" s="278">
        <f>E128*F128</f>
        <v>170000</v>
      </c>
      <c r="H128" s="147" t="s">
        <v>49</v>
      </c>
      <c r="I128" s="147" t="s">
        <v>91</v>
      </c>
      <c r="J128" s="262"/>
      <c r="K128" s="163"/>
      <c r="L128" s="163"/>
      <c r="M128" s="163"/>
      <c r="N128" s="163"/>
      <c r="O128" s="163"/>
    </row>
    <row r="129" spans="1:15" ht="18.75" customHeight="1">
      <c r="A129" s="1608"/>
      <c r="B129" s="326"/>
      <c r="C129" s="327"/>
      <c r="D129" s="222" t="s">
        <v>108</v>
      </c>
      <c r="E129" s="305"/>
      <c r="F129" s="285"/>
      <c r="G129" s="268"/>
      <c r="H129" s="289" t="s">
        <v>109</v>
      </c>
      <c r="I129" s="289" t="s">
        <v>91</v>
      </c>
      <c r="J129" s="262" t="s">
        <v>110</v>
      </c>
      <c r="K129" s="213"/>
      <c r="L129" s="223"/>
      <c r="M129" s="282"/>
      <c r="N129" s="279"/>
      <c r="O129" s="282"/>
    </row>
    <row r="130" spans="1:15" ht="15" customHeight="1">
      <c r="A130" s="1608"/>
      <c r="B130" s="326"/>
      <c r="C130" s="279"/>
      <c r="D130" s="223"/>
      <c r="E130" s="265"/>
      <c r="F130" s="279"/>
      <c r="G130" s="281"/>
      <c r="H130" s="213"/>
      <c r="I130" s="213"/>
      <c r="J130" s="262"/>
      <c r="K130" s="163"/>
      <c r="L130" s="163"/>
      <c r="M130" s="163"/>
      <c r="N130" s="163"/>
      <c r="O130" s="163"/>
    </row>
    <row r="131" spans="1:15" ht="15.75">
      <c r="A131" s="1608"/>
      <c r="B131" s="213"/>
      <c r="C131" s="213"/>
      <c r="D131" s="223" t="s">
        <v>80</v>
      </c>
      <c r="E131" s="309">
        <f>SUM(E123:E130)</f>
        <v>7050000</v>
      </c>
      <c r="F131" s="223"/>
      <c r="G131" s="281">
        <f>SUM(G123:G130)</f>
        <v>705000</v>
      </c>
      <c r="H131" s="223"/>
      <c r="I131" s="223"/>
      <c r="J131" s="223"/>
      <c r="K131" s="266"/>
      <c r="L131" s="266"/>
      <c r="M131" s="266"/>
      <c r="N131" s="266"/>
      <c r="O131" s="283">
        <f>SUM(O123:O130)</f>
        <v>55000</v>
      </c>
    </row>
    <row r="132" spans="1:15" ht="15.75">
      <c r="A132" s="1609"/>
      <c r="B132" s="157"/>
      <c r="C132" s="157"/>
      <c r="D132" s="156"/>
      <c r="E132" s="156"/>
      <c r="F132" s="156"/>
      <c r="G132" s="157"/>
      <c r="H132" s="156"/>
      <c r="I132" s="156"/>
      <c r="J132" s="156"/>
      <c r="K132" s="266"/>
      <c r="L132" s="266"/>
      <c r="M132" s="266"/>
      <c r="N132" s="266"/>
      <c r="O132" s="297">
        <f>O131+G131</f>
        <v>760000</v>
      </c>
    </row>
    <row r="133" spans="1:15">
      <c r="A133" s="321"/>
      <c r="B133" s="322"/>
      <c r="C133" s="322"/>
      <c r="D133" s="323"/>
      <c r="E133" s="323"/>
      <c r="F133" s="323"/>
      <c r="G133" s="322"/>
      <c r="H133" s="323"/>
      <c r="I133" s="323"/>
      <c r="J133" s="324"/>
      <c r="K133" s="58"/>
      <c r="L133" s="58"/>
      <c r="M133" s="58"/>
      <c r="N133" s="58"/>
      <c r="O133" s="325"/>
    </row>
    <row r="134" spans="1:15">
      <c r="A134" s="321"/>
      <c r="B134" s="322"/>
      <c r="C134" s="322"/>
      <c r="D134" s="323"/>
      <c r="E134" s="323"/>
      <c r="F134" s="323"/>
      <c r="G134" s="322"/>
      <c r="H134" s="323"/>
      <c r="I134" s="323"/>
      <c r="J134" s="324"/>
      <c r="K134" s="58"/>
      <c r="L134" s="58"/>
      <c r="M134" s="58"/>
      <c r="N134" s="58"/>
      <c r="O134" s="325"/>
    </row>
    <row r="135" spans="1:15" ht="23.25" customHeight="1">
      <c r="A135" s="1597" t="s">
        <v>56</v>
      </c>
      <c r="B135" s="1598"/>
      <c r="C135" s="1598"/>
      <c r="D135" s="1598"/>
      <c r="E135" s="1598"/>
      <c r="F135" s="1598"/>
      <c r="G135" s="1598"/>
      <c r="H135" s="1598"/>
      <c r="I135" s="1598"/>
      <c r="J135" s="1599"/>
      <c r="K135" s="1617" t="s">
        <v>2</v>
      </c>
      <c r="L135" s="1617"/>
      <c r="M135" s="1617"/>
      <c r="N135" s="1617"/>
      <c r="O135" s="1617"/>
    </row>
    <row r="136" spans="1:15" ht="30">
      <c r="A136" s="3" t="s">
        <v>3</v>
      </c>
      <c r="B136" s="3"/>
      <c r="C136" s="2" t="s">
        <v>4</v>
      </c>
      <c r="D136" s="3" t="s">
        <v>5</v>
      </c>
      <c r="E136" s="3" t="s">
        <v>6</v>
      </c>
      <c r="F136" s="3" t="s">
        <v>7</v>
      </c>
      <c r="G136" s="3" t="s">
        <v>8</v>
      </c>
      <c r="H136" s="3" t="s">
        <v>9</v>
      </c>
      <c r="I136" s="3" t="s">
        <v>10</v>
      </c>
      <c r="J136" s="3" t="s">
        <v>11</v>
      </c>
      <c r="K136" s="3" t="s">
        <v>12</v>
      </c>
      <c r="L136" s="3" t="s">
        <v>5</v>
      </c>
      <c r="M136" s="3" t="s">
        <v>13</v>
      </c>
      <c r="N136" s="3" t="s">
        <v>7</v>
      </c>
      <c r="O136" s="3" t="s">
        <v>14</v>
      </c>
    </row>
    <row r="137" spans="1:15" ht="15" customHeight="1">
      <c r="A137" s="1556" t="s">
        <v>111</v>
      </c>
      <c r="B137" s="326"/>
      <c r="C137" s="233">
        <v>0.1</v>
      </c>
      <c r="D137" s="136" t="s">
        <v>112</v>
      </c>
      <c r="E137" s="143">
        <v>850000</v>
      </c>
      <c r="F137" s="138">
        <v>0.1</v>
      </c>
      <c r="G137" s="278">
        <f>E137*F137</f>
        <v>85000</v>
      </c>
      <c r="H137" s="135" t="s">
        <v>113</v>
      </c>
      <c r="I137" s="135" t="s">
        <v>91</v>
      </c>
      <c r="J137" s="262"/>
      <c r="K137" s="135">
        <v>10592</v>
      </c>
      <c r="L137" s="136" t="s">
        <v>114</v>
      </c>
      <c r="M137" s="278">
        <v>2800000</v>
      </c>
      <c r="N137" s="231">
        <v>0.04</v>
      </c>
      <c r="O137" s="278">
        <f>M137*N137</f>
        <v>112000</v>
      </c>
    </row>
    <row r="138" spans="1:15" ht="15" customHeight="1">
      <c r="A138" s="1552"/>
      <c r="B138" s="326"/>
      <c r="C138" s="233">
        <v>0.1</v>
      </c>
      <c r="D138" s="136" t="s">
        <v>102</v>
      </c>
      <c r="E138" s="143">
        <v>1100000</v>
      </c>
      <c r="F138" s="138">
        <v>0.05</v>
      </c>
      <c r="G138" s="278">
        <f>E138*F138</f>
        <v>55000</v>
      </c>
      <c r="H138" s="135" t="s">
        <v>49</v>
      </c>
      <c r="I138" s="135" t="s">
        <v>91</v>
      </c>
      <c r="J138" s="262"/>
      <c r="K138" s="135">
        <v>10736</v>
      </c>
      <c r="L138" s="149" t="s">
        <v>98</v>
      </c>
      <c r="M138" s="141">
        <v>1350000</v>
      </c>
      <c r="N138" s="231">
        <v>0.05</v>
      </c>
      <c r="O138" s="278">
        <f>M138*N138</f>
        <v>67500</v>
      </c>
    </row>
    <row r="139" spans="1:15" ht="15" customHeight="1">
      <c r="A139" s="1552"/>
      <c r="B139" s="326"/>
      <c r="C139" s="233">
        <v>0.1</v>
      </c>
      <c r="D139" s="136" t="s">
        <v>115</v>
      </c>
      <c r="E139" s="143">
        <v>1150000</v>
      </c>
      <c r="F139" s="138">
        <v>0.1</v>
      </c>
      <c r="G139" s="278">
        <f>E139*F139</f>
        <v>115000</v>
      </c>
      <c r="H139" s="135" t="s">
        <v>113</v>
      </c>
      <c r="I139" s="135" t="s">
        <v>91</v>
      </c>
      <c r="J139" s="262"/>
      <c r="K139" s="135"/>
      <c r="L139" s="136"/>
      <c r="M139" s="278"/>
      <c r="N139" s="231"/>
      <c r="O139" s="278"/>
    </row>
    <row r="140" spans="1:15" ht="15" customHeight="1">
      <c r="A140" s="1552"/>
      <c r="B140" s="326"/>
      <c r="C140" s="233">
        <v>0.1</v>
      </c>
      <c r="D140" s="136" t="s">
        <v>116</v>
      </c>
      <c r="E140" s="143">
        <v>800000</v>
      </c>
      <c r="F140" s="138">
        <v>0.06</v>
      </c>
      <c r="G140" s="278">
        <f>E140*F140</f>
        <v>48000</v>
      </c>
      <c r="H140" s="135" t="s">
        <v>30</v>
      </c>
      <c r="I140" s="135" t="s">
        <v>91</v>
      </c>
      <c r="J140" s="262"/>
      <c r="K140" s="135"/>
      <c r="L140" s="136"/>
      <c r="M140" s="278"/>
      <c r="N140" s="231"/>
      <c r="O140" s="278"/>
    </row>
    <row r="141" spans="1:15" ht="15.75" customHeight="1">
      <c r="A141" s="1552"/>
      <c r="B141" s="326"/>
      <c r="C141" s="327"/>
      <c r="D141" s="222" t="s">
        <v>117</v>
      </c>
      <c r="E141" s="305"/>
      <c r="F141" s="285"/>
      <c r="G141" s="328"/>
      <c r="H141" s="289"/>
      <c r="I141" s="289"/>
      <c r="J141" s="327" t="s">
        <v>118</v>
      </c>
      <c r="K141" s="213"/>
      <c r="L141" s="223"/>
      <c r="M141" s="309"/>
      <c r="N141" s="279"/>
      <c r="O141" s="282"/>
    </row>
    <row r="142" spans="1:15" ht="15" customHeight="1">
      <c r="A142" s="1552"/>
      <c r="B142" s="326"/>
      <c r="C142" s="279"/>
      <c r="D142" s="223"/>
      <c r="E142" s="265"/>
      <c r="F142" s="279"/>
      <c r="G142" s="281"/>
      <c r="H142" s="213"/>
      <c r="I142" s="213"/>
      <c r="J142" s="262"/>
      <c r="K142" s="163"/>
      <c r="L142" s="163"/>
      <c r="M142" s="286"/>
      <c r="N142" s="163"/>
      <c r="O142" s="163"/>
    </row>
    <row r="143" spans="1:15" ht="15.75">
      <c r="A143" s="1552"/>
      <c r="B143" s="213"/>
      <c r="C143" s="213"/>
      <c r="D143" s="223" t="s">
        <v>34</v>
      </c>
      <c r="E143" s="309">
        <f>SUM(E137:E142)</f>
        <v>3900000</v>
      </c>
      <c r="F143" s="223"/>
      <c r="G143" s="281">
        <f>SUM(G137:G142)</f>
        <v>303000</v>
      </c>
      <c r="H143" s="223"/>
      <c r="I143" s="223"/>
      <c r="J143" s="223"/>
      <c r="K143" s="266"/>
      <c r="L143" s="266"/>
      <c r="M143" s="329"/>
      <c r="N143" s="266"/>
      <c r="O143" s="283">
        <f>SUM(O137:O142)</f>
        <v>179500</v>
      </c>
    </row>
    <row r="144" spans="1:15" ht="20.25" customHeight="1">
      <c r="A144" s="1542"/>
      <c r="B144" s="157"/>
      <c r="C144" s="157"/>
      <c r="D144" s="156"/>
      <c r="E144" s="156"/>
      <c r="F144" s="156"/>
      <c r="G144" s="157"/>
      <c r="H144" s="156"/>
      <c r="I144" s="156"/>
      <c r="J144" s="156"/>
      <c r="K144" s="266"/>
      <c r="L144" s="266"/>
      <c r="M144" s="266"/>
      <c r="N144" s="266"/>
      <c r="O144" s="297">
        <f>O143+G143</f>
        <v>482500</v>
      </c>
    </row>
    <row r="146" spans="1:4" ht="18" customHeight="1">
      <c r="A146" s="65" t="s">
        <v>68</v>
      </c>
      <c r="B146" s="97"/>
      <c r="C146" s="98"/>
      <c r="D146" s="141">
        <f>E143+E131+E117+E105</f>
        <v>24270000</v>
      </c>
    </row>
    <row r="147" spans="1:4">
      <c r="A147" s="66" t="s">
        <v>69</v>
      </c>
      <c r="B147" s="99"/>
      <c r="C147" s="22"/>
      <c r="D147" s="20"/>
    </row>
    <row r="148" spans="1:4">
      <c r="A148" s="67" t="s">
        <v>70</v>
      </c>
      <c r="B148" s="100"/>
      <c r="C148" s="101"/>
      <c r="D148" s="21"/>
    </row>
    <row r="150" spans="1:4">
      <c r="A150" s="1576" t="s">
        <v>71</v>
      </c>
      <c r="B150" s="734"/>
      <c r="C150" s="1576" t="s">
        <v>72</v>
      </c>
      <c r="D150" s="1576" t="s">
        <v>73</v>
      </c>
    </row>
    <row r="151" spans="1:4">
      <c r="A151" s="1577"/>
      <c r="B151" s="735"/>
      <c r="C151" s="1577"/>
      <c r="D151" s="1577"/>
    </row>
    <row r="152" spans="1:4" ht="15" customHeight="1">
      <c r="A152" s="1576" t="s">
        <v>74</v>
      </c>
      <c r="B152" s="734"/>
      <c r="C152" s="1593">
        <v>8250000</v>
      </c>
      <c r="D152" s="1582">
        <v>8</v>
      </c>
    </row>
    <row r="153" spans="1:4" ht="15" customHeight="1">
      <c r="A153" s="1577"/>
      <c r="B153" s="735"/>
      <c r="C153" s="1594"/>
      <c r="D153" s="1583"/>
    </row>
    <row r="154" spans="1:4" ht="15" customHeight="1">
      <c r="A154" s="1576" t="s">
        <v>76</v>
      </c>
      <c r="B154" s="734"/>
      <c r="C154" s="1593">
        <v>15170000</v>
      </c>
      <c r="D154" s="1582">
        <v>14</v>
      </c>
    </row>
    <row r="155" spans="1:4" ht="15" customHeight="1">
      <c r="A155" s="1577"/>
      <c r="B155" s="735"/>
      <c r="C155" s="1594"/>
      <c r="D155" s="1583"/>
    </row>
    <row r="156" spans="1:4" ht="15" customHeight="1">
      <c r="A156" s="1584" t="s">
        <v>77</v>
      </c>
      <c r="B156" s="737"/>
      <c r="C156" s="1593">
        <v>850000</v>
      </c>
      <c r="D156" s="1582">
        <v>1</v>
      </c>
    </row>
    <row r="157" spans="1:4" ht="15" customHeight="1">
      <c r="A157" s="1585"/>
      <c r="B157" s="738"/>
      <c r="C157" s="1594"/>
      <c r="D157" s="1583"/>
    </row>
    <row r="158" spans="1:4" ht="15" customHeight="1">
      <c r="A158" s="1576" t="s">
        <v>80</v>
      </c>
      <c r="B158" s="734"/>
      <c r="C158" s="1595">
        <f>SUM(C152:C156)</f>
        <v>24270000</v>
      </c>
      <c r="D158" s="1582">
        <f>SUM(D152:D156)</f>
        <v>23</v>
      </c>
    </row>
    <row r="159" spans="1:4" ht="15" customHeight="1">
      <c r="A159" s="1577"/>
      <c r="B159" s="735"/>
      <c r="C159" s="1596"/>
      <c r="D159" s="1583"/>
    </row>
    <row r="161" spans="1:15">
      <c r="I161" s="29"/>
    </row>
    <row r="162" spans="1:15">
      <c r="A162" s="32"/>
      <c r="B162" s="85"/>
      <c r="C162" s="85"/>
      <c r="D162" s="32"/>
      <c r="E162" s="32"/>
      <c r="F162" s="44"/>
      <c r="G162" s="85"/>
      <c r="H162" s="44"/>
    </row>
    <row r="165" spans="1:15" ht="31.5">
      <c r="A165" s="1600" t="s">
        <v>119</v>
      </c>
      <c r="B165" s="1600"/>
      <c r="C165" s="1600"/>
      <c r="D165" s="1600"/>
      <c r="E165" s="1600"/>
      <c r="F165" s="1600"/>
      <c r="G165" s="1600"/>
      <c r="H165" s="1600"/>
      <c r="I165" s="1600"/>
      <c r="J165" s="1600"/>
      <c r="K165" s="1600"/>
      <c r="L165" s="1600"/>
      <c r="M165" s="1600"/>
      <c r="N165" s="1600"/>
      <c r="O165" s="1600"/>
    </row>
    <row r="166" spans="1:15" ht="21.75" customHeight="1">
      <c r="A166" s="1530" t="s">
        <v>1</v>
      </c>
      <c r="B166" s="1532"/>
      <c r="C166" s="1532"/>
      <c r="D166" s="1532"/>
      <c r="E166" s="1532"/>
      <c r="F166" s="1532"/>
      <c r="G166" s="1532"/>
      <c r="H166" s="1532"/>
      <c r="I166" s="1532"/>
      <c r="J166" s="1549"/>
      <c r="K166" s="1533" t="s">
        <v>2</v>
      </c>
      <c r="L166" s="1533"/>
      <c r="M166" s="1533"/>
      <c r="N166" s="1533"/>
      <c r="O166" s="1533"/>
    </row>
    <row r="167" spans="1:15" ht="30">
      <c r="A167" s="1" t="s">
        <v>3</v>
      </c>
      <c r="B167" s="1" t="s">
        <v>120</v>
      </c>
      <c r="C167" s="35" t="s">
        <v>4</v>
      </c>
      <c r="D167" s="1" t="s">
        <v>5</v>
      </c>
      <c r="E167" s="1" t="s">
        <v>6</v>
      </c>
      <c r="F167" s="1" t="s">
        <v>7</v>
      </c>
      <c r="G167" s="1" t="s">
        <v>8</v>
      </c>
      <c r="H167" s="1" t="s">
        <v>9</v>
      </c>
      <c r="I167" s="1" t="s">
        <v>10</v>
      </c>
      <c r="J167" s="1" t="s">
        <v>11</v>
      </c>
      <c r="K167" s="1" t="s">
        <v>12</v>
      </c>
      <c r="L167" s="1" t="s">
        <v>5</v>
      </c>
      <c r="M167" s="1" t="s">
        <v>13</v>
      </c>
      <c r="N167" s="126" t="s">
        <v>7</v>
      </c>
      <c r="O167" s="1" t="s">
        <v>14</v>
      </c>
    </row>
    <row r="168" spans="1:15" ht="15" customHeight="1">
      <c r="A168" s="1556" t="s">
        <v>121</v>
      </c>
      <c r="B168" s="135">
        <v>10835</v>
      </c>
      <c r="C168" s="233">
        <v>0.1</v>
      </c>
      <c r="D168" s="136" t="s">
        <v>122</v>
      </c>
      <c r="E168" s="143">
        <v>1050000</v>
      </c>
      <c r="F168" s="138">
        <v>0.1</v>
      </c>
      <c r="G168" s="278">
        <f>E168*F168</f>
        <v>105000</v>
      </c>
      <c r="H168" s="135" t="s">
        <v>123</v>
      </c>
      <c r="I168" s="135" t="s">
        <v>100</v>
      </c>
      <c r="J168" s="262"/>
      <c r="K168" s="135">
        <v>10855</v>
      </c>
      <c r="L168" s="136" t="s">
        <v>124</v>
      </c>
      <c r="M168" s="143">
        <v>1250000</v>
      </c>
      <c r="N168" s="231">
        <v>0.05</v>
      </c>
      <c r="O168" s="278">
        <f>M168*N168</f>
        <v>62500</v>
      </c>
    </row>
    <row r="169" spans="1:15" ht="15" customHeight="1">
      <c r="A169" s="1552"/>
      <c r="B169" s="135">
        <v>10844</v>
      </c>
      <c r="C169" s="233">
        <v>0.1</v>
      </c>
      <c r="D169" s="136" t="s">
        <v>125</v>
      </c>
      <c r="E169" s="143">
        <v>1200000</v>
      </c>
      <c r="F169" s="138">
        <v>0.1</v>
      </c>
      <c r="G169" s="278">
        <f>E169*F169</f>
        <v>120000</v>
      </c>
      <c r="H169" s="135" t="s">
        <v>123</v>
      </c>
      <c r="I169" s="135" t="s">
        <v>100</v>
      </c>
      <c r="J169" s="262"/>
      <c r="K169" s="135">
        <v>10808</v>
      </c>
      <c r="L169" s="136" t="s">
        <v>126</v>
      </c>
      <c r="M169" s="143">
        <v>1250000</v>
      </c>
      <c r="N169" s="231">
        <v>0.05</v>
      </c>
      <c r="O169" s="278">
        <f>M169*N169</f>
        <v>62500</v>
      </c>
    </row>
    <row r="170" spans="1:15" ht="15" customHeight="1">
      <c r="A170" s="1552"/>
      <c r="B170" s="135">
        <v>10958</v>
      </c>
      <c r="C170" s="233">
        <v>0.1</v>
      </c>
      <c r="D170" s="136" t="s">
        <v>127</v>
      </c>
      <c r="E170" s="143">
        <v>1300000</v>
      </c>
      <c r="F170" s="138">
        <v>0.1</v>
      </c>
      <c r="G170" s="278">
        <f>E170*F170</f>
        <v>130000</v>
      </c>
      <c r="H170" s="135" t="s">
        <v>123</v>
      </c>
      <c r="I170" s="135" t="s">
        <v>128</v>
      </c>
      <c r="J170" s="262"/>
      <c r="K170" s="163"/>
      <c r="L170" s="163"/>
      <c r="M170" s="163"/>
      <c r="N170" s="163"/>
      <c r="O170" s="163"/>
    </row>
    <row r="171" spans="1:15" ht="15" customHeight="1">
      <c r="A171" s="1552"/>
      <c r="B171" s="135">
        <v>10982</v>
      </c>
      <c r="C171" s="331">
        <v>0.08</v>
      </c>
      <c r="D171" s="136" t="s">
        <v>129</v>
      </c>
      <c r="E171" s="143">
        <v>1500000</v>
      </c>
      <c r="F171" s="138">
        <v>0.04</v>
      </c>
      <c r="G171" s="278">
        <f>E171*F171</f>
        <v>60000</v>
      </c>
      <c r="H171" s="135" t="s">
        <v>89</v>
      </c>
      <c r="I171" s="135" t="s">
        <v>100</v>
      </c>
      <c r="J171" s="262"/>
      <c r="K171" s="163"/>
      <c r="L171" s="163"/>
      <c r="M171" s="163"/>
      <c r="N171" s="163"/>
      <c r="O171" s="163"/>
    </row>
    <row r="172" spans="1:15" ht="15" customHeight="1">
      <c r="A172" s="1552"/>
      <c r="B172" s="211" t="s">
        <v>130</v>
      </c>
      <c r="C172" s="267"/>
      <c r="D172" s="277" t="s">
        <v>131</v>
      </c>
      <c r="E172" s="308"/>
      <c r="F172" s="220"/>
      <c r="G172" s="268"/>
      <c r="H172" s="211" t="s">
        <v>123</v>
      </c>
      <c r="I172" s="211" t="s">
        <v>128</v>
      </c>
      <c r="J172" s="333" t="s">
        <v>132</v>
      </c>
      <c r="K172" s="213"/>
      <c r="L172" s="223"/>
      <c r="M172" s="282"/>
      <c r="N172" s="279"/>
      <c r="O172" s="282"/>
    </row>
    <row r="173" spans="1:15" ht="15" customHeight="1">
      <c r="A173" s="1552"/>
      <c r="B173" s="211" t="s">
        <v>130</v>
      </c>
      <c r="C173" s="267"/>
      <c r="D173" s="277" t="s">
        <v>133</v>
      </c>
      <c r="E173" s="308"/>
      <c r="F173" s="220"/>
      <c r="G173" s="268"/>
      <c r="H173" s="211" t="s">
        <v>134</v>
      </c>
      <c r="I173" s="211" t="s">
        <v>100</v>
      </c>
      <c r="J173" s="333" t="s">
        <v>135</v>
      </c>
      <c r="K173" s="163"/>
      <c r="L173" s="163"/>
      <c r="M173" s="163"/>
      <c r="N173" s="163"/>
      <c r="O173" s="163"/>
    </row>
    <row r="174" spans="1:15" ht="14.25" customHeight="1">
      <c r="A174" s="1552"/>
      <c r="B174" s="163"/>
      <c r="C174" s="318"/>
      <c r="D174" s="262"/>
      <c r="E174" s="332"/>
      <c r="F174" s="162"/>
      <c r="G174" s="286"/>
      <c r="H174" s="163"/>
      <c r="I174" s="163"/>
      <c r="J174" s="262"/>
      <c r="K174" s="163"/>
      <c r="L174" s="163"/>
      <c r="M174" s="163"/>
      <c r="N174" s="163"/>
      <c r="O174" s="286"/>
    </row>
    <row r="175" spans="1:15" ht="15" customHeight="1">
      <c r="A175" s="1552"/>
      <c r="B175" s="326"/>
      <c r="C175" s="318"/>
      <c r="D175" s="262"/>
      <c r="E175" s="332"/>
      <c r="F175" s="162"/>
      <c r="G175" s="286"/>
      <c r="H175" s="163"/>
      <c r="I175" s="163"/>
      <c r="J175" s="262"/>
      <c r="K175" s="163"/>
      <c r="L175" s="163"/>
      <c r="M175" s="163"/>
      <c r="N175" s="163"/>
      <c r="O175" s="154">
        <f>SUM(O168:O174)</f>
        <v>125000</v>
      </c>
    </row>
    <row r="176" spans="1:15" ht="23.25">
      <c r="A176" s="1552"/>
      <c r="B176" s="7"/>
      <c r="C176" s="7"/>
      <c r="D176" s="223" t="s">
        <v>34</v>
      </c>
      <c r="E176" s="75">
        <f>SUM(E168:E175)</f>
        <v>5050000</v>
      </c>
      <c r="F176" s="42"/>
      <c r="G176" s="86">
        <f>SUM(G168:G175)</f>
        <v>415000</v>
      </c>
      <c r="H176" s="42"/>
      <c r="I176" s="42"/>
      <c r="J176" s="42"/>
      <c r="K176" s="11"/>
      <c r="L176" s="11"/>
      <c r="M176" s="11"/>
      <c r="N176" s="11"/>
      <c r="O176" s="13"/>
    </row>
    <row r="177" spans="1:16" ht="21">
      <c r="A177" s="1542"/>
      <c r="B177" s="71"/>
      <c r="C177" s="71"/>
      <c r="D177" s="14"/>
      <c r="E177" s="14"/>
      <c r="F177" s="14"/>
      <c r="G177" s="71"/>
      <c r="H177" s="14"/>
      <c r="I177" s="14"/>
      <c r="J177" s="14"/>
      <c r="K177" s="11"/>
      <c r="L177" s="1618" t="s">
        <v>136</v>
      </c>
      <c r="M177" s="1618"/>
      <c r="N177" s="1618"/>
      <c r="O177" s="83">
        <f>O175+G176</f>
        <v>540000</v>
      </c>
      <c r="P177" s="96" t="s">
        <v>137</v>
      </c>
    </row>
    <row r="179" spans="1:16" ht="23.25" customHeight="1">
      <c r="A179" s="1564" t="s">
        <v>138</v>
      </c>
      <c r="B179" s="1564"/>
      <c r="C179" s="1564"/>
      <c r="D179" s="1564"/>
      <c r="E179" s="1564"/>
      <c r="F179" s="1564"/>
      <c r="G179" s="1564"/>
      <c r="H179" s="1564"/>
      <c r="I179" s="1564"/>
      <c r="J179" s="1564"/>
      <c r="K179" s="1618"/>
      <c r="L179" s="1618"/>
      <c r="M179" s="1618"/>
      <c r="N179" s="1618"/>
      <c r="O179" s="1618"/>
    </row>
    <row r="180" spans="1:16" ht="30">
      <c r="A180" s="68" t="s">
        <v>3</v>
      </c>
      <c r="B180" s="68" t="s">
        <v>120</v>
      </c>
      <c r="C180" s="125" t="s">
        <v>4</v>
      </c>
      <c r="D180" s="68" t="s">
        <v>5</v>
      </c>
      <c r="E180" s="68" t="s">
        <v>6</v>
      </c>
      <c r="F180" s="68" t="s">
        <v>7</v>
      </c>
      <c r="G180" s="68" t="s">
        <v>8</v>
      </c>
      <c r="H180" s="68" t="s">
        <v>9</v>
      </c>
      <c r="I180" s="68" t="s">
        <v>10</v>
      </c>
      <c r="J180" s="68" t="s">
        <v>11</v>
      </c>
      <c r="K180" s="68" t="s">
        <v>12</v>
      </c>
      <c r="L180" s="68" t="s">
        <v>5</v>
      </c>
      <c r="M180" s="68" t="s">
        <v>13</v>
      </c>
      <c r="N180" s="129" t="s">
        <v>7</v>
      </c>
      <c r="O180" s="68" t="s">
        <v>14</v>
      </c>
    </row>
    <row r="181" spans="1:16" ht="17.25" customHeight="1">
      <c r="A181" s="1556" t="s">
        <v>95</v>
      </c>
      <c r="B181" s="135">
        <v>10856</v>
      </c>
      <c r="C181" s="148">
        <v>0.1</v>
      </c>
      <c r="D181" s="149" t="s">
        <v>139</v>
      </c>
      <c r="E181" s="141">
        <v>1400000</v>
      </c>
      <c r="F181" s="148">
        <v>0.1</v>
      </c>
      <c r="G181" s="335">
        <f>E181*F181</f>
        <v>140000</v>
      </c>
      <c r="H181" s="147" t="s">
        <v>89</v>
      </c>
      <c r="I181" s="147" t="s">
        <v>100</v>
      </c>
      <c r="J181" s="262"/>
      <c r="K181" s="135">
        <v>10806</v>
      </c>
      <c r="L181" s="149" t="s">
        <v>140</v>
      </c>
      <c r="M181" s="147">
        <v>1100000</v>
      </c>
      <c r="N181" s="148">
        <v>0.05</v>
      </c>
      <c r="O181" s="278">
        <f>M181*N181</f>
        <v>55000</v>
      </c>
    </row>
    <row r="182" spans="1:16" ht="17.25" customHeight="1">
      <c r="A182" s="1552"/>
      <c r="B182" s="135">
        <v>10898</v>
      </c>
      <c r="C182" s="148">
        <v>0.1</v>
      </c>
      <c r="D182" s="149" t="s">
        <v>141</v>
      </c>
      <c r="E182" s="141">
        <v>1300000</v>
      </c>
      <c r="F182" s="148">
        <v>0.1</v>
      </c>
      <c r="G182" s="335">
        <f>E182*F182</f>
        <v>130000</v>
      </c>
      <c r="H182" s="147" t="s">
        <v>89</v>
      </c>
      <c r="I182" s="147" t="s">
        <v>100</v>
      </c>
      <c r="J182" s="262"/>
      <c r="K182" s="135">
        <v>10982</v>
      </c>
      <c r="L182" s="338" t="s">
        <v>142</v>
      </c>
      <c r="M182" s="143">
        <v>1500000</v>
      </c>
      <c r="N182" s="148">
        <v>0.04</v>
      </c>
      <c r="O182" s="278">
        <f>M182*N182</f>
        <v>60000</v>
      </c>
    </row>
    <row r="183" spans="1:16" s="32" customFormat="1" ht="15" customHeight="1">
      <c r="A183" s="1552"/>
      <c r="B183" s="135">
        <v>10909</v>
      </c>
      <c r="C183" s="148">
        <v>0.1</v>
      </c>
      <c r="D183" s="149" t="s">
        <v>143</v>
      </c>
      <c r="E183" s="141">
        <v>1400000</v>
      </c>
      <c r="F183" s="148">
        <v>0.06</v>
      </c>
      <c r="G183" s="335">
        <f>E183*F183</f>
        <v>84000</v>
      </c>
      <c r="H183" s="147" t="s">
        <v>30</v>
      </c>
      <c r="I183" s="147" t="s">
        <v>100</v>
      </c>
      <c r="J183" s="262"/>
      <c r="K183" s="163"/>
      <c r="L183" s="262"/>
      <c r="M183" s="261"/>
      <c r="N183" s="260"/>
      <c r="O183" s="286"/>
    </row>
    <row r="184" spans="1:16" s="32" customFormat="1" ht="15" customHeight="1">
      <c r="A184" s="1552"/>
      <c r="B184" s="135">
        <v>10955</v>
      </c>
      <c r="C184" s="148">
        <v>0.1</v>
      </c>
      <c r="D184" s="149" t="s">
        <v>144</v>
      </c>
      <c r="E184" s="141">
        <v>1300000</v>
      </c>
      <c r="F184" s="148">
        <v>0.1</v>
      </c>
      <c r="G184" s="335">
        <f t="shared" ref="G184:G185" si="0">E184*F184</f>
        <v>130000</v>
      </c>
      <c r="H184" s="147" t="s">
        <v>89</v>
      </c>
      <c r="I184" s="147" t="s">
        <v>100</v>
      </c>
      <c r="J184" s="262"/>
      <c r="K184" s="163"/>
      <c r="L184" s="262"/>
      <c r="M184" s="261"/>
      <c r="N184" s="260"/>
      <c r="O184" s="286"/>
    </row>
    <row r="185" spans="1:16" s="32" customFormat="1" ht="15" customHeight="1">
      <c r="A185" s="1552"/>
      <c r="B185" s="207">
        <v>10956</v>
      </c>
      <c r="C185" s="148">
        <v>0.1</v>
      </c>
      <c r="D185" s="149" t="s">
        <v>145</v>
      </c>
      <c r="E185" s="141">
        <v>1350000</v>
      </c>
      <c r="F185" s="148">
        <v>0.06</v>
      </c>
      <c r="G185" s="335">
        <f t="shared" si="0"/>
        <v>81000</v>
      </c>
      <c r="H185" s="147" t="s">
        <v>30</v>
      </c>
      <c r="I185" s="147" t="s">
        <v>100</v>
      </c>
      <c r="J185" s="262"/>
      <c r="K185" s="163"/>
      <c r="L185" s="262"/>
      <c r="M185" s="261"/>
      <c r="N185" s="260"/>
      <c r="O185" s="286"/>
    </row>
    <row r="186" spans="1:16" ht="15" customHeight="1">
      <c r="A186" s="1552"/>
      <c r="B186" s="327" t="s">
        <v>146</v>
      </c>
      <c r="C186" s="285"/>
      <c r="D186" s="222" t="s">
        <v>147</v>
      </c>
      <c r="E186" s="305"/>
      <c r="F186" s="285"/>
      <c r="G186" s="268"/>
      <c r="H186" s="289"/>
      <c r="I186" s="289" t="s">
        <v>100</v>
      </c>
      <c r="J186" s="277"/>
      <c r="K186" s="163"/>
      <c r="L186" s="163"/>
      <c r="M186" s="163"/>
      <c r="N186" s="163"/>
      <c r="O186" s="163"/>
    </row>
    <row r="187" spans="1:16" ht="15" customHeight="1">
      <c r="A187" s="1552"/>
      <c r="B187" s="285" t="s">
        <v>130</v>
      </c>
      <c r="C187" s="285"/>
      <c r="D187" s="222" t="s">
        <v>148</v>
      </c>
      <c r="E187" s="305"/>
      <c r="F187" s="285"/>
      <c r="G187" s="328"/>
      <c r="H187" s="289" t="s">
        <v>30</v>
      </c>
      <c r="I187" s="289" t="s">
        <v>100</v>
      </c>
      <c r="J187" s="336" t="s">
        <v>149</v>
      </c>
      <c r="K187" s="163"/>
      <c r="L187" s="163"/>
      <c r="M187" s="163"/>
      <c r="N187" s="163"/>
      <c r="O187" s="163"/>
    </row>
    <row r="188" spans="1:16" ht="15" customHeight="1">
      <c r="A188" s="1552"/>
      <c r="B188" s="327" t="s">
        <v>130</v>
      </c>
      <c r="C188" s="285"/>
      <c r="D188" s="222" t="s">
        <v>150</v>
      </c>
      <c r="E188" s="305"/>
      <c r="F188" s="285"/>
      <c r="G188" s="328"/>
      <c r="H188" s="289" t="s">
        <v>89</v>
      </c>
      <c r="I188" s="289" t="s">
        <v>91</v>
      </c>
      <c r="J188" s="285"/>
      <c r="K188" s="163"/>
      <c r="L188" s="163"/>
      <c r="M188" s="163"/>
      <c r="N188" s="163"/>
      <c r="O188" s="163"/>
    </row>
    <row r="189" spans="1:16" ht="15" customHeight="1">
      <c r="A189" s="1552"/>
      <c r="B189" s="326"/>
      <c r="C189" s="279"/>
      <c r="D189" s="223"/>
      <c r="E189" s="332"/>
      <c r="F189" s="279"/>
      <c r="G189" s="281"/>
      <c r="H189" s="213"/>
      <c r="I189" s="213"/>
      <c r="J189" s="262"/>
      <c r="K189" s="163"/>
      <c r="L189" s="163"/>
      <c r="M189" s="163"/>
      <c r="N189" s="163"/>
      <c r="O189" s="286">
        <f>SUM(O181:O187)</f>
        <v>115000</v>
      </c>
    </row>
    <row r="190" spans="1:16" ht="23.25">
      <c r="A190" s="1542"/>
      <c r="B190" s="7"/>
      <c r="C190" s="7"/>
      <c r="D190" s="223" t="s">
        <v>34</v>
      </c>
      <c r="E190" s="75">
        <f>SUM(E181:E189)</f>
        <v>6750000</v>
      </c>
      <c r="F190" s="42"/>
      <c r="G190" s="86">
        <f>SUM(G181:G189)</f>
        <v>565000</v>
      </c>
      <c r="H190" s="42"/>
      <c r="I190" s="42"/>
      <c r="J190" s="42"/>
      <c r="K190" s="11"/>
      <c r="L190" s="11"/>
      <c r="M190" s="11"/>
      <c r="N190" s="11"/>
      <c r="O190" s="13"/>
    </row>
    <row r="191" spans="1:16" ht="21">
      <c r="K191" s="12"/>
      <c r="L191" s="1601" t="s">
        <v>136</v>
      </c>
      <c r="M191" s="1602"/>
      <c r="N191" s="1603"/>
      <c r="O191" s="339">
        <f>O189+G190</f>
        <v>680000</v>
      </c>
      <c r="P191" s="96" t="s">
        <v>137</v>
      </c>
    </row>
    <row r="193" spans="1:15" ht="22.5" customHeight="1">
      <c r="A193" s="1530" t="s">
        <v>45</v>
      </c>
      <c r="B193" s="1532"/>
      <c r="C193" s="1532"/>
      <c r="D193" s="1532"/>
      <c r="E193" s="1532"/>
      <c r="F193" s="1532"/>
      <c r="G193" s="1532"/>
      <c r="H193" s="1532"/>
      <c r="I193" s="1532"/>
      <c r="J193" s="1549"/>
      <c r="K193" s="1533" t="s">
        <v>2</v>
      </c>
      <c r="L193" s="1533"/>
      <c r="M193" s="1533"/>
      <c r="N193" s="1533"/>
      <c r="O193" s="1533"/>
    </row>
    <row r="194" spans="1:15" ht="30">
      <c r="A194" s="1" t="s">
        <v>3</v>
      </c>
      <c r="B194" s="1" t="s">
        <v>120</v>
      </c>
      <c r="C194" s="35" t="s">
        <v>4</v>
      </c>
      <c r="D194" s="1" t="s">
        <v>5</v>
      </c>
      <c r="E194" s="1" t="s">
        <v>6</v>
      </c>
      <c r="F194" s="1" t="s">
        <v>7</v>
      </c>
      <c r="G194" s="1" t="s">
        <v>8</v>
      </c>
      <c r="H194" s="1" t="s">
        <v>9</v>
      </c>
      <c r="I194" s="1" t="s">
        <v>10</v>
      </c>
      <c r="J194" s="1" t="s">
        <v>11</v>
      </c>
      <c r="K194" s="1" t="s">
        <v>12</v>
      </c>
      <c r="L194" s="1" t="s">
        <v>5</v>
      </c>
      <c r="M194" s="1" t="s">
        <v>13</v>
      </c>
      <c r="N194" s="126" t="s">
        <v>7</v>
      </c>
      <c r="O194" s="1" t="s">
        <v>14</v>
      </c>
    </row>
    <row r="195" spans="1:15" ht="15" customHeight="1">
      <c r="A195" s="1556" t="s">
        <v>151</v>
      </c>
      <c r="B195" s="356">
        <v>10865</v>
      </c>
      <c r="C195" s="148">
        <v>0.1</v>
      </c>
      <c r="D195" s="350" t="s">
        <v>152</v>
      </c>
      <c r="E195" s="141">
        <v>1000000</v>
      </c>
      <c r="F195" s="148">
        <v>0.06</v>
      </c>
      <c r="G195" s="278">
        <f>E195*F195</f>
        <v>60000</v>
      </c>
      <c r="H195" s="147" t="s">
        <v>30</v>
      </c>
      <c r="I195" s="147" t="s">
        <v>100</v>
      </c>
      <c r="J195" s="262"/>
      <c r="K195" s="163"/>
      <c r="L195" s="163"/>
      <c r="M195" s="163"/>
      <c r="N195" s="163"/>
      <c r="O195" s="163"/>
    </row>
    <row r="196" spans="1:15" ht="15" customHeight="1">
      <c r="A196" s="1552"/>
      <c r="B196" s="356">
        <v>10855</v>
      </c>
      <c r="C196" s="148">
        <v>0.1</v>
      </c>
      <c r="D196" s="149" t="s">
        <v>153</v>
      </c>
      <c r="E196" s="141">
        <v>1250000</v>
      </c>
      <c r="F196" s="148">
        <v>0.04</v>
      </c>
      <c r="G196" s="278">
        <f>E196*F196</f>
        <v>50000</v>
      </c>
      <c r="H196" s="147" t="s">
        <v>123</v>
      </c>
      <c r="I196" s="147" t="s">
        <v>100</v>
      </c>
      <c r="J196" s="262"/>
      <c r="K196" s="163"/>
      <c r="L196" s="163"/>
      <c r="M196" s="163"/>
      <c r="N196" s="163"/>
      <c r="O196" s="163"/>
    </row>
    <row r="197" spans="1:15" ht="15" customHeight="1">
      <c r="A197" s="1552"/>
      <c r="B197" s="356">
        <v>10917</v>
      </c>
      <c r="C197" s="148">
        <v>0.1</v>
      </c>
      <c r="D197" s="149" t="s">
        <v>154</v>
      </c>
      <c r="E197" s="141">
        <v>790000</v>
      </c>
      <c r="F197" s="148">
        <v>0.04</v>
      </c>
      <c r="G197" s="278">
        <f>E197*F197</f>
        <v>31600</v>
      </c>
      <c r="H197" s="147" t="s">
        <v>155</v>
      </c>
      <c r="I197" s="147" t="s">
        <v>128</v>
      </c>
      <c r="J197" s="262"/>
      <c r="K197" s="163"/>
      <c r="L197" s="163"/>
      <c r="M197" s="163"/>
      <c r="N197" s="163"/>
      <c r="O197" s="163"/>
    </row>
    <row r="198" spans="1:15" ht="15" customHeight="1">
      <c r="A198" s="1552"/>
      <c r="B198" s="133">
        <v>10928</v>
      </c>
      <c r="C198" s="148">
        <v>0.1</v>
      </c>
      <c r="D198" s="149" t="s">
        <v>156</v>
      </c>
      <c r="E198" s="141">
        <v>950000</v>
      </c>
      <c r="F198" s="148">
        <v>0.08</v>
      </c>
      <c r="G198" s="278">
        <f>E198*F198</f>
        <v>76000</v>
      </c>
      <c r="H198" s="147" t="s">
        <v>157</v>
      </c>
      <c r="I198" s="147" t="s">
        <v>128</v>
      </c>
      <c r="J198" s="262"/>
      <c r="K198" s="163"/>
      <c r="L198" s="163"/>
      <c r="M198" s="163"/>
      <c r="N198" s="163"/>
      <c r="O198" s="163"/>
    </row>
    <row r="199" spans="1:15" ht="15" customHeight="1">
      <c r="A199" s="1552"/>
      <c r="B199" s="337" t="s">
        <v>158</v>
      </c>
      <c r="C199" s="285"/>
      <c r="D199" s="222" t="s">
        <v>159</v>
      </c>
      <c r="E199" s="305"/>
      <c r="F199" s="285"/>
      <c r="G199" s="268"/>
      <c r="H199" s="289" t="s">
        <v>30</v>
      </c>
      <c r="I199" s="289" t="s">
        <v>128</v>
      </c>
      <c r="J199" s="262"/>
      <c r="K199" s="163"/>
      <c r="L199" s="163"/>
      <c r="M199" s="163"/>
      <c r="N199" s="163"/>
      <c r="O199" s="163"/>
    </row>
    <row r="200" spans="1:15" ht="15" customHeight="1">
      <c r="A200" s="1552"/>
      <c r="B200" s="337" t="s">
        <v>158</v>
      </c>
      <c r="C200" s="285"/>
      <c r="D200" s="222" t="s">
        <v>160</v>
      </c>
      <c r="E200" s="305"/>
      <c r="F200" s="285"/>
      <c r="G200" s="268"/>
      <c r="H200" s="289" t="s">
        <v>89</v>
      </c>
      <c r="I200" s="289" t="s">
        <v>128</v>
      </c>
      <c r="J200" s="262"/>
      <c r="K200" s="163"/>
      <c r="L200" s="163"/>
      <c r="M200" s="163"/>
      <c r="N200" s="163"/>
      <c r="O200" s="163"/>
    </row>
    <row r="201" spans="1:15" ht="15" customHeight="1">
      <c r="A201" s="1552"/>
      <c r="B201" s="337" t="s">
        <v>146</v>
      </c>
      <c r="C201" s="285"/>
      <c r="D201" s="222" t="s">
        <v>161</v>
      </c>
      <c r="E201" s="305"/>
      <c r="F201" s="285"/>
      <c r="G201" s="268"/>
      <c r="H201" s="289" t="s">
        <v>30</v>
      </c>
      <c r="I201" s="289" t="s">
        <v>128</v>
      </c>
      <c r="J201" s="262"/>
      <c r="K201" s="213"/>
      <c r="L201" s="223"/>
      <c r="M201" s="282"/>
      <c r="N201" s="279"/>
      <c r="O201" s="282"/>
    </row>
    <row r="202" spans="1:15" ht="15" customHeight="1">
      <c r="A202" s="1552"/>
      <c r="B202" s="280"/>
      <c r="C202" s="279"/>
      <c r="D202" s="223"/>
      <c r="E202" s="265"/>
      <c r="F202" s="279"/>
      <c r="G202" s="281"/>
      <c r="H202" s="213"/>
      <c r="I202" s="213"/>
      <c r="J202" s="262"/>
      <c r="K202" s="163"/>
      <c r="L202" s="163"/>
      <c r="M202" s="163"/>
      <c r="N202" s="163"/>
      <c r="O202" s="163"/>
    </row>
    <row r="203" spans="1:15" ht="15.75">
      <c r="A203" s="1542"/>
      <c r="B203" s="160"/>
      <c r="C203" s="213"/>
      <c r="D203" s="223" t="s">
        <v>80</v>
      </c>
      <c r="E203" s="332">
        <f>SUM(E195:E202)</f>
        <v>3990000</v>
      </c>
      <c r="F203" s="223"/>
      <c r="G203" s="340">
        <f>SUM(G195:G202)</f>
        <v>217600</v>
      </c>
      <c r="H203" s="223"/>
      <c r="I203" s="223"/>
      <c r="J203" s="223"/>
      <c r="K203" s="266"/>
      <c r="L203" s="266"/>
      <c r="M203" s="266"/>
      <c r="N203" s="266"/>
      <c r="O203" s="283">
        <f>SUM(O195:O202)</f>
        <v>0</v>
      </c>
    </row>
    <row r="204" spans="1:15" ht="21">
      <c r="K204" s="1601" t="s">
        <v>136</v>
      </c>
      <c r="L204" s="1602"/>
      <c r="M204" s="1602"/>
      <c r="N204" s="1603"/>
      <c r="O204" s="351">
        <f>O203+G203</f>
        <v>217600</v>
      </c>
    </row>
    <row r="205" spans="1:15" ht="21">
      <c r="K205" s="352"/>
      <c r="L205" s="353"/>
      <c r="M205" s="353"/>
      <c r="N205" s="354"/>
      <c r="O205" s="355"/>
    </row>
    <row r="206" spans="1:15" ht="23.25" customHeight="1">
      <c r="A206" s="1548" t="s">
        <v>56</v>
      </c>
      <c r="B206" s="1531"/>
      <c r="C206" s="1531"/>
      <c r="D206" s="1531"/>
      <c r="E206" s="1531"/>
      <c r="F206" s="1531"/>
      <c r="G206" s="1531"/>
      <c r="H206" s="1531"/>
      <c r="I206" s="1531"/>
      <c r="J206" s="1554"/>
      <c r="K206" s="1555" t="s">
        <v>2</v>
      </c>
      <c r="L206" s="1555"/>
      <c r="M206" s="1555"/>
      <c r="N206" s="1555"/>
      <c r="O206" s="1555"/>
    </row>
    <row r="207" spans="1:15" ht="30">
      <c r="A207" s="3" t="s">
        <v>3</v>
      </c>
      <c r="B207" s="3" t="s">
        <v>120</v>
      </c>
      <c r="C207" s="2" t="s">
        <v>4</v>
      </c>
      <c r="D207" s="3" t="s">
        <v>5</v>
      </c>
      <c r="E207" s="3" t="s">
        <v>6</v>
      </c>
      <c r="F207" s="3" t="s">
        <v>7</v>
      </c>
      <c r="G207" s="3" t="s">
        <v>8</v>
      </c>
      <c r="H207" s="3" t="s">
        <v>9</v>
      </c>
      <c r="I207" s="3" t="s">
        <v>10</v>
      </c>
      <c r="J207" s="3" t="s">
        <v>11</v>
      </c>
      <c r="K207" s="3" t="s">
        <v>12</v>
      </c>
      <c r="L207" s="3" t="s">
        <v>5</v>
      </c>
      <c r="M207" s="3" t="s">
        <v>13</v>
      </c>
      <c r="N207" s="3" t="s">
        <v>7</v>
      </c>
      <c r="O207" s="3" t="s">
        <v>14</v>
      </c>
    </row>
    <row r="208" spans="1:15" ht="15" customHeight="1">
      <c r="A208" s="1538" t="s">
        <v>162</v>
      </c>
      <c r="B208" s="207">
        <v>10808</v>
      </c>
      <c r="C208" s="233">
        <v>0.1</v>
      </c>
      <c r="D208" s="136" t="s">
        <v>163</v>
      </c>
      <c r="E208" s="143">
        <v>1250000</v>
      </c>
      <c r="F208" s="138">
        <v>0.05</v>
      </c>
      <c r="G208" s="278">
        <f>E208*F208</f>
        <v>62500</v>
      </c>
      <c r="H208" s="135" t="s">
        <v>123</v>
      </c>
      <c r="I208" s="135" t="s">
        <v>100</v>
      </c>
      <c r="J208" s="262"/>
      <c r="K208" s="135">
        <v>10967</v>
      </c>
      <c r="L208" s="136" t="s">
        <v>164</v>
      </c>
      <c r="M208" s="278">
        <v>1400000</v>
      </c>
      <c r="N208" s="231">
        <v>0.04</v>
      </c>
      <c r="O208" s="278">
        <f>M208*N208</f>
        <v>56000</v>
      </c>
    </row>
    <row r="209" spans="1:16" ht="15" customHeight="1">
      <c r="A209" s="1538"/>
      <c r="B209" s="207">
        <v>10806</v>
      </c>
      <c r="C209" s="233">
        <v>0.1</v>
      </c>
      <c r="D209" s="136" t="s">
        <v>165</v>
      </c>
      <c r="E209" s="143">
        <v>1100000</v>
      </c>
      <c r="F209" s="138">
        <v>0.05</v>
      </c>
      <c r="G209" s="278">
        <f t="shared" ref="G209:G211" si="1">E209*F209</f>
        <v>55000</v>
      </c>
      <c r="H209" s="135" t="s">
        <v>89</v>
      </c>
      <c r="I209" s="135" t="s">
        <v>100</v>
      </c>
      <c r="J209" s="262"/>
      <c r="K209" s="135">
        <v>10811</v>
      </c>
      <c r="L209" s="136" t="s">
        <v>166</v>
      </c>
      <c r="M209" s="278">
        <v>1900000</v>
      </c>
      <c r="N209" s="231">
        <v>0.04</v>
      </c>
      <c r="O209" s="278">
        <f>M209*N209</f>
        <v>76000</v>
      </c>
    </row>
    <row r="210" spans="1:16" ht="15" customHeight="1">
      <c r="A210" s="1538"/>
      <c r="B210" s="207">
        <v>10836</v>
      </c>
      <c r="C210" s="233">
        <v>0.1</v>
      </c>
      <c r="D210" s="136" t="s">
        <v>167</v>
      </c>
      <c r="E210" s="143">
        <v>770000</v>
      </c>
      <c r="F210" s="138">
        <v>0.1</v>
      </c>
      <c r="G210" s="278">
        <f t="shared" si="1"/>
        <v>77000</v>
      </c>
      <c r="H210" s="135" t="s">
        <v>168</v>
      </c>
      <c r="I210" s="135" t="s">
        <v>100</v>
      </c>
      <c r="J210" s="262"/>
      <c r="K210" s="163"/>
      <c r="L210" s="262"/>
      <c r="M210" s="286"/>
      <c r="N210" s="260"/>
      <c r="O210" s="286"/>
    </row>
    <row r="211" spans="1:16" ht="15" customHeight="1">
      <c r="A211" s="1538"/>
      <c r="B211" s="346">
        <v>10943</v>
      </c>
      <c r="C211" s="233">
        <v>0.1</v>
      </c>
      <c r="D211" s="136" t="s">
        <v>169</v>
      </c>
      <c r="E211" s="143">
        <v>700000</v>
      </c>
      <c r="F211" s="138">
        <v>0.1</v>
      </c>
      <c r="G211" s="278">
        <f t="shared" si="1"/>
        <v>70000</v>
      </c>
      <c r="H211" s="135" t="s">
        <v>168</v>
      </c>
      <c r="I211" s="135" t="s">
        <v>100</v>
      </c>
      <c r="J211" s="262"/>
      <c r="K211" s="163"/>
      <c r="L211" s="262"/>
      <c r="M211" s="286"/>
      <c r="N211" s="260"/>
      <c r="O211" s="286"/>
    </row>
    <row r="212" spans="1:16" ht="15" customHeight="1">
      <c r="A212" s="1538"/>
      <c r="B212" s="347" t="s">
        <v>146</v>
      </c>
      <c r="C212" s="267"/>
      <c r="D212" s="277" t="s">
        <v>161</v>
      </c>
      <c r="E212" s="308"/>
      <c r="F212" s="220"/>
      <c r="G212" s="268"/>
      <c r="H212" s="211" t="s">
        <v>30</v>
      </c>
      <c r="I212" s="211" t="s">
        <v>100</v>
      </c>
      <c r="J212" s="333" t="s">
        <v>170</v>
      </c>
      <c r="K212" s="163"/>
      <c r="L212" s="262"/>
      <c r="M212" s="286"/>
      <c r="N212" s="260"/>
      <c r="O212" s="286"/>
    </row>
    <row r="213" spans="1:16" ht="15" customHeight="1">
      <c r="A213" s="1538"/>
      <c r="B213" s="211" t="s">
        <v>130</v>
      </c>
      <c r="C213" s="267"/>
      <c r="D213" s="277" t="s">
        <v>161</v>
      </c>
      <c r="E213" s="308"/>
      <c r="F213" s="348"/>
      <c r="G213" s="268"/>
      <c r="H213" s="211" t="s">
        <v>30</v>
      </c>
      <c r="I213" s="211" t="s">
        <v>128</v>
      </c>
      <c r="J213" s="349" t="s">
        <v>171</v>
      </c>
      <c r="K213" s="163"/>
      <c r="L213" s="262"/>
      <c r="M213" s="286"/>
      <c r="N213" s="260"/>
      <c r="O213" s="286"/>
    </row>
    <row r="214" spans="1:16" ht="15" customHeight="1">
      <c r="A214" s="1538"/>
      <c r="B214" s="326"/>
      <c r="C214" s="279"/>
      <c r="D214" s="223"/>
      <c r="E214" s="265"/>
      <c r="F214" s="279"/>
      <c r="G214" s="281"/>
      <c r="H214" s="213"/>
      <c r="I214" s="213"/>
      <c r="J214" s="262"/>
      <c r="K214" s="163"/>
      <c r="L214" s="163"/>
      <c r="M214" s="286"/>
      <c r="N214" s="163"/>
      <c r="O214" s="163"/>
    </row>
    <row r="215" spans="1:16" ht="15.75">
      <c r="A215" s="42"/>
      <c r="B215" s="213"/>
      <c r="C215" s="213"/>
      <c r="D215" s="223" t="s">
        <v>34</v>
      </c>
      <c r="E215" s="332">
        <f>SUM(E208:E214)</f>
        <v>3820000</v>
      </c>
      <c r="F215" s="223"/>
      <c r="G215" s="340">
        <f>SUM(G208:G214)</f>
        <v>264500</v>
      </c>
      <c r="H215" s="223"/>
      <c r="I215" s="223"/>
      <c r="J215" s="223"/>
      <c r="K215" s="266"/>
      <c r="L215" s="266"/>
      <c r="M215" s="329"/>
      <c r="N215" s="266"/>
      <c r="O215" s="283">
        <f>SUM(O208:O214)</f>
        <v>132000</v>
      </c>
    </row>
    <row r="216" spans="1:16" ht="20.25" customHeight="1">
      <c r="K216" s="342" t="s">
        <v>136</v>
      </c>
      <c r="L216" s="343"/>
      <c r="M216" s="343"/>
      <c r="N216" s="344"/>
      <c r="O216" s="345">
        <f>O215+G215</f>
        <v>396500</v>
      </c>
      <c r="P216" s="96" t="s">
        <v>137</v>
      </c>
    </row>
    <row r="218" spans="1:16" ht="18">
      <c r="A218" s="65" t="s">
        <v>68</v>
      </c>
      <c r="B218" s="97"/>
      <c r="C218" s="98"/>
      <c r="D218" s="341">
        <f>E176+E190+E203+E215</f>
        <v>19610000</v>
      </c>
    </row>
    <row r="219" spans="1:16">
      <c r="A219" s="66" t="s">
        <v>69</v>
      </c>
      <c r="B219" s="99"/>
      <c r="C219" s="22"/>
      <c r="D219" s="20"/>
    </row>
    <row r="220" spans="1:16">
      <c r="A220" s="67" t="s">
        <v>70</v>
      </c>
      <c r="B220" s="100"/>
      <c r="C220" s="101"/>
      <c r="D220" s="21"/>
    </row>
    <row r="222" spans="1:16">
      <c r="A222" s="1576" t="s">
        <v>71</v>
      </c>
      <c r="B222" s="1622" t="s">
        <v>172</v>
      </c>
      <c r="C222" s="1619"/>
      <c r="D222" s="1576" t="s">
        <v>73</v>
      </c>
    </row>
    <row r="223" spans="1:16">
      <c r="A223" s="1577"/>
      <c r="B223" s="1620"/>
      <c r="C223" s="1621"/>
      <c r="D223" s="1577"/>
    </row>
    <row r="224" spans="1:16" ht="18" customHeight="1">
      <c r="A224" s="1576" t="s">
        <v>74</v>
      </c>
      <c r="B224" s="1578">
        <v>2740000</v>
      </c>
      <c r="C224" s="1579"/>
      <c r="D224" s="1582">
        <v>3</v>
      </c>
    </row>
    <row r="225" spans="1:15" ht="18" customHeight="1">
      <c r="A225" s="1577"/>
      <c r="B225" s="1580"/>
      <c r="C225" s="1581"/>
      <c r="D225" s="1583"/>
    </row>
    <row r="226" spans="1:15" ht="18" customHeight="1">
      <c r="A226" s="1576" t="s">
        <v>76</v>
      </c>
      <c r="B226" s="1578">
        <v>15400000</v>
      </c>
      <c r="C226" s="1579"/>
      <c r="D226" s="1582">
        <v>12</v>
      </c>
    </row>
    <row r="227" spans="1:15" ht="18" customHeight="1">
      <c r="A227" s="1577"/>
      <c r="B227" s="1580"/>
      <c r="C227" s="1581"/>
      <c r="D227" s="1583"/>
    </row>
    <row r="228" spans="1:15" ht="18" customHeight="1">
      <c r="A228" s="1584" t="s">
        <v>77</v>
      </c>
      <c r="B228" s="1589">
        <v>1470000</v>
      </c>
      <c r="C228" s="1590"/>
      <c r="D228" s="1582">
        <v>2</v>
      </c>
    </row>
    <row r="229" spans="1:15" ht="18" customHeight="1">
      <c r="A229" s="1585"/>
      <c r="B229" s="1591"/>
      <c r="C229" s="1592"/>
      <c r="D229" s="1583"/>
    </row>
    <row r="230" spans="1:15" ht="15" customHeight="1">
      <c r="A230" s="1576" t="s">
        <v>80</v>
      </c>
      <c r="B230" s="1578">
        <f>SUM(B224:B228)</f>
        <v>19610000</v>
      </c>
      <c r="C230" s="1619"/>
      <c r="D230" s="1582">
        <f>SUM(D224:D228)</f>
        <v>17</v>
      </c>
    </row>
    <row r="231" spans="1:15" ht="15" customHeight="1">
      <c r="A231" s="1577"/>
      <c r="B231" s="1620"/>
      <c r="C231" s="1621"/>
      <c r="D231" s="1583"/>
    </row>
    <row r="232" spans="1:15" ht="15" customHeight="1">
      <c r="A232" s="69"/>
      <c r="B232" s="69"/>
      <c r="C232" s="69"/>
      <c r="D232" s="70"/>
    </row>
    <row r="236" spans="1:15" ht="31.5">
      <c r="A236" s="1600" t="s">
        <v>173</v>
      </c>
      <c r="B236" s="1600"/>
      <c r="C236" s="1600"/>
      <c r="D236" s="1600"/>
      <c r="E236" s="1600"/>
      <c r="F236" s="1600"/>
      <c r="G236" s="1600"/>
      <c r="H236" s="1600"/>
      <c r="I236" s="1600"/>
      <c r="J236" s="1600"/>
      <c r="K236" s="1600"/>
      <c r="L236" s="1600"/>
      <c r="M236" s="1600"/>
      <c r="N236" s="1600"/>
      <c r="O236" s="1600"/>
    </row>
    <row r="237" spans="1:15" ht="23.25" customHeight="1">
      <c r="A237" s="1530" t="s">
        <v>1</v>
      </c>
      <c r="B237" s="1532"/>
      <c r="C237" s="1532"/>
      <c r="D237" s="1532"/>
      <c r="E237" s="1532"/>
      <c r="F237" s="1532"/>
      <c r="G237" s="1532"/>
      <c r="H237" s="1532"/>
      <c r="I237" s="1532"/>
      <c r="J237" s="1549"/>
      <c r="K237" s="1533" t="s">
        <v>2</v>
      </c>
      <c r="L237" s="1533"/>
      <c r="M237" s="1533"/>
      <c r="N237" s="1533"/>
      <c r="O237" s="1533"/>
    </row>
    <row r="238" spans="1:15" ht="30">
      <c r="A238" s="1" t="s">
        <v>3</v>
      </c>
      <c r="B238" s="1" t="s">
        <v>120</v>
      </c>
      <c r="C238" s="35" t="s">
        <v>4</v>
      </c>
      <c r="D238" s="1" t="s">
        <v>5</v>
      </c>
      <c r="E238" s="1" t="s">
        <v>6</v>
      </c>
      <c r="F238" s="1" t="s">
        <v>7</v>
      </c>
      <c r="G238" s="1" t="s">
        <v>8</v>
      </c>
      <c r="H238" s="1" t="s">
        <v>9</v>
      </c>
      <c r="I238" s="1" t="s">
        <v>10</v>
      </c>
      <c r="J238" s="1" t="s">
        <v>11</v>
      </c>
      <c r="K238" s="1" t="s">
        <v>12</v>
      </c>
      <c r="L238" s="1" t="s">
        <v>5</v>
      </c>
      <c r="M238" s="1" t="s">
        <v>13</v>
      </c>
      <c r="N238" s="126" t="s">
        <v>7</v>
      </c>
      <c r="O238" s="1" t="s">
        <v>14</v>
      </c>
    </row>
    <row r="239" spans="1:15" ht="16.5" customHeight="1">
      <c r="A239" s="1556" t="s">
        <v>174</v>
      </c>
      <c r="B239" s="135">
        <v>10992</v>
      </c>
      <c r="C239" s="233">
        <v>0.1</v>
      </c>
      <c r="D239" s="136" t="s">
        <v>175</v>
      </c>
      <c r="E239" s="143">
        <v>1200000</v>
      </c>
      <c r="F239" s="138">
        <v>0.06</v>
      </c>
      <c r="G239" s="278">
        <f>E239*F239</f>
        <v>72000</v>
      </c>
      <c r="H239" s="135" t="s">
        <v>30</v>
      </c>
      <c r="I239" s="135" t="s">
        <v>128</v>
      </c>
      <c r="J239" s="262"/>
      <c r="K239" s="135">
        <v>11046</v>
      </c>
      <c r="L239" s="136" t="s">
        <v>176</v>
      </c>
      <c r="M239" s="143">
        <v>1250000</v>
      </c>
      <c r="N239" s="231">
        <v>0.05</v>
      </c>
      <c r="O239" s="278">
        <f>M239*N239</f>
        <v>62500</v>
      </c>
    </row>
    <row r="240" spans="1:15" ht="16.5" customHeight="1">
      <c r="A240" s="1552"/>
      <c r="B240" s="207">
        <v>11002</v>
      </c>
      <c r="C240" s="233">
        <v>0.1</v>
      </c>
      <c r="D240" s="136" t="s">
        <v>177</v>
      </c>
      <c r="E240" s="143">
        <v>1100000</v>
      </c>
      <c r="F240" s="138">
        <v>0.06</v>
      </c>
      <c r="G240" s="278">
        <f>E240*F240</f>
        <v>66000</v>
      </c>
      <c r="H240" s="135" t="s">
        <v>30</v>
      </c>
      <c r="I240" s="135" t="s">
        <v>128</v>
      </c>
      <c r="J240" s="262"/>
      <c r="K240" s="135">
        <v>11057</v>
      </c>
      <c r="L240" s="136" t="s">
        <v>178</v>
      </c>
      <c r="M240" s="143">
        <v>900000</v>
      </c>
      <c r="N240" s="231">
        <v>0.05</v>
      </c>
      <c r="O240" s="278">
        <f>M240*N240</f>
        <v>45000</v>
      </c>
    </row>
    <row r="241" spans="1:15" ht="16.5" customHeight="1">
      <c r="A241" s="1552"/>
      <c r="B241" s="135">
        <v>11032</v>
      </c>
      <c r="C241" s="233">
        <v>0.1</v>
      </c>
      <c r="D241" s="136" t="s">
        <v>179</v>
      </c>
      <c r="E241" s="143">
        <v>1100000</v>
      </c>
      <c r="F241" s="138">
        <v>0.1</v>
      </c>
      <c r="G241" s="278">
        <f t="shared" ref="G241:G244" si="2">E241*F241</f>
        <v>110000</v>
      </c>
      <c r="H241" s="135" t="s">
        <v>180</v>
      </c>
      <c r="I241" s="135" t="s">
        <v>128</v>
      </c>
      <c r="J241" s="262"/>
      <c r="K241" s="135">
        <v>11125</v>
      </c>
      <c r="L241" s="136" t="s">
        <v>181</v>
      </c>
      <c r="M241" s="143">
        <v>900000</v>
      </c>
      <c r="N241" s="231">
        <v>0.05</v>
      </c>
      <c r="O241" s="278">
        <f>M241*N241</f>
        <v>45000</v>
      </c>
    </row>
    <row r="242" spans="1:15" ht="16.5" customHeight="1">
      <c r="A242" s="1552"/>
      <c r="B242" s="135">
        <v>11023</v>
      </c>
      <c r="C242" s="331">
        <v>0.08</v>
      </c>
      <c r="D242" s="136" t="s">
        <v>182</v>
      </c>
      <c r="E242" s="143">
        <v>1250000</v>
      </c>
      <c r="F242" s="140">
        <v>0.04</v>
      </c>
      <c r="G242" s="278">
        <f t="shared" si="2"/>
        <v>50000</v>
      </c>
      <c r="H242" s="135" t="s">
        <v>168</v>
      </c>
      <c r="I242" s="135" t="s">
        <v>128</v>
      </c>
      <c r="J242" s="262"/>
      <c r="K242" s="135">
        <v>11081</v>
      </c>
      <c r="L242" s="136" t="s">
        <v>183</v>
      </c>
      <c r="M242" s="143">
        <v>950000</v>
      </c>
      <c r="N242" s="231">
        <v>0.05</v>
      </c>
      <c r="O242" s="278">
        <f>M242*N242</f>
        <v>47500</v>
      </c>
    </row>
    <row r="243" spans="1:15" ht="16.5" customHeight="1">
      <c r="A243" s="1552"/>
      <c r="B243" s="135">
        <v>11039</v>
      </c>
      <c r="C243" s="233">
        <v>0.1</v>
      </c>
      <c r="D243" s="136" t="s">
        <v>184</v>
      </c>
      <c r="E243" s="143">
        <v>1250000</v>
      </c>
      <c r="F243" s="138">
        <v>0.06</v>
      </c>
      <c r="G243" s="278">
        <f t="shared" si="2"/>
        <v>75000</v>
      </c>
      <c r="H243" s="135" t="s">
        <v>185</v>
      </c>
      <c r="I243" s="135" t="s">
        <v>128</v>
      </c>
      <c r="J243" s="262"/>
      <c r="K243" s="163"/>
      <c r="L243" s="163"/>
      <c r="M243" s="163"/>
      <c r="N243" s="163"/>
      <c r="O243" s="163"/>
    </row>
    <row r="244" spans="1:15" ht="16.5" customHeight="1">
      <c r="A244" s="1552"/>
      <c r="B244" s="135">
        <v>11084</v>
      </c>
      <c r="C244" s="233">
        <v>0.1</v>
      </c>
      <c r="D244" s="136" t="s">
        <v>186</v>
      </c>
      <c r="E244" s="143">
        <v>1300000</v>
      </c>
      <c r="F244" s="138">
        <v>0.05</v>
      </c>
      <c r="G244" s="278">
        <f t="shared" si="2"/>
        <v>65000</v>
      </c>
      <c r="H244" s="135" t="s">
        <v>187</v>
      </c>
      <c r="I244" s="135" t="s">
        <v>128</v>
      </c>
      <c r="J244" s="262"/>
      <c r="K244" s="163"/>
      <c r="L244" s="163"/>
      <c r="M244" s="163"/>
      <c r="N244" s="163"/>
      <c r="O244" s="163"/>
    </row>
    <row r="245" spans="1:15" ht="16.5" customHeight="1">
      <c r="A245" s="1552"/>
      <c r="B245" s="135">
        <v>11063</v>
      </c>
      <c r="C245" s="233">
        <v>0.1</v>
      </c>
      <c r="D245" s="136" t="s">
        <v>188</v>
      </c>
      <c r="E245" s="143">
        <v>850000</v>
      </c>
      <c r="F245" s="138">
        <v>0.1</v>
      </c>
      <c r="G245" s="278">
        <f>E245*F245</f>
        <v>85000</v>
      </c>
      <c r="H245" s="135" t="s">
        <v>180</v>
      </c>
      <c r="I245" s="135" t="s">
        <v>128</v>
      </c>
      <c r="J245" s="262"/>
      <c r="K245" s="213"/>
      <c r="L245" s="223"/>
      <c r="M245" s="282"/>
      <c r="N245" s="279"/>
      <c r="O245" s="282"/>
    </row>
    <row r="246" spans="1:15" ht="16.5" customHeight="1">
      <c r="A246" s="1552"/>
      <c r="B246" s="135">
        <v>11077</v>
      </c>
      <c r="C246" s="233">
        <v>0.1</v>
      </c>
      <c r="D246" s="136" t="s">
        <v>189</v>
      </c>
      <c r="E246" s="143">
        <v>1250000</v>
      </c>
      <c r="F246" s="138">
        <v>0.06</v>
      </c>
      <c r="G246" s="278">
        <f>E246*F246</f>
        <v>75000</v>
      </c>
      <c r="H246" s="135" t="s">
        <v>30</v>
      </c>
      <c r="I246" s="135" t="s">
        <v>128</v>
      </c>
      <c r="J246" s="262"/>
      <c r="K246" s="213"/>
      <c r="L246" s="223"/>
      <c r="M246" s="282"/>
      <c r="N246" s="279"/>
      <c r="O246" s="282"/>
    </row>
    <row r="247" spans="1:15" ht="16.5" customHeight="1">
      <c r="A247" s="1552"/>
      <c r="B247" s="135">
        <v>11112</v>
      </c>
      <c r="C247" s="233">
        <v>0.1</v>
      </c>
      <c r="D247" s="136" t="s">
        <v>190</v>
      </c>
      <c r="E247" s="143">
        <v>900000</v>
      </c>
      <c r="F247" s="138">
        <v>0.05</v>
      </c>
      <c r="G247" s="278">
        <f>E247*F247</f>
        <v>45000</v>
      </c>
      <c r="H247" s="135" t="s">
        <v>168</v>
      </c>
      <c r="I247" s="135" t="s">
        <v>128</v>
      </c>
      <c r="J247" s="262"/>
      <c r="K247" s="213"/>
      <c r="L247" s="223"/>
      <c r="M247" s="282"/>
      <c r="N247" s="279"/>
      <c r="O247" s="282"/>
    </row>
    <row r="248" spans="1:15" ht="16.5" customHeight="1">
      <c r="A248" s="1552"/>
      <c r="B248" s="211" t="s">
        <v>191</v>
      </c>
      <c r="C248" s="267"/>
      <c r="D248" s="277" t="s">
        <v>192</v>
      </c>
      <c r="E248" s="308"/>
      <c r="F248" s="220"/>
      <c r="G248" s="268"/>
      <c r="H248" s="211"/>
      <c r="I248" s="211" t="s">
        <v>128</v>
      </c>
      <c r="J248" s="267" t="s">
        <v>193</v>
      </c>
      <c r="K248" s="213"/>
      <c r="L248" s="223"/>
      <c r="M248" s="282"/>
      <c r="N248" s="279"/>
      <c r="O248" s="282"/>
    </row>
    <row r="249" spans="1:15" ht="16.5" customHeight="1">
      <c r="A249" s="1552"/>
      <c r="B249" s="211" t="s">
        <v>158</v>
      </c>
      <c r="C249" s="267"/>
      <c r="D249" s="277" t="s">
        <v>194</v>
      </c>
      <c r="E249" s="308"/>
      <c r="F249" s="220"/>
      <c r="G249" s="268"/>
      <c r="H249" s="211" t="s">
        <v>185</v>
      </c>
      <c r="I249" s="211" t="s">
        <v>128</v>
      </c>
      <c r="J249" s="277"/>
      <c r="K249" s="213"/>
      <c r="L249" s="223"/>
      <c r="M249" s="282"/>
      <c r="N249" s="279"/>
      <c r="O249" s="282"/>
    </row>
    <row r="250" spans="1:15" ht="16.5" customHeight="1">
      <c r="A250" s="1552"/>
      <c r="B250" s="211" t="s">
        <v>191</v>
      </c>
      <c r="C250" s="267"/>
      <c r="D250" s="277" t="s">
        <v>195</v>
      </c>
      <c r="E250" s="308"/>
      <c r="F250" s="348"/>
      <c r="G250" s="268"/>
      <c r="H250" s="211" t="s">
        <v>180</v>
      </c>
      <c r="I250" s="211" t="s">
        <v>128</v>
      </c>
      <c r="J250" s="267" t="s">
        <v>196</v>
      </c>
      <c r="K250" s="163"/>
      <c r="L250" s="163"/>
      <c r="M250" s="163"/>
      <c r="N250" s="163"/>
      <c r="O250" s="286"/>
    </row>
    <row r="251" spans="1:15" ht="16.5" customHeight="1">
      <c r="A251" s="1552"/>
      <c r="B251" s="163"/>
      <c r="C251" s="318"/>
      <c r="D251" s="262"/>
      <c r="E251" s="332"/>
      <c r="F251" s="162"/>
      <c r="G251" s="286"/>
      <c r="H251" s="163"/>
      <c r="I251" s="163"/>
      <c r="J251" s="262"/>
      <c r="K251" s="163"/>
      <c r="L251" s="163"/>
      <c r="M251" s="163"/>
      <c r="N251" s="163"/>
      <c r="O251" s="163"/>
    </row>
    <row r="252" spans="1:15" ht="16.5" customHeight="1">
      <c r="A252" s="1552"/>
      <c r="B252" s="326"/>
      <c r="C252" s="318"/>
      <c r="D252" s="262"/>
      <c r="E252" s="332"/>
      <c r="F252" s="162"/>
      <c r="G252" s="286"/>
      <c r="H252" s="163"/>
      <c r="I252" s="163"/>
      <c r="J252" s="262"/>
      <c r="K252" s="163"/>
      <c r="L252" s="163"/>
      <c r="M252" s="163"/>
      <c r="N252" s="163"/>
      <c r="O252" s="163"/>
    </row>
    <row r="253" spans="1:15" ht="23.25">
      <c r="A253" s="1542"/>
      <c r="B253" s="7"/>
      <c r="C253" s="7"/>
      <c r="D253" s="223" t="s">
        <v>80</v>
      </c>
      <c r="E253" s="75">
        <f>SUM(E239:E252)</f>
        <v>10200000</v>
      </c>
      <c r="F253" s="42"/>
      <c r="G253" s="75">
        <f>SUM(G239:G252)</f>
        <v>643000</v>
      </c>
      <c r="H253" s="42"/>
      <c r="I253" s="42"/>
      <c r="J253" s="42"/>
      <c r="K253" s="11"/>
      <c r="L253" s="11"/>
      <c r="M253" s="11"/>
      <c r="N253" s="11"/>
      <c r="O253" s="75">
        <f>SUM(O239:O252)</f>
        <v>200000</v>
      </c>
    </row>
    <row r="254" spans="1:15" ht="23.25">
      <c r="J254" s="63"/>
      <c r="K254" s="58"/>
      <c r="L254" s="58"/>
      <c r="M254" s="58"/>
      <c r="N254" s="58"/>
      <c r="O254" s="357">
        <f>O253+G253</f>
        <v>843000</v>
      </c>
    </row>
    <row r="256" spans="1:15" ht="24" customHeight="1">
      <c r="A256" s="1564" t="s">
        <v>138</v>
      </c>
      <c r="B256" s="1564"/>
      <c r="C256" s="1564"/>
      <c r="D256" s="1564"/>
      <c r="E256" s="1564"/>
      <c r="F256" s="1564"/>
      <c r="G256" s="1564"/>
      <c r="H256" s="1564"/>
      <c r="I256" s="1564"/>
      <c r="J256" s="1564"/>
      <c r="K256" s="1618"/>
      <c r="L256" s="1618"/>
      <c r="M256" s="1618"/>
      <c r="N256" s="1618"/>
      <c r="O256" s="1618"/>
    </row>
    <row r="257" spans="1:15" ht="30">
      <c r="A257" s="68" t="s">
        <v>3</v>
      </c>
      <c r="B257" s="68" t="s">
        <v>120</v>
      </c>
      <c r="C257" s="125" t="s">
        <v>4</v>
      </c>
      <c r="D257" s="68" t="s">
        <v>5</v>
      </c>
      <c r="E257" s="68" t="s">
        <v>6</v>
      </c>
      <c r="F257" s="68" t="s">
        <v>7</v>
      </c>
      <c r="G257" s="68" t="s">
        <v>8</v>
      </c>
      <c r="H257" s="68" t="s">
        <v>9</v>
      </c>
      <c r="I257" s="68" t="s">
        <v>10</v>
      </c>
      <c r="J257" s="68" t="s">
        <v>11</v>
      </c>
      <c r="K257" s="68" t="s">
        <v>12</v>
      </c>
      <c r="L257" s="68" t="s">
        <v>5</v>
      </c>
      <c r="M257" s="40" t="s">
        <v>13</v>
      </c>
      <c r="N257" s="41" t="s">
        <v>7</v>
      </c>
      <c r="O257" s="40" t="s">
        <v>14</v>
      </c>
    </row>
    <row r="258" spans="1:15" ht="15.75" customHeight="1">
      <c r="A258" s="1556" t="s">
        <v>95</v>
      </c>
      <c r="B258" s="135">
        <v>11046</v>
      </c>
      <c r="C258" s="148">
        <v>0.1</v>
      </c>
      <c r="D258" s="149" t="s">
        <v>197</v>
      </c>
      <c r="E258" s="141">
        <v>1250000</v>
      </c>
      <c r="F258" s="148">
        <v>0.05</v>
      </c>
      <c r="G258" s="335">
        <f>E258*F258</f>
        <v>62500</v>
      </c>
      <c r="H258" s="147" t="s">
        <v>180</v>
      </c>
      <c r="I258" s="147" t="s">
        <v>100</v>
      </c>
      <c r="J258" s="262"/>
      <c r="K258" s="135">
        <v>11084</v>
      </c>
      <c r="L258" s="136" t="s">
        <v>186</v>
      </c>
      <c r="M258" s="237">
        <v>1300000</v>
      </c>
      <c r="N258" s="142">
        <v>0.05</v>
      </c>
      <c r="O258" s="278">
        <f>M258*N258</f>
        <v>65000</v>
      </c>
    </row>
    <row r="259" spans="1:15" ht="15.75" customHeight="1">
      <c r="A259" s="1552"/>
      <c r="B259" s="207" t="s">
        <v>198</v>
      </c>
      <c r="C259" s="148">
        <v>0.1</v>
      </c>
      <c r="D259" s="149" t="s">
        <v>178</v>
      </c>
      <c r="E259" s="141">
        <v>900000</v>
      </c>
      <c r="F259" s="148">
        <v>0.05</v>
      </c>
      <c r="G259" s="335">
        <f>E259*F259</f>
        <v>45000</v>
      </c>
      <c r="H259" s="147" t="s">
        <v>180</v>
      </c>
      <c r="I259" s="147" t="s">
        <v>128</v>
      </c>
      <c r="J259" s="262"/>
      <c r="K259" s="135">
        <v>11042</v>
      </c>
      <c r="L259" s="136" t="s">
        <v>199</v>
      </c>
      <c r="M259" s="237">
        <v>1300000</v>
      </c>
      <c r="N259" s="142">
        <v>0.05</v>
      </c>
      <c r="O259" s="278">
        <f>M259*N259</f>
        <v>65000</v>
      </c>
    </row>
    <row r="260" spans="1:15" ht="15.75" customHeight="1">
      <c r="A260" s="1552"/>
      <c r="B260" s="207">
        <v>11125</v>
      </c>
      <c r="C260" s="148">
        <v>0.1</v>
      </c>
      <c r="D260" s="149" t="s">
        <v>200</v>
      </c>
      <c r="E260" s="141">
        <v>900000</v>
      </c>
      <c r="F260" s="148">
        <v>0.05</v>
      </c>
      <c r="G260" s="335">
        <f>E260*F260</f>
        <v>45000</v>
      </c>
      <c r="H260" s="147" t="s">
        <v>180</v>
      </c>
      <c r="I260" s="147" t="s">
        <v>100</v>
      </c>
      <c r="J260" s="262"/>
      <c r="K260" s="163"/>
      <c r="L260" s="262"/>
      <c r="M260" s="264"/>
      <c r="N260" s="334"/>
      <c r="O260" s="286"/>
    </row>
    <row r="261" spans="1:15" ht="15.75" customHeight="1">
      <c r="A261" s="1552"/>
      <c r="B261" s="207">
        <v>11086</v>
      </c>
      <c r="C261" s="148">
        <v>0.1</v>
      </c>
      <c r="D261" s="149" t="s">
        <v>201</v>
      </c>
      <c r="E261" s="141">
        <v>1250000</v>
      </c>
      <c r="F261" s="148">
        <v>0.1</v>
      </c>
      <c r="G261" s="335">
        <f>E261*F261</f>
        <v>125000</v>
      </c>
      <c r="H261" s="147" t="s">
        <v>187</v>
      </c>
      <c r="I261" s="147" t="s">
        <v>100</v>
      </c>
      <c r="J261" s="262"/>
      <c r="K261" s="163"/>
      <c r="L261" s="262"/>
      <c r="M261" s="264"/>
      <c r="N261" s="334"/>
      <c r="O261" s="286"/>
    </row>
    <row r="262" spans="1:15" ht="15.75" customHeight="1">
      <c r="A262" s="1552"/>
      <c r="B262" s="207">
        <v>11093</v>
      </c>
      <c r="C262" s="148">
        <v>0.1</v>
      </c>
      <c r="D262" s="149" t="s">
        <v>202</v>
      </c>
      <c r="E262" s="141">
        <v>700000</v>
      </c>
      <c r="F262" s="148">
        <v>0.05</v>
      </c>
      <c r="G262" s="335">
        <f>E262*F262</f>
        <v>35000</v>
      </c>
      <c r="H262" s="147" t="s">
        <v>168</v>
      </c>
      <c r="I262" s="148" t="s">
        <v>100</v>
      </c>
      <c r="J262" s="262"/>
      <c r="K262" s="163"/>
      <c r="L262" s="262"/>
      <c r="M262" s="264"/>
      <c r="N262" s="334"/>
      <c r="O262" s="286"/>
    </row>
    <row r="263" spans="1:15" ht="15.75" customHeight="1">
      <c r="A263" s="1552"/>
      <c r="B263" s="207">
        <v>11224</v>
      </c>
      <c r="C263" s="148">
        <v>0.1</v>
      </c>
      <c r="D263" s="259" t="s">
        <v>203</v>
      </c>
      <c r="E263" s="141">
        <v>1200000</v>
      </c>
      <c r="F263" s="148">
        <v>0.05</v>
      </c>
      <c r="G263" s="335">
        <f>E263*F263</f>
        <v>60000</v>
      </c>
      <c r="H263" s="147" t="s">
        <v>204</v>
      </c>
      <c r="I263" s="147" t="s">
        <v>128</v>
      </c>
      <c r="J263" s="262"/>
      <c r="K263" s="163"/>
      <c r="L263" s="163"/>
      <c r="M263" s="263"/>
      <c r="N263" s="271"/>
      <c r="O263" s="163"/>
    </row>
    <row r="264" spans="1:15" ht="15.75" customHeight="1">
      <c r="A264" s="1552"/>
      <c r="B264" s="207">
        <v>11138</v>
      </c>
      <c r="C264" s="148">
        <v>0.1</v>
      </c>
      <c r="D264" s="149" t="s">
        <v>205</v>
      </c>
      <c r="E264" s="141">
        <v>1300000</v>
      </c>
      <c r="F264" s="148">
        <v>0.05</v>
      </c>
      <c r="G264" s="335">
        <f>E264*F264</f>
        <v>65000</v>
      </c>
      <c r="H264" s="147" t="s">
        <v>206</v>
      </c>
      <c r="I264" s="147" t="s">
        <v>100</v>
      </c>
      <c r="J264" s="262"/>
      <c r="K264" s="163"/>
      <c r="L264" s="163"/>
      <c r="M264" s="358"/>
      <c r="N264" s="273"/>
      <c r="O264" s="163"/>
    </row>
    <row r="265" spans="1:15" ht="15.75" customHeight="1">
      <c r="A265" s="1552"/>
      <c r="B265" s="211" t="s">
        <v>191</v>
      </c>
      <c r="C265" s="285"/>
      <c r="D265" s="222" t="s">
        <v>207</v>
      </c>
      <c r="E265" s="305"/>
      <c r="F265" s="285"/>
      <c r="G265" s="328"/>
      <c r="H265" s="289" t="s">
        <v>187</v>
      </c>
      <c r="I265" s="289" t="s">
        <v>128</v>
      </c>
      <c r="J265" s="336" t="s">
        <v>208</v>
      </c>
      <c r="K265" s="163"/>
      <c r="L265" s="262"/>
      <c r="M265" s="264"/>
      <c r="N265" s="334"/>
      <c r="O265" s="286"/>
    </row>
    <row r="266" spans="1:15" ht="23.25" customHeight="1">
      <c r="A266" s="1552"/>
      <c r="B266" s="326"/>
      <c r="C266" s="279"/>
      <c r="D266" s="223"/>
      <c r="E266" s="332"/>
      <c r="F266" s="279"/>
      <c r="G266" s="281"/>
      <c r="H266" s="213"/>
      <c r="I266" s="213"/>
      <c r="J266" s="262"/>
      <c r="K266" s="163"/>
      <c r="L266" s="163"/>
      <c r="M266" s="263"/>
      <c r="N266" s="271"/>
      <c r="O266" s="272"/>
    </row>
    <row r="267" spans="1:15" ht="23.25">
      <c r="A267" s="1542"/>
      <c r="B267" s="7"/>
      <c r="C267" s="7"/>
      <c r="D267" s="223" t="s">
        <v>80</v>
      </c>
      <c r="E267" s="75">
        <f>SUM(E258:E266)</f>
        <v>7500000</v>
      </c>
      <c r="F267" s="42"/>
      <c r="G267" s="75">
        <f>SUM(G258:G266)</f>
        <v>437500</v>
      </c>
      <c r="H267" s="42"/>
      <c r="I267" s="42"/>
      <c r="J267" s="42"/>
      <c r="K267" s="11"/>
      <c r="L267" s="11"/>
      <c r="M267" s="359"/>
      <c r="N267" s="11"/>
      <c r="O267" s="75">
        <f>SUM(O258:O266)</f>
        <v>130000</v>
      </c>
    </row>
    <row r="268" spans="1:15" ht="23.25">
      <c r="K268" s="12"/>
      <c r="L268" s="12"/>
      <c r="M268" s="12"/>
      <c r="N268" s="12"/>
      <c r="O268" s="130">
        <f>O267+G267</f>
        <v>567500</v>
      </c>
    </row>
    <row r="270" spans="1:15">
      <c r="K270" s="12"/>
      <c r="L270" s="12"/>
      <c r="M270" s="12"/>
      <c r="N270" s="12"/>
      <c r="O270" s="13"/>
    </row>
    <row r="271" spans="1:15" ht="20.25" customHeight="1">
      <c r="A271" s="1530" t="s">
        <v>56</v>
      </c>
      <c r="B271" s="1532"/>
      <c r="C271" s="1532"/>
      <c r="D271" s="1531"/>
      <c r="E271" s="1531"/>
      <c r="F271" s="1531"/>
      <c r="G271" s="1531"/>
      <c r="H271" s="1532"/>
      <c r="I271" s="1532"/>
      <c r="J271" s="1549"/>
      <c r="K271" s="1533" t="s">
        <v>2</v>
      </c>
      <c r="L271" s="1533"/>
      <c r="M271" s="1533"/>
      <c r="N271" s="1533"/>
      <c r="O271" s="1533"/>
    </row>
    <row r="272" spans="1:15" ht="30">
      <c r="A272" s="1" t="s">
        <v>3</v>
      </c>
      <c r="B272" s="1" t="s">
        <v>120</v>
      </c>
      <c r="C272" s="360" t="s">
        <v>4</v>
      </c>
      <c r="D272" s="1" t="s">
        <v>5</v>
      </c>
      <c r="E272" s="1" t="s">
        <v>6</v>
      </c>
      <c r="F272" s="1" t="s">
        <v>7</v>
      </c>
      <c r="G272" s="1" t="s">
        <v>8</v>
      </c>
      <c r="H272" s="361" t="s">
        <v>9</v>
      </c>
      <c r="I272" s="1" t="s">
        <v>10</v>
      </c>
      <c r="J272" s="1" t="s">
        <v>11</v>
      </c>
      <c r="K272" s="1" t="s">
        <v>12</v>
      </c>
      <c r="L272" s="1" t="s">
        <v>5</v>
      </c>
      <c r="M272" s="1" t="s">
        <v>13</v>
      </c>
      <c r="N272" s="126" t="s">
        <v>7</v>
      </c>
      <c r="O272" s="1" t="s">
        <v>14</v>
      </c>
    </row>
    <row r="273" spans="1:15" ht="15.75">
      <c r="A273" s="1607" t="s">
        <v>95</v>
      </c>
      <c r="B273" s="135">
        <v>11042</v>
      </c>
      <c r="C273" s="233">
        <v>0.1</v>
      </c>
      <c r="D273" s="136" t="s">
        <v>209</v>
      </c>
      <c r="E273" s="143">
        <v>1300000</v>
      </c>
      <c r="F273" s="148">
        <v>0.05</v>
      </c>
      <c r="G273" s="278">
        <f>F273*E273</f>
        <v>65000</v>
      </c>
      <c r="H273" s="135" t="s">
        <v>187</v>
      </c>
      <c r="I273" s="135" t="s">
        <v>128</v>
      </c>
      <c r="J273" s="262"/>
      <c r="K273" s="135">
        <v>11023</v>
      </c>
      <c r="L273" s="136" t="s">
        <v>182</v>
      </c>
      <c r="M273" s="278">
        <v>1250000</v>
      </c>
      <c r="N273" s="234">
        <v>0.04</v>
      </c>
      <c r="O273" s="278">
        <f>M273*N273</f>
        <v>50000</v>
      </c>
    </row>
    <row r="274" spans="1:15" ht="15.75">
      <c r="A274" s="1608"/>
      <c r="B274" s="207">
        <v>11044</v>
      </c>
      <c r="C274" s="233">
        <v>0.1</v>
      </c>
      <c r="D274" s="136" t="s">
        <v>210</v>
      </c>
      <c r="E274" s="143">
        <v>1000000</v>
      </c>
      <c r="F274" s="138">
        <v>0.06</v>
      </c>
      <c r="G274" s="278">
        <f>F274*E274</f>
        <v>60000</v>
      </c>
      <c r="H274" s="135" t="s">
        <v>185</v>
      </c>
      <c r="I274" s="135" t="s">
        <v>100</v>
      </c>
      <c r="J274" s="262"/>
      <c r="K274" s="135">
        <v>11112</v>
      </c>
      <c r="L274" s="136" t="s">
        <v>211</v>
      </c>
      <c r="M274" s="278">
        <v>900000</v>
      </c>
      <c r="N274" s="231">
        <v>0.05</v>
      </c>
      <c r="O274" s="278">
        <f>M274*N274</f>
        <v>45000</v>
      </c>
    </row>
    <row r="275" spans="1:15" ht="15.75">
      <c r="A275" s="1608"/>
      <c r="B275" s="135">
        <v>11081</v>
      </c>
      <c r="C275" s="233">
        <v>0.1</v>
      </c>
      <c r="D275" s="136" t="s">
        <v>212</v>
      </c>
      <c r="E275" s="143">
        <v>950000</v>
      </c>
      <c r="F275" s="138">
        <v>0.05</v>
      </c>
      <c r="G275" s="278">
        <f>E275*F275</f>
        <v>47500</v>
      </c>
      <c r="H275" s="135" t="s">
        <v>180</v>
      </c>
      <c r="I275" s="135" t="s">
        <v>128</v>
      </c>
      <c r="J275" s="262"/>
      <c r="K275" s="135">
        <v>11093</v>
      </c>
      <c r="L275" s="136" t="s">
        <v>213</v>
      </c>
      <c r="M275" s="278">
        <v>700000</v>
      </c>
      <c r="N275" s="231">
        <v>0.05</v>
      </c>
      <c r="O275" s="278">
        <f>M275*N275</f>
        <v>35000</v>
      </c>
    </row>
    <row r="276" spans="1:15" ht="15.75">
      <c r="A276" s="1608"/>
      <c r="B276" s="207">
        <v>11089</v>
      </c>
      <c r="C276" s="233">
        <v>0.1</v>
      </c>
      <c r="D276" s="136" t="s">
        <v>214</v>
      </c>
      <c r="E276" s="143">
        <v>700000</v>
      </c>
      <c r="F276" s="138">
        <v>0.1</v>
      </c>
      <c r="G276" s="278">
        <f>E276*F276</f>
        <v>70000</v>
      </c>
      <c r="H276" s="135" t="s">
        <v>168</v>
      </c>
      <c r="I276" s="135" t="s">
        <v>100</v>
      </c>
      <c r="J276" s="262"/>
      <c r="K276" s="163"/>
      <c r="L276" s="262"/>
      <c r="M276" s="286"/>
      <c r="N276" s="260"/>
      <c r="O276" s="286"/>
    </row>
    <row r="277" spans="1:15" ht="15.75">
      <c r="A277" s="1608"/>
      <c r="B277" s="347" t="s">
        <v>191</v>
      </c>
      <c r="C277" s="212" t="s">
        <v>215</v>
      </c>
      <c r="D277" s="277" t="s">
        <v>216</v>
      </c>
      <c r="E277" s="308"/>
      <c r="F277" s="220"/>
      <c r="G277" s="268"/>
      <c r="H277" s="211" t="s">
        <v>217</v>
      </c>
      <c r="I277" s="211" t="s">
        <v>100</v>
      </c>
      <c r="J277" s="262"/>
      <c r="K277" s="163"/>
      <c r="L277" s="262"/>
      <c r="M277" s="286"/>
      <c r="N277" s="260"/>
      <c r="O277" s="286"/>
    </row>
    <row r="278" spans="1:15" ht="15.75">
      <c r="A278" s="1608"/>
      <c r="B278" s="347" t="s">
        <v>218</v>
      </c>
      <c r="C278" s="267"/>
      <c r="D278" s="277" t="s">
        <v>219</v>
      </c>
      <c r="E278" s="308"/>
      <c r="F278" s="220"/>
      <c r="G278" s="268"/>
      <c r="H278" s="211" t="s">
        <v>168</v>
      </c>
      <c r="I278" s="211" t="s">
        <v>100</v>
      </c>
      <c r="J278" s="262"/>
      <c r="K278" s="163"/>
      <c r="L278" s="262"/>
      <c r="M278" s="286"/>
      <c r="N278" s="260"/>
      <c r="O278" s="286"/>
    </row>
    <row r="279" spans="1:15" ht="15.75">
      <c r="A279" s="1608"/>
      <c r="B279" s="362" t="s">
        <v>191</v>
      </c>
      <c r="C279" s="212" t="s">
        <v>220</v>
      </c>
      <c r="D279" s="277" t="s">
        <v>221</v>
      </c>
      <c r="E279" s="308"/>
      <c r="F279" s="220"/>
      <c r="G279" s="268"/>
      <c r="H279" s="211" t="s">
        <v>168</v>
      </c>
      <c r="I279" s="211" t="s">
        <v>100</v>
      </c>
      <c r="J279" s="262"/>
      <c r="K279" s="163"/>
      <c r="L279" s="262"/>
      <c r="M279" s="286"/>
      <c r="N279" s="260"/>
      <c r="O279" s="286"/>
    </row>
    <row r="280" spans="1:15" ht="20.25" customHeight="1">
      <c r="A280" s="1608"/>
      <c r="B280" s="326"/>
      <c r="C280" s="279"/>
      <c r="D280" s="223"/>
      <c r="E280" s="265"/>
      <c r="F280" s="279"/>
      <c r="G280" s="281"/>
      <c r="H280" s="213"/>
      <c r="I280" s="213"/>
      <c r="J280" s="262"/>
      <c r="K280" s="163"/>
      <c r="L280" s="163"/>
      <c r="M280" s="286"/>
      <c r="N280" s="163"/>
      <c r="O280" s="163"/>
    </row>
    <row r="281" spans="1:15" ht="15.75">
      <c r="A281" s="1609"/>
      <c r="B281" s="213"/>
      <c r="C281" s="213"/>
      <c r="D281" s="223"/>
      <c r="E281" s="332">
        <f>SUM(E273:E280)</f>
        <v>3950000</v>
      </c>
      <c r="F281" s="223"/>
      <c r="G281" s="332">
        <f>SUM(G273:G280)</f>
        <v>242500</v>
      </c>
      <c r="H281" s="223"/>
      <c r="I281" s="223"/>
      <c r="J281" s="223"/>
      <c r="K281" s="266"/>
      <c r="L281" s="266"/>
      <c r="M281" s="329"/>
      <c r="N281" s="266"/>
      <c r="O281" s="332">
        <f>SUM(O273:O280)</f>
        <v>130000</v>
      </c>
    </row>
    <row r="282" spans="1:15" ht="23.25">
      <c r="K282" s="12"/>
      <c r="L282" s="12"/>
      <c r="M282" s="12"/>
      <c r="N282" s="12"/>
      <c r="O282" s="357">
        <f>O281+G281</f>
        <v>372500</v>
      </c>
    </row>
    <row r="284" spans="1:15" ht="18">
      <c r="A284" s="65" t="s">
        <v>68</v>
      </c>
      <c r="B284" s="97"/>
      <c r="C284" s="98"/>
      <c r="D284" s="341">
        <f>E253+E267+E281</f>
        <v>21650000</v>
      </c>
    </row>
    <row r="285" spans="1:15">
      <c r="A285" s="66" t="s">
        <v>69</v>
      </c>
      <c r="B285" s="99"/>
      <c r="C285" s="22"/>
      <c r="D285" s="20"/>
    </row>
    <row r="286" spans="1:15">
      <c r="A286" s="67" t="s">
        <v>70</v>
      </c>
      <c r="B286" s="100"/>
      <c r="C286" s="101"/>
      <c r="D286" s="21"/>
    </row>
    <row r="288" spans="1:15">
      <c r="A288" s="1576" t="s">
        <v>71</v>
      </c>
      <c r="B288" s="1622" t="s">
        <v>172</v>
      </c>
      <c r="C288" s="1619"/>
      <c r="D288" s="1576" t="s">
        <v>73</v>
      </c>
    </row>
    <row r="289" spans="1:5">
      <c r="A289" s="1577"/>
      <c r="B289" s="1620"/>
      <c r="C289" s="1621"/>
      <c r="D289" s="1577"/>
    </row>
    <row r="290" spans="1:5">
      <c r="A290" s="1576" t="s">
        <v>74</v>
      </c>
      <c r="B290" s="1578">
        <v>10600000</v>
      </c>
      <c r="C290" s="1579"/>
      <c r="D290" s="1582">
        <v>10</v>
      </c>
    </row>
    <row r="291" spans="1:5">
      <c r="A291" s="1577"/>
      <c r="B291" s="1580"/>
      <c r="C291" s="1581"/>
      <c r="D291" s="1583"/>
    </row>
    <row r="292" spans="1:5">
      <c r="A292" s="1576" t="s">
        <v>76</v>
      </c>
      <c r="B292" s="1578">
        <v>7800000</v>
      </c>
      <c r="C292" s="1579"/>
      <c r="D292" s="1582">
        <v>6</v>
      </c>
    </row>
    <row r="293" spans="1:5">
      <c r="A293" s="1577"/>
      <c r="B293" s="1580"/>
      <c r="C293" s="1581"/>
      <c r="D293" s="1583"/>
    </row>
    <row r="294" spans="1:5">
      <c r="A294" s="1584" t="s">
        <v>77</v>
      </c>
      <c r="B294" s="1578">
        <v>1850000</v>
      </c>
      <c r="C294" s="1579"/>
      <c r="D294" s="1582">
        <v>2</v>
      </c>
    </row>
    <row r="295" spans="1:5">
      <c r="A295" s="1585"/>
      <c r="B295" s="1580"/>
      <c r="C295" s="1581"/>
      <c r="D295" s="1583"/>
    </row>
    <row r="296" spans="1:5">
      <c r="A296" s="1576" t="s">
        <v>78</v>
      </c>
      <c r="B296" s="1578">
        <v>1400000</v>
      </c>
      <c r="C296" s="1579"/>
      <c r="D296" s="1582">
        <v>2</v>
      </c>
    </row>
    <row r="297" spans="1:5">
      <c r="A297" s="1577"/>
      <c r="B297" s="1580"/>
      <c r="C297" s="1581"/>
      <c r="D297" s="1583"/>
    </row>
    <row r="298" spans="1:5">
      <c r="A298" s="1576" t="s">
        <v>80</v>
      </c>
      <c r="B298" s="1623">
        <f>SUM(B290:B296)</f>
        <v>21650000</v>
      </c>
      <c r="C298" s="1624"/>
      <c r="D298" s="1582">
        <f>SUM(D290:D297)</f>
        <v>20</v>
      </c>
    </row>
    <row r="299" spans="1:5">
      <c r="A299" s="1577"/>
      <c r="B299" s="1625"/>
      <c r="C299" s="1626"/>
      <c r="D299" s="1583"/>
    </row>
    <row r="303" spans="1:5">
      <c r="E303" s="131"/>
    </row>
    <row r="306" spans="1:15" ht="31.5">
      <c r="A306" s="1561" t="s">
        <v>222</v>
      </c>
      <c r="B306" s="1562"/>
      <c r="C306" s="1562"/>
      <c r="D306" s="1562"/>
      <c r="E306" s="1562"/>
      <c r="F306" s="1562"/>
      <c r="G306" s="1562"/>
      <c r="H306" s="1562"/>
      <c r="I306" s="1562"/>
      <c r="J306" s="1562"/>
      <c r="K306" s="1562"/>
      <c r="L306" s="1562"/>
      <c r="M306" s="1562"/>
      <c r="N306" s="1562"/>
      <c r="O306" s="1562"/>
    </row>
    <row r="307" spans="1:15" ht="24" customHeight="1">
      <c r="A307" s="1530" t="s">
        <v>1</v>
      </c>
      <c r="B307" s="1532"/>
      <c r="C307" s="1532"/>
      <c r="D307" s="1532"/>
      <c r="E307" s="1532"/>
      <c r="F307" s="1532"/>
      <c r="G307" s="1532"/>
      <c r="H307" s="1532"/>
      <c r="I307" s="1532"/>
      <c r="J307" s="1532"/>
      <c r="K307" s="1533" t="s">
        <v>2</v>
      </c>
      <c r="L307" s="1533"/>
      <c r="M307" s="1533"/>
      <c r="N307" s="1533"/>
      <c r="O307" s="1533"/>
    </row>
    <row r="308" spans="1:15" ht="30">
      <c r="A308" s="1" t="s">
        <v>3</v>
      </c>
      <c r="B308" s="1" t="s">
        <v>120</v>
      </c>
      <c r="C308" s="35" t="s">
        <v>4</v>
      </c>
      <c r="D308" s="1" t="s">
        <v>5</v>
      </c>
      <c r="E308" s="1" t="s">
        <v>6</v>
      </c>
      <c r="F308" s="1" t="s">
        <v>7</v>
      </c>
      <c r="G308" s="1" t="s">
        <v>8</v>
      </c>
      <c r="H308" s="1" t="s">
        <v>9</v>
      </c>
      <c r="I308" s="1" t="s">
        <v>10</v>
      </c>
      <c r="J308" s="3" t="s">
        <v>11</v>
      </c>
      <c r="K308" s="40" t="s">
        <v>12</v>
      </c>
      <c r="L308" s="40" t="s">
        <v>5</v>
      </c>
      <c r="M308" s="40" t="s">
        <v>13</v>
      </c>
      <c r="N308" s="129" t="s">
        <v>7</v>
      </c>
      <c r="O308" s="68" t="s">
        <v>14</v>
      </c>
    </row>
    <row r="309" spans="1:15" ht="15.75" customHeight="1">
      <c r="A309" s="1586" t="s">
        <v>223</v>
      </c>
      <c r="B309" s="135">
        <v>11170</v>
      </c>
      <c r="C309" s="233">
        <v>0.1</v>
      </c>
      <c r="D309" s="136" t="s">
        <v>224</v>
      </c>
      <c r="E309" s="143">
        <v>900000</v>
      </c>
      <c r="F309" s="138">
        <v>0.1</v>
      </c>
      <c r="G309" s="143">
        <f>E309*F309</f>
        <v>90000</v>
      </c>
      <c r="H309" s="135" t="s">
        <v>180</v>
      </c>
      <c r="I309" s="135" t="s">
        <v>128</v>
      </c>
      <c r="J309" s="541"/>
      <c r="K309" s="133">
        <v>11177</v>
      </c>
      <c r="L309" s="145" t="s">
        <v>225</v>
      </c>
      <c r="M309" s="195">
        <v>1100000</v>
      </c>
      <c r="N309" s="547">
        <v>0.05</v>
      </c>
      <c r="O309" s="560">
        <f>M309*N309</f>
        <v>55000</v>
      </c>
    </row>
    <row r="310" spans="1:15" ht="15.75" customHeight="1">
      <c r="A310" s="1587"/>
      <c r="B310" s="346">
        <v>11169</v>
      </c>
      <c r="C310" s="233">
        <v>0.1</v>
      </c>
      <c r="D310" s="136" t="s">
        <v>226</v>
      </c>
      <c r="E310" s="143">
        <v>960000</v>
      </c>
      <c r="F310" s="138">
        <v>0.06</v>
      </c>
      <c r="G310" s="143">
        <f t="shared" ref="G310:G324" si="3">E310*F310</f>
        <v>57600</v>
      </c>
      <c r="H310" s="135" t="s">
        <v>185</v>
      </c>
      <c r="I310" s="135" t="s">
        <v>128</v>
      </c>
      <c r="J310" s="541"/>
      <c r="K310" s="133" t="s">
        <v>227</v>
      </c>
      <c r="L310" s="555" t="s">
        <v>228</v>
      </c>
      <c r="M310" s="195"/>
      <c r="N310" s="559"/>
      <c r="O310" s="278">
        <v>466200</v>
      </c>
    </row>
    <row r="311" spans="1:15" ht="16.5" customHeight="1">
      <c r="A311" s="1587"/>
      <c r="B311" s="135">
        <v>11151</v>
      </c>
      <c r="C311" s="233">
        <v>0.1</v>
      </c>
      <c r="D311" s="136" t="s">
        <v>229</v>
      </c>
      <c r="E311" s="143">
        <v>1080000</v>
      </c>
      <c r="F311" s="138">
        <v>0.06</v>
      </c>
      <c r="G311" s="143">
        <f t="shared" si="3"/>
        <v>64800</v>
      </c>
      <c r="H311" s="135" t="s">
        <v>185</v>
      </c>
      <c r="I311" s="135" t="s">
        <v>100</v>
      </c>
      <c r="J311" s="542"/>
      <c r="K311" s="33"/>
      <c r="L311" s="34"/>
      <c r="M311" s="8"/>
      <c r="N311" s="124"/>
      <c r="O311" s="371"/>
    </row>
    <row r="312" spans="1:15" ht="15.75" customHeight="1">
      <c r="A312" s="1587"/>
      <c r="B312" s="135">
        <v>11163</v>
      </c>
      <c r="C312" s="233">
        <v>0.1</v>
      </c>
      <c r="D312" s="136" t="s">
        <v>230</v>
      </c>
      <c r="E312" s="143">
        <v>1150000</v>
      </c>
      <c r="F312" s="138">
        <v>0.1</v>
      </c>
      <c r="G312" s="143">
        <f t="shared" si="3"/>
        <v>115000</v>
      </c>
      <c r="H312" s="135" t="s">
        <v>180</v>
      </c>
      <c r="I312" s="135" t="s">
        <v>128</v>
      </c>
      <c r="J312" s="541"/>
      <c r="K312" s="16"/>
      <c r="L312" s="37"/>
      <c r="M312" s="127"/>
      <c r="N312" s="61"/>
      <c r="O312" s="330"/>
    </row>
    <row r="313" spans="1:15" ht="15.75" customHeight="1">
      <c r="A313" s="1587"/>
      <c r="B313" s="135">
        <v>11199</v>
      </c>
      <c r="C313" s="233">
        <v>0.1</v>
      </c>
      <c r="D313" s="136" t="s">
        <v>231</v>
      </c>
      <c r="E313" s="143">
        <v>1100000</v>
      </c>
      <c r="F313" s="138">
        <v>0.06</v>
      </c>
      <c r="G313" s="143">
        <f t="shared" si="3"/>
        <v>66000</v>
      </c>
      <c r="H313" s="135" t="s">
        <v>185</v>
      </c>
      <c r="I313" s="135" t="s">
        <v>128</v>
      </c>
      <c r="J313" s="541"/>
      <c r="K313" s="16"/>
      <c r="L313" s="10"/>
      <c r="M313" s="57"/>
      <c r="N313" s="10"/>
      <c r="O313" s="27"/>
    </row>
    <row r="314" spans="1:15" ht="15" customHeight="1">
      <c r="A314" s="1587"/>
      <c r="B314" s="488">
        <v>11219</v>
      </c>
      <c r="C314" s="233">
        <v>0.1</v>
      </c>
      <c r="D314" s="136" t="s">
        <v>232</v>
      </c>
      <c r="E314" s="143">
        <v>700000</v>
      </c>
      <c r="F314" s="138">
        <v>0.1</v>
      </c>
      <c r="G314" s="143">
        <f t="shared" si="3"/>
        <v>70000</v>
      </c>
      <c r="H314" s="135" t="s">
        <v>180</v>
      </c>
      <c r="I314" s="135" t="s">
        <v>128</v>
      </c>
      <c r="J314" s="541"/>
      <c r="K314" s="16"/>
      <c r="L314" s="10"/>
      <c r="M314" s="57"/>
      <c r="N314" s="10"/>
      <c r="O314" s="27"/>
    </row>
    <row r="315" spans="1:15" ht="15" customHeight="1">
      <c r="A315" s="1587"/>
      <c r="B315" s="135">
        <v>11176</v>
      </c>
      <c r="C315" s="233">
        <v>0.1</v>
      </c>
      <c r="D315" s="136" t="s">
        <v>233</v>
      </c>
      <c r="E315" s="143">
        <v>900000</v>
      </c>
      <c r="F315" s="478">
        <v>0.1</v>
      </c>
      <c r="G315" s="143">
        <f t="shared" si="3"/>
        <v>90000</v>
      </c>
      <c r="H315" s="135" t="s">
        <v>180</v>
      </c>
      <c r="I315" s="135" t="s">
        <v>234</v>
      </c>
      <c r="J315" s="541"/>
      <c r="K315" s="5"/>
      <c r="L315" s="6"/>
      <c r="M315" s="128"/>
      <c r="N315" s="369"/>
      <c r="O315" s="27"/>
    </row>
    <row r="316" spans="1:15" ht="15" customHeight="1">
      <c r="A316" s="1587"/>
      <c r="B316" s="135">
        <v>11249</v>
      </c>
      <c r="C316" s="233">
        <v>0.1</v>
      </c>
      <c r="D316" s="136" t="s">
        <v>235</v>
      </c>
      <c r="E316" s="143">
        <v>1300000</v>
      </c>
      <c r="F316" s="138">
        <v>0.1</v>
      </c>
      <c r="G316" s="143">
        <f t="shared" si="3"/>
        <v>130000</v>
      </c>
      <c r="H316" s="135" t="s">
        <v>180</v>
      </c>
      <c r="I316" s="135" t="s">
        <v>234</v>
      </c>
      <c r="J316" s="542"/>
      <c r="K316" s="33"/>
      <c r="L316" s="34"/>
      <c r="M316" s="128"/>
      <c r="N316" s="369"/>
      <c r="O316" s="27"/>
    </row>
    <row r="317" spans="1:15" ht="15" customHeight="1">
      <c r="A317" s="1587"/>
      <c r="B317" s="135">
        <v>11190</v>
      </c>
      <c r="C317" s="233">
        <v>0.1</v>
      </c>
      <c r="D317" s="136" t="s">
        <v>236</v>
      </c>
      <c r="E317" s="143">
        <v>1300000</v>
      </c>
      <c r="F317" s="138">
        <v>0.06</v>
      </c>
      <c r="G317" s="143">
        <f t="shared" si="3"/>
        <v>78000</v>
      </c>
      <c r="H317" s="135" t="s">
        <v>185</v>
      </c>
      <c r="I317" s="135" t="s">
        <v>234</v>
      </c>
      <c r="J317" s="542"/>
      <c r="K317" s="33"/>
      <c r="L317" s="34"/>
      <c r="M317" s="128"/>
      <c r="N317" s="369"/>
      <c r="O317" s="27"/>
    </row>
    <row r="318" spans="1:15" ht="15" customHeight="1">
      <c r="A318" s="1587"/>
      <c r="B318" s="135">
        <v>11240</v>
      </c>
      <c r="C318" s="233">
        <v>0.1</v>
      </c>
      <c r="D318" s="136" t="s">
        <v>237</v>
      </c>
      <c r="E318" s="143">
        <v>2060000</v>
      </c>
      <c r="F318" s="138">
        <v>0.05</v>
      </c>
      <c r="G318" s="143">
        <f t="shared" si="3"/>
        <v>103000</v>
      </c>
      <c r="H318" s="135" t="s">
        <v>187</v>
      </c>
      <c r="I318" s="135" t="s">
        <v>234</v>
      </c>
      <c r="J318" s="542"/>
      <c r="K318" s="33"/>
      <c r="L318" s="34"/>
      <c r="M318" s="128"/>
      <c r="N318" s="369"/>
      <c r="O318" s="27"/>
    </row>
    <row r="319" spans="1:15" ht="15" customHeight="1">
      <c r="A319" s="1587"/>
      <c r="B319" s="135">
        <v>11244</v>
      </c>
      <c r="C319" s="233">
        <v>0.1</v>
      </c>
      <c r="D319" s="136" t="s">
        <v>238</v>
      </c>
      <c r="E319" s="143">
        <v>1000000</v>
      </c>
      <c r="F319" s="138">
        <v>0.06</v>
      </c>
      <c r="G319" s="143">
        <f t="shared" si="3"/>
        <v>60000</v>
      </c>
      <c r="H319" s="135" t="s">
        <v>185</v>
      </c>
      <c r="I319" s="135" t="s">
        <v>234</v>
      </c>
      <c r="J319" s="542"/>
      <c r="K319" s="33"/>
      <c r="L319" s="34"/>
      <c r="M319" s="128"/>
      <c r="N319" s="486"/>
      <c r="O319" s="27"/>
    </row>
    <row r="320" spans="1:15" ht="15" customHeight="1">
      <c r="A320" s="1587"/>
      <c r="B320" s="135">
        <v>11220</v>
      </c>
      <c r="C320" s="233">
        <v>0.1</v>
      </c>
      <c r="D320" s="136" t="s">
        <v>239</v>
      </c>
      <c r="E320" s="143">
        <v>1050000</v>
      </c>
      <c r="F320" s="138">
        <v>0.05</v>
      </c>
      <c r="G320" s="143">
        <f t="shared" si="3"/>
        <v>52500</v>
      </c>
      <c r="H320" s="135" t="s">
        <v>187</v>
      </c>
      <c r="I320" s="135" t="s">
        <v>128</v>
      </c>
      <c r="J320" s="542"/>
      <c r="K320" s="33"/>
      <c r="L320" s="34"/>
      <c r="M320" s="128"/>
      <c r="N320" s="486"/>
      <c r="O320" s="27"/>
    </row>
    <row r="321" spans="1:15" ht="15" customHeight="1">
      <c r="A321" s="1587"/>
      <c r="B321" s="135">
        <v>11225</v>
      </c>
      <c r="C321" s="233">
        <v>0.1</v>
      </c>
      <c r="D321" s="136" t="s">
        <v>240</v>
      </c>
      <c r="E321" s="143">
        <v>1100000</v>
      </c>
      <c r="F321" s="138">
        <v>0.1</v>
      </c>
      <c r="G321" s="143">
        <f t="shared" si="3"/>
        <v>110000</v>
      </c>
      <c r="H321" s="135" t="s">
        <v>180</v>
      </c>
      <c r="I321" s="135" t="s">
        <v>234</v>
      </c>
      <c r="J321" s="542"/>
      <c r="K321" s="33"/>
      <c r="L321" s="34"/>
      <c r="M321" s="128"/>
      <c r="N321" s="486"/>
      <c r="O321" s="27"/>
    </row>
    <row r="322" spans="1:15" ht="15" customHeight="1">
      <c r="A322" s="1587"/>
      <c r="B322" s="135">
        <v>11308</v>
      </c>
      <c r="C322" s="233">
        <v>0.1</v>
      </c>
      <c r="D322" s="137" t="s">
        <v>241</v>
      </c>
      <c r="E322" s="532">
        <v>1300000</v>
      </c>
      <c r="F322" s="138">
        <v>0.06</v>
      </c>
      <c r="G322" s="143">
        <f t="shared" si="3"/>
        <v>78000</v>
      </c>
      <c r="H322" s="135" t="s">
        <v>185</v>
      </c>
      <c r="I322" s="135" t="s">
        <v>242</v>
      </c>
      <c r="J322" s="542"/>
      <c r="K322" s="36"/>
      <c r="L322" s="36"/>
      <c r="M322" s="57"/>
      <c r="N322" s="57"/>
      <c r="O322" s="27"/>
    </row>
    <row r="323" spans="1:15" ht="15" customHeight="1">
      <c r="A323" s="1587"/>
      <c r="B323" s="488">
        <v>11319</v>
      </c>
      <c r="C323" s="233">
        <v>0.1</v>
      </c>
      <c r="D323" s="137" t="s">
        <v>243</v>
      </c>
      <c r="E323" s="532">
        <v>1250000</v>
      </c>
      <c r="F323" s="138">
        <v>0.1</v>
      </c>
      <c r="G323" s="143">
        <f t="shared" si="3"/>
        <v>125000</v>
      </c>
      <c r="H323" s="135" t="s">
        <v>180</v>
      </c>
      <c r="I323" s="144" t="s">
        <v>234</v>
      </c>
      <c r="J323" s="528"/>
      <c r="K323" s="518"/>
      <c r="L323" s="36"/>
      <c r="M323" s="57"/>
      <c r="N323" s="57"/>
      <c r="O323" s="27"/>
    </row>
    <row r="324" spans="1:15" ht="15" customHeight="1">
      <c r="A324" s="1587"/>
      <c r="B324" s="135">
        <v>11326</v>
      </c>
      <c r="C324" s="233">
        <v>0.1</v>
      </c>
      <c r="D324" s="137" t="s">
        <v>244</v>
      </c>
      <c r="E324" s="532">
        <v>600000</v>
      </c>
      <c r="F324" s="138">
        <v>0.1</v>
      </c>
      <c r="G324" s="143">
        <f t="shared" si="3"/>
        <v>60000</v>
      </c>
      <c r="H324" s="135" t="s">
        <v>180</v>
      </c>
      <c r="I324" s="144" t="s">
        <v>234</v>
      </c>
      <c r="J324" s="528"/>
      <c r="K324" s="518"/>
      <c r="L324" s="36"/>
      <c r="M324" s="57"/>
      <c r="N324" s="57"/>
      <c r="O324" s="27"/>
    </row>
    <row r="325" spans="1:15" ht="15" customHeight="1">
      <c r="A325" s="1587"/>
      <c r="B325" s="211" t="s">
        <v>245</v>
      </c>
      <c r="C325" s="499"/>
      <c r="D325" s="225" t="s">
        <v>246</v>
      </c>
      <c r="E325" s="500"/>
      <c r="F325" s="501"/>
      <c r="G325" s="502"/>
      <c r="H325" s="211"/>
      <c r="I325" s="503"/>
      <c r="J325" s="546" t="s">
        <v>247</v>
      </c>
      <c r="K325" s="518"/>
      <c r="L325" s="36"/>
      <c r="M325" s="548" t="s">
        <v>34</v>
      </c>
      <c r="N325" s="57"/>
      <c r="O325" s="550">
        <f>SUM(O309:O324)</f>
        <v>521200</v>
      </c>
    </row>
    <row r="326" spans="1:15" ht="15.75">
      <c r="A326" s="1588"/>
      <c r="B326" s="7"/>
      <c r="C326" s="7"/>
      <c r="D326" s="42"/>
      <c r="E326" s="332">
        <f>SUM(E309:E325)</f>
        <v>17750000</v>
      </c>
      <c r="F326" s="42"/>
      <c r="G326" s="281">
        <f>SUM(G309:G325)</f>
        <v>1349900</v>
      </c>
      <c r="H326" s="42"/>
      <c r="I326" s="6"/>
      <c r="J326" s="520"/>
      <c r="K326" s="11"/>
      <c r="L326" s="11"/>
      <c r="M326" s="537" t="s">
        <v>34</v>
      </c>
      <c r="N326" s="549"/>
      <c r="O326" s="551">
        <f>G326+O325</f>
        <v>1871100</v>
      </c>
    </row>
    <row r="327" spans="1:15">
      <c r="K327" s="12"/>
      <c r="L327" s="12"/>
      <c r="M327" s="12"/>
      <c r="N327" s="12"/>
    </row>
    <row r="328" spans="1:15">
      <c r="K328" s="12"/>
      <c r="L328" s="12"/>
      <c r="M328" s="12"/>
      <c r="N328" s="12"/>
    </row>
    <row r="330" spans="1:15" ht="22.5" customHeight="1">
      <c r="A330" s="1564" t="s">
        <v>138</v>
      </c>
      <c r="B330" s="1564"/>
      <c r="C330" s="1564"/>
      <c r="D330" s="1564"/>
      <c r="E330" s="1564"/>
      <c r="F330" s="1564"/>
      <c r="G330" s="1564"/>
      <c r="H330" s="1564"/>
      <c r="I330" s="1564"/>
      <c r="J330" s="1565"/>
      <c r="K330" s="1557" t="s">
        <v>2</v>
      </c>
      <c r="L330" s="1557"/>
      <c r="M330" s="1557"/>
      <c r="N330" s="1557"/>
      <c r="O330" s="1557"/>
    </row>
    <row r="331" spans="1:15" ht="30">
      <c r="A331" s="68" t="s">
        <v>3</v>
      </c>
      <c r="B331" s="68" t="s">
        <v>120</v>
      </c>
      <c r="C331" s="125" t="s">
        <v>4</v>
      </c>
      <c r="D331" s="68" t="s">
        <v>5</v>
      </c>
      <c r="E331" s="68" t="s">
        <v>6</v>
      </c>
      <c r="F331" s="68" t="s">
        <v>7</v>
      </c>
      <c r="G331" s="68" t="s">
        <v>8</v>
      </c>
      <c r="H331" s="68" t="s">
        <v>9</v>
      </c>
      <c r="I331" s="68" t="s">
        <v>10</v>
      </c>
      <c r="J331" s="68" t="s">
        <v>11</v>
      </c>
      <c r="K331" s="68" t="s">
        <v>12</v>
      </c>
      <c r="L331" s="68" t="s">
        <v>5</v>
      </c>
      <c r="M331" s="68" t="s">
        <v>13</v>
      </c>
      <c r="N331" s="129" t="s">
        <v>7</v>
      </c>
      <c r="O331" s="40" t="s">
        <v>14</v>
      </c>
    </row>
    <row r="332" spans="1:15" ht="15" customHeight="1">
      <c r="A332" s="1556" t="s">
        <v>248</v>
      </c>
      <c r="B332" s="135">
        <v>11155</v>
      </c>
      <c r="C332" s="148">
        <v>0.1</v>
      </c>
      <c r="D332" s="149" t="s">
        <v>249</v>
      </c>
      <c r="E332" s="141">
        <v>1100000</v>
      </c>
      <c r="F332" s="148">
        <v>0.1</v>
      </c>
      <c r="G332" s="540">
        <f>E332*F332</f>
        <v>110000</v>
      </c>
      <c r="H332" s="147" t="s">
        <v>187</v>
      </c>
      <c r="I332" s="147" t="s">
        <v>100</v>
      </c>
      <c r="J332" s="528"/>
      <c r="K332" s="135">
        <v>11220</v>
      </c>
      <c r="L332" s="136" t="s">
        <v>239</v>
      </c>
      <c r="M332" s="143">
        <v>1050000</v>
      </c>
      <c r="N332" s="534">
        <v>0.05</v>
      </c>
      <c r="O332" s="535">
        <f>M332*N332</f>
        <v>52500</v>
      </c>
    </row>
    <row r="333" spans="1:15" ht="15" customHeight="1">
      <c r="A333" s="1552"/>
      <c r="B333" s="207">
        <v>11194</v>
      </c>
      <c r="C333" s="148">
        <v>0.1</v>
      </c>
      <c r="D333" s="149" t="s">
        <v>250</v>
      </c>
      <c r="E333" s="141">
        <v>1300000</v>
      </c>
      <c r="F333" s="148">
        <v>0.1</v>
      </c>
      <c r="G333" s="540">
        <f t="shared" ref="G333:G338" si="4">E333*F333</f>
        <v>130000</v>
      </c>
      <c r="H333" s="147" t="s">
        <v>187</v>
      </c>
      <c r="I333" s="147" t="s">
        <v>100</v>
      </c>
      <c r="J333" s="528"/>
      <c r="K333" s="135">
        <v>11240</v>
      </c>
      <c r="L333" s="136" t="s">
        <v>237</v>
      </c>
      <c r="M333" s="143">
        <v>2060000</v>
      </c>
      <c r="N333" s="534">
        <v>0.05</v>
      </c>
      <c r="O333" s="535">
        <f>M333*N333</f>
        <v>103000</v>
      </c>
    </row>
    <row r="334" spans="1:15" ht="15" customHeight="1">
      <c r="A334" s="1552"/>
      <c r="B334" s="346">
        <v>11289</v>
      </c>
      <c r="C334" s="148">
        <v>0.1</v>
      </c>
      <c r="D334" s="149" t="s">
        <v>251</v>
      </c>
      <c r="E334" s="141">
        <v>1400000</v>
      </c>
      <c r="F334" s="148">
        <v>0.1</v>
      </c>
      <c r="G334" s="540">
        <f t="shared" si="4"/>
        <v>140000</v>
      </c>
      <c r="H334" s="147" t="s">
        <v>187</v>
      </c>
      <c r="I334" s="147" t="s">
        <v>100</v>
      </c>
      <c r="J334" s="528"/>
      <c r="K334" s="135">
        <v>11148</v>
      </c>
      <c r="L334" s="136" t="s">
        <v>252</v>
      </c>
      <c r="M334" s="143">
        <v>2200000</v>
      </c>
      <c r="N334" s="534">
        <v>0.05</v>
      </c>
      <c r="O334" s="535">
        <f>M334*N334</f>
        <v>110000</v>
      </c>
    </row>
    <row r="335" spans="1:15" ht="15" customHeight="1">
      <c r="A335" s="1552"/>
      <c r="B335" s="346">
        <v>11284</v>
      </c>
      <c r="C335" s="148">
        <v>0.1</v>
      </c>
      <c r="D335" s="149" t="s">
        <v>253</v>
      </c>
      <c r="E335" s="141">
        <v>1300000</v>
      </c>
      <c r="F335" s="148">
        <v>0.1</v>
      </c>
      <c r="G335" s="540">
        <f t="shared" si="4"/>
        <v>130000</v>
      </c>
      <c r="H335" s="147" t="s">
        <v>187</v>
      </c>
      <c r="I335" s="147" t="s">
        <v>242</v>
      </c>
      <c r="J335" s="528"/>
      <c r="K335" s="9"/>
      <c r="L335" s="17"/>
      <c r="M335" s="43"/>
      <c r="N335" s="370"/>
      <c r="O335" s="14"/>
    </row>
    <row r="336" spans="1:15" ht="15" customHeight="1">
      <c r="A336" s="1552"/>
      <c r="B336" s="346">
        <v>11291</v>
      </c>
      <c r="C336" s="148">
        <v>0.1</v>
      </c>
      <c r="D336" s="149" t="s">
        <v>254</v>
      </c>
      <c r="E336" s="141">
        <v>1330000</v>
      </c>
      <c r="F336" s="148">
        <v>0.1</v>
      </c>
      <c r="G336" s="540">
        <f t="shared" si="4"/>
        <v>133000</v>
      </c>
      <c r="H336" s="147" t="s">
        <v>187</v>
      </c>
      <c r="I336" s="147" t="s">
        <v>234</v>
      </c>
      <c r="J336" s="528"/>
      <c r="K336" s="9"/>
      <c r="L336" s="17"/>
      <c r="M336" s="43"/>
      <c r="N336" s="370"/>
      <c r="O336" s="14"/>
    </row>
    <row r="337" spans="1:15" ht="15" customHeight="1">
      <c r="A337" s="1552"/>
      <c r="B337" s="346">
        <v>11306</v>
      </c>
      <c r="C337" s="148">
        <v>0.1</v>
      </c>
      <c r="D337" s="574" t="s">
        <v>255</v>
      </c>
      <c r="E337" s="141">
        <v>1200000</v>
      </c>
      <c r="F337" s="148">
        <v>0.1</v>
      </c>
      <c r="G337" s="540">
        <f t="shared" si="4"/>
        <v>120000</v>
      </c>
      <c r="H337" s="147" t="s">
        <v>187</v>
      </c>
      <c r="I337" s="147" t="s">
        <v>234</v>
      </c>
      <c r="J337" s="528"/>
      <c r="K337" s="9"/>
      <c r="L337" s="17"/>
      <c r="M337" s="43"/>
      <c r="N337" s="370"/>
      <c r="O337" s="14"/>
    </row>
    <row r="338" spans="1:15" ht="15" customHeight="1">
      <c r="A338" s="1552"/>
      <c r="B338" s="346">
        <v>11333</v>
      </c>
      <c r="C338" s="148">
        <v>0.1</v>
      </c>
      <c r="D338" s="149" t="s">
        <v>256</v>
      </c>
      <c r="E338" s="141">
        <v>1000000</v>
      </c>
      <c r="F338" s="148">
        <v>0.1</v>
      </c>
      <c r="G338" s="540">
        <f t="shared" si="4"/>
        <v>100000</v>
      </c>
      <c r="H338" s="147" t="s">
        <v>187</v>
      </c>
      <c r="I338" s="147" t="s">
        <v>234</v>
      </c>
      <c r="J338" s="528"/>
      <c r="K338" s="9"/>
      <c r="L338" s="17"/>
      <c r="M338" s="43"/>
      <c r="N338" s="370"/>
      <c r="O338" s="14"/>
    </row>
    <row r="339" spans="1:15" ht="15" customHeight="1">
      <c r="A339" s="1552"/>
      <c r="B339" s="362" t="s">
        <v>257</v>
      </c>
      <c r="C339" s="285"/>
      <c r="D339" s="222" t="s">
        <v>258</v>
      </c>
      <c r="E339" s="305"/>
      <c r="F339" s="285"/>
      <c r="G339" s="328"/>
      <c r="H339" s="289"/>
      <c r="I339" s="285" t="s">
        <v>100</v>
      </c>
      <c r="J339" s="529" t="s">
        <v>257</v>
      </c>
      <c r="K339" s="9"/>
      <c r="L339" s="9"/>
      <c r="M339" s="9"/>
      <c r="N339" s="10"/>
      <c r="O339" s="14"/>
    </row>
    <row r="340" spans="1:15" ht="15" customHeight="1">
      <c r="A340" s="1552"/>
      <c r="B340" s="362" t="s">
        <v>257</v>
      </c>
      <c r="C340" s="285"/>
      <c r="D340" s="222" t="s">
        <v>259</v>
      </c>
      <c r="E340" s="305"/>
      <c r="F340" s="285"/>
      <c r="G340" s="328"/>
      <c r="H340" s="289"/>
      <c r="I340" s="289" t="s">
        <v>100</v>
      </c>
      <c r="J340" s="529" t="s">
        <v>257</v>
      </c>
      <c r="K340" s="9"/>
      <c r="L340" s="9"/>
      <c r="M340" s="9"/>
      <c r="N340" s="10"/>
      <c r="O340" s="14"/>
    </row>
    <row r="341" spans="1:15" ht="15" customHeight="1">
      <c r="A341" s="1552"/>
      <c r="B341" s="362" t="s">
        <v>245</v>
      </c>
      <c r="C341" s="285"/>
      <c r="D341" s="222" t="s">
        <v>260</v>
      </c>
      <c r="E341" s="468"/>
      <c r="F341" s="469"/>
      <c r="G341" s="470"/>
      <c r="H341" s="471"/>
      <c r="I341" s="289" t="s">
        <v>100</v>
      </c>
      <c r="J341" s="529" t="s">
        <v>261</v>
      </c>
      <c r="K341" s="9"/>
      <c r="L341" s="17"/>
      <c r="M341" s="536" t="s">
        <v>34</v>
      </c>
      <c r="N341" s="370"/>
      <c r="O341" s="154">
        <f>SUM(O332:O340)</f>
        <v>265500</v>
      </c>
    </row>
    <row r="342" spans="1:15" ht="15.75">
      <c r="A342" s="1542"/>
      <c r="B342" s="7"/>
      <c r="C342" s="7"/>
      <c r="D342" s="42"/>
      <c r="E342" s="332">
        <f>SUM(E332:E341)</f>
        <v>8630000</v>
      </c>
      <c r="F342" s="42"/>
      <c r="G342" s="281">
        <f>SUM(G332:G341)</f>
        <v>863000</v>
      </c>
      <c r="H342" s="42"/>
      <c r="I342" s="42"/>
      <c r="J342" s="42"/>
      <c r="K342" s="11"/>
      <c r="L342" s="11"/>
      <c r="M342" s="537" t="s">
        <v>34</v>
      </c>
      <c r="N342" s="538"/>
      <c r="O342" s="539">
        <f>O341+G342</f>
        <v>1128500</v>
      </c>
    </row>
    <row r="343" spans="1:15">
      <c r="K343" s="12"/>
      <c r="L343" s="12"/>
      <c r="M343" s="12"/>
      <c r="N343" s="12"/>
    </row>
    <row r="345" spans="1:15">
      <c r="K345" s="12"/>
      <c r="L345" s="12"/>
      <c r="M345" s="12"/>
      <c r="N345" s="12"/>
    </row>
    <row r="346" spans="1:15" ht="20.25" customHeight="1">
      <c r="A346" s="1530" t="s">
        <v>56</v>
      </c>
      <c r="B346" s="1531"/>
      <c r="C346" s="1532"/>
      <c r="D346" s="1531"/>
      <c r="E346" s="1531"/>
      <c r="F346" s="1531"/>
      <c r="G346" s="1531"/>
      <c r="H346" s="1532"/>
      <c r="I346" s="1532"/>
      <c r="J346" s="1532"/>
      <c r="K346" s="1533" t="s">
        <v>2</v>
      </c>
      <c r="L346" s="1533"/>
      <c r="M346" s="1533"/>
      <c r="N346" s="1533"/>
      <c r="O346" s="1533"/>
    </row>
    <row r="347" spans="1:15" ht="30">
      <c r="A347" s="126" t="s">
        <v>3</v>
      </c>
      <c r="B347" s="1" t="s">
        <v>120</v>
      </c>
      <c r="C347" s="367" t="s">
        <v>4</v>
      </c>
      <c r="D347" s="1" t="s">
        <v>5</v>
      </c>
      <c r="E347" s="1" t="s">
        <v>6</v>
      </c>
      <c r="F347" s="1" t="s">
        <v>7</v>
      </c>
      <c r="G347" s="1" t="s">
        <v>8</v>
      </c>
      <c r="H347" s="361" t="s">
        <v>9</v>
      </c>
      <c r="I347" s="1" t="s">
        <v>10</v>
      </c>
      <c r="J347" s="126" t="s">
        <v>11</v>
      </c>
      <c r="K347" s="3" t="s">
        <v>12</v>
      </c>
      <c r="L347" s="3" t="s">
        <v>5</v>
      </c>
      <c r="M347" s="3" t="s">
        <v>13</v>
      </c>
      <c r="N347" s="3" t="s">
        <v>7</v>
      </c>
      <c r="O347" s="3" t="s">
        <v>14</v>
      </c>
    </row>
    <row r="348" spans="1:15" ht="15.75" customHeight="1">
      <c r="A348" s="1556" t="s">
        <v>248</v>
      </c>
      <c r="B348" s="135">
        <v>11172</v>
      </c>
      <c r="C348" s="233">
        <v>0.1</v>
      </c>
      <c r="D348" s="136" t="s">
        <v>262</v>
      </c>
      <c r="E348" s="143">
        <v>950000</v>
      </c>
      <c r="F348" s="148">
        <v>0.1</v>
      </c>
      <c r="G348" s="143">
        <f>E348*F348</f>
        <v>95000</v>
      </c>
      <c r="H348" s="135" t="s">
        <v>168</v>
      </c>
      <c r="I348" s="135" t="s">
        <v>100</v>
      </c>
      <c r="J348" s="136"/>
      <c r="K348" s="562"/>
      <c r="L348" s="156"/>
      <c r="M348" s="563"/>
      <c r="N348" s="564"/>
      <c r="O348" s="565"/>
    </row>
    <row r="349" spans="1:15" ht="15.75" customHeight="1">
      <c r="A349" s="1552"/>
      <c r="B349" s="346">
        <v>11304</v>
      </c>
      <c r="C349" s="233">
        <v>0.1</v>
      </c>
      <c r="D349" s="136" t="s">
        <v>263</v>
      </c>
      <c r="E349" s="143">
        <v>950000</v>
      </c>
      <c r="F349" s="138">
        <v>0.06</v>
      </c>
      <c r="G349" s="143">
        <f t="shared" ref="G349:G354" si="5">E349*F349</f>
        <v>57000</v>
      </c>
      <c r="H349" s="135" t="s">
        <v>185</v>
      </c>
      <c r="I349" s="135" t="s">
        <v>242</v>
      </c>
      <c r="J349" s="136"/>
      <c r="K349" s="161"/>
      <c r="L349" s="270"/>
      <c r="M349" s="372"/>
      <c r="N349" s="319"/>
      <c r="O349" s="286"/>
    </row>
    <row r="350" spans="1:15" ht="15.75" customHeight="1">
      <c r="A350" s="1552"/>
      <c r="B350" s="135">
        <v>11175</v>
      </c>
      <c r="C350" s="233">
        <v>0.1</v>
      </c>
      <c r="D350" s="136" t="s">
        <v>264</v>
      </c>
      <c r="E350" s="143">
        <v>1100000</v>
      </c>
      <c r="F350" s="138">
        <v>0.1</v>
      </c>
      <c r="G350" s="143">
        <f t="shared" si="5"/>
        <v>110000</v>
      </c>
      <c r="H350" s="135" t="s">
        <v>168</v>
      </c>
      <c r="I350" s="135" t="s">
        <v>128</v>
      </c>
      <c r="J350" s="136"/>
      <c r="K350" s="161"/>
      <c r="L350" s="270"/>
      <c r="M350" s="372"/>
      <c r="N350" s="319"/>
      <c r="O350" s="14"/>
    </row>
    <row r="351" spans="1:15" ht="15.75" customHeight="1">
      <c r="A351" s="1552"/>
      <c r="B351" s="346">
        <v>11224</v>
      </c>
      <c r="C351" s="233">
        <v>0.1</v>
      </c>
      <c r="D351" s="487" t="s">
        <v>265</v>
      </c>
      <c r="E351" s="143">
        <v>850000</v>
      </c>
      <c r="F351" s="138">
        <v>0.06</v>
      </c>
      <c r="G351" s="143">
        <f t="shared" si="5"/>
        <v>51000</v>
      </c>
      <c r="H351" s="135" t="s">
        <v>185</v>
      </c>
      <c r="I351" s="135" t="s">
        <v>100</v>
      </c>
      <c r="J351" s="136"/>
      <c r="K351" s="161"/>
      <c r="L351" s="270"/>
      <c r="M351" s="372"/>
      <c r="N351" s="319"/>
      <c r="O351" s="14"/>
    </row>
    <row r="352" spans="1:15" ht="15.75" customHeight="1">
      <c r="A352" s="1552"/>
      <c r="B352" s="346">
        <v>11280</v>
      </c>
      <c r="C352" s="231">
        <v>0.1</v>
      </c>
      <c r="D352" s="136" t="s">
        <v>266</v>
      </c>
      <c r="E352" s="143">
        <v>950000</v>
      </c>
      <c r="F352" s="138">
        <v>0.1</v>
      </c>
      <c r="G352" s="143">
        <f t="shared" si="5"/>
        <v>95000</v>
      </c>
      <c r="H352" s="135" t="s">
        <v>168</v>
      </c>
      <c r="I352" s="135" t="s">
        <v>100</v>
      </c>
      <c r="J352" s="136"/>
      <c r="K352" s="161"/>
      <c r="L352" s="270"/>
      <c r="M352" s="372"/>
      <c r="N352" s="319"/>
      <c r="O352" s="14"/>
    </row>
    <row r="353" spans="1:15" ht="15.75" customHeight="1">
      <c r="A353" s="1552"/>
      <c r="B353" s="346">
        <v>11253</v>
      </c>
      <c r="C353" s="231">
        <v>0.1</v>
      </c>
      <c r="D353" s="136" t="s">
        <v>267</v>
      </c>
      <c r="E353" s="143">
        <v>1150000</v>
      </c>
      <c r="F353" s="138">
        <v>0.1</v>
      </c>
      <c r="G353" s="143">
        <f t="shared" si="5"/>
        <v>115000</v>
      </c>
      <c r="H353" s="135" t="s">
        <v>168</v>
      </c>
      <c r="I353" s="135" t="s">
        <v>234</v>
      </c>
      <c r="J353" s="136"/>
      <c r="K353" s="161"/>
      <c r="L353" s="270"/>
      <c r="M353" s="372"/>
      <c r="N353" s="319"/>
      <c r="O353" s="14"/>
    </row>
    <row r="354" spans="1:15" ht="15.75" customHeight="1">
      <c r="A354" s="1552"/>
      <c r="B354" s="346">
        <v>11262</v>
      </c>
      <c r="C354" s="231">
        <v>0.1</v>
      </c>
      <c r="D354" s="136" t="s">
        <v>268</v>
      </c>
      <c r="E354" s="143">
        <v>750000</v>
      </c>
      <c r="F354" s="138">
        <v>0.1</v>
      </c>
      <c r="G354" s="143">
        <f t="shared" si="5"/>
        <v>75000</v>
      </c>
      <c r="H354" s="135" t="s">
        <v>168</v>
      </c>
      <c r="I354" s="135" t="s">
        <v>234</v>
      </c>
      <c r="J354" s="136"/>
      <c r="K354" s="161"/>
      <c r="L354" s="270"/>
      <c r="M354" s="372"/>
      <c r="N354" s="319"/>
      <c r="O354" s="14"/>
    </row>
    <row r="355" spans="1:15" ht="15.75" customHeight="1">
      <c r="A355" s="1552"/>
      <c r="B355" s="362" t="s">
        <v>245</v>
      </c>
      <c r="C355" s="212"/>
      <c r="D355" s="277" t="s">
        <v>269</v>
      </c>
      <c r="E355" s="308"/>
      <c r="F355" s="220"/>
      <c r="G355" s="268"/>
      <c r="H355" s="211"/>
      <c r="I355" s="211" t="s">
        <v>234</v>
      </c>
      <c r="J355" s="567" t="s">
        <v>270</v>
      </c>
      <c r="K355" s="161"/>
      <c r="L355" s="270"/>
      <c r="M355" s="372"/>
      <c r="N355" s="319"/>
      <c r="O355" s="14"/>
    </row>
    <row r="356" spans="1:15" ht="15.75" customHeight="1">
      <c r="A356" s="1552"/>
      <c r="B356" s="362" t="s">
        <v>245</v>
      </c>
      <c r="C356" s="267"/>
      <c r="D356" s="277" t="s">
        <v>271</v>
      </c>
      <c r="E356" s="308"/>
      <c r="F356" s="220"/>
      <c r="G356" s="268"/>
      <c r="H356" s="211"/>
      <c r="I356" s="211" t="s">
        <v>234</v>
      </c>
      <c r="J356" s="567" t="s">
        <v>272</v>
      </c>
      <c r="K356" s="161"/>
      <c r="L356" s="270"/>
      <c r="M356" s="372"/>
      <c r="N356" s="319"/>
      <c r="O356" s="14"/>
    </row>
    <row r="357" spans="1:15" ht="15.75" customHeight="1">
      <c r="A357" s="1552"/>
      <c r="B357" s="489" t="s">
        <v>245</v>
      </c>
      <c r="C357" s="267"/>
      <c r="D357" s="277" t="s">
        <v>219</v>
      </c>
      <c r="E357" s="308"/>
      <c r="F357" s="220"/>
      <c r="G357" s="268"/>
      <c r="H357" s="211"/>
      <c r="I357" s="211" t="s">
        <v>100</v>
      </c>
      <c r="J357" s="568" t="s">
        <v>273</v>
      </c>
      <c r="K357" s="161"/>
      <c r="L357" s="270"/>
      <c r="M357" s="553" t="s">
        <v>34</v>
      </c>
      <c r="N357" s="319"/>
      <c r="O357" s="14"/>
    </row>
    <row r="358" spans="1:15" ht="15.75">
      <c r="A358" s="1542"/>
      <c r="B358" s="213"/>
      <c r="C358" s="213"/>
      <c r="D358" s="223"/>
      <c r="E358" s="332">
        <f>SUM(E348:E357)</f>
        <v>6700000</v>
      </c>
      <c r="F358" s="223"/>
      <c r="G358" s="281">
        <f>SUM(G348:G357)</f>
        <v>598000</v>
      </c>
      <c r="H358" s="223"/>
      <c r="I358" s="223"/>
      <c r="J358" s="223"/>
      <c r="K358" s="275"/>
      <c r="L358" s="275"/>
      <c r="M358" s="554" t="s">
        <v>34</v>
      </c>
      <c r="N358" s="552"/>
      <c r="O358" s="566">
        <f>G358</f>
        <v>598000</v>
      </c>
    </row>
    <row r="359" spans="1:15">
      <c r="K359" s="12"/>
      <c r="L359" s="12"/>
      <c r="M359" s="12"/>
      <c r="N359" s="12"/>
    </row>
    <row r="362" spans="1:15" ht="23.25">
      <c r="A362" s="1530" t="s">
        <v>274</v>
      </c>
      <c r="B362" s="1531"/>
      <c r="C362" s="1532"/>
      <c r="D362" s="1531"/>
      <c r="E362" s="1531"/>
      <c r="F362" s="1531"/>
      <c r="G362" s="1531"/>
      <c r="H362" s="1532"/>
      <c r="I362" s="1532"/>
      <c r="J362" s="1532"/>
      <c r="K362" s="1571" t="s">
        <v>2</v>
      </c>
      <c r="L362" s="1572"/>
      <c r="M362" s="1572"/>
      <c r="N362" s="1572"/>
      <c r="O362" s="1572"/>
    </row>
    <row r="363" spans="1:15" ht="30">
      <c r="A363" s="126" t="s">
        <v>3</v>
      </c>
      <c r="B363" s="1" t="s">
        <v>120</v>
      </c>
      <c r="C363" s="367" t="s">
        <v>4</v>
      </c>
      <c r="D363" s="1" t="s">
        <v>5</v>
      </c>
      <c r="E363" s="1" t="s">
        <v>6</v>
      </c>
      <c r="F363" s="1" t="s">
        <v>7</v>
      </c>
      <c r="G363" s="1" t="s">
        <v>8</v>
      </c>
      <c r="H363" s="361" t="s">
        <v>9</v>
      </c>
      <c r="I363" s="1" t="s">
        <v>10</v>
      </c>
      <c r="J363" s="126" t="s">
        <v>11</v>
      </c>
      <c r="K363" s="1" t="s">
        <v>12</v>
      </c>
      <c r="L363" s="1" t="s">
        <v>5</v>
      </c>
      <c r="M363" s="1" t="s">
        <v>13</v>
      </c>
      <c r="N363" s="1" t="s">
        <v>7</v>
      </c>
      <c r="O363" s="3" t="s">
        <v>14</v>
      </c>
    </row>
    <row r="364" spans="1:15" ht="15.75">
      <c r="A364" s="1556">
        <v>1</v>
      </c>
      <c r="B364" s="135">
        <v>11338</v>
      </c>
      <c r="C364" s="557">
        <v>0.1</v>
      </c>
      <c r="D364" s="136" t="s">
        <v>275</v>
      </c>
      <c r="E364" s="558">
        <v>1036000</v>
      </c>
      <c r="F364" s="497"/>
      <c r="G364" s="498"/>
      <c r="H364" s="135" t="s">
        <v>185</v>
      </c>
      <c r="I364" s="135" t="s">
        <v>100</v>
      </c>
      <c r="J364" s="136"/>
      <c r="K364" s="346">
        <v>11169</v>
      </c>
      <c r="L364" s="136" t="s">
        <v>226</v>
      </c>
      <c r="M364" s="143">
        <v>960000</v>
      </c>
      <c r="N364" s="543"/>
      <c r="O364" s="535"/>
    </row>
    <row r="365" spans="1:15" ht="15.75">
      <c r="A365" s="1552"/>
      <c r="B365" s="161"/>
      <c r="C365" s="316"/>
      <c r="D365" s="374"/>
      <c r="E365" s="295"/>
      <c r="F365" s="159"/>
      <c r="G365" s="288"/>
      <c r="H365" s="161"/>
      <c r="I365" s="161"/>
      <c r="J365" s="262"/>
      <c r="K365" s="135">
        <v>11151</v>
      </c>
      <c r="L365" s="136" t="s">
        <v>229</v>
      </c>
      <c r="M365" s="143">
        <v>1080000</v>
      </c>
      <c r="N365" s="544"/>
      <c r="O365" s="545"/>
    </row>
    <row r="366" spans="1:15" ht="15.75">
      <c r="A366" s="1552"/>
      <c r="B366" s="364"/>
      <c r="C366" s="316"/>
      <c r="D366" s="270"/>
      <c r="E366" s="295"/>
      <c r="F366" s="159"/>
      <c r="G366" s="288"/>
      <c r="H366" s="161"/>
      <c r="I366" s="161"/>
      <c r="J366" s="262"/>
      <c r="K366" s="135">
        <v>11199</v>
      </c>
      <c r="L366" s="136" t="s">
        <v>231</v>
      </c>
      <c r="M366" s="143">
        <v>1250000</v>
      </c>
      <c r="N366" s="544"/>
      <c r="O366" s="545"/>
    </row>
    <row r="367" spans="1:15" ht="15.75">
      <c r="A367" s="1552"/>
      <c r="B367" s="364"/>
      <c r="C367" s="316"/>
      <c r="D367" s="270"/>
      <c r="E367" s="295"/>
      <c r="F367" s="159"/>
      <c r="G367" s="288"/>
      <c r="H367" s="161"/>
      <c r="I367" s="161"/>
      <c r="J367" s="262"/>
      <c r="K367" s="135">
        <v>11190</v>
      </c>
      <c r="L367" s="136" t="s">
        <v>236</v>
      </c>
      <c r="M367" s="143">
        <v>1300000</v>
      </c>
      <c r="N367" s="544"/>
      <c r="O367" s="545"/>
    </row>
    <row r="368" spans="1:15" ht="15.75">
      <c r="A368" s="1552"/>
      <c r="B368" s="364"/>
      <c r="C368" s="316"/>
      <c r="D368" s="270"/>
      <c r="E368" s="295"/>
      <c r="F368" s="159"/>
      <c r="G368" s="288"/>
      <c r="H368" s="161"/>
      <c r="I368" s="161"/>
      <c r="J368" s="262"/>
      <c r="K368" s="135">
        <v>11244</v>
      </c>
      <c r="L368" s="136" t="s">
        <v>238</v>
      </c>
      <c r="M368" s="143">
        <v>1000000</v>
      </c>
      <c r="N368" s="544"/>
      <c r="O368" s="545"/>
    </row>
    <row r="369" spans="1:15" ht="15.75">
      <c r="A369" s="1552"/>
      <c r="B369" s="364"/>
      <c r="C369" s="316"/>
      <c r="D369" s="270"/>
      <c r="E369" s="295"/>
      <c r="F369" s="159"/>
      <c r="G369" s="288"/>
      <c r="H369" s="161"/>
      <c r="I369" s="161"/>
      <c r="J369" s="262"/>
      <c r="K369" s="135">
        <v>11308</v>
      </c>
      <c r="L369" s="137" t="s">
        <v>241</v>
      </c>
      <c r="M369" s="532">
        <v>1300000</v>
      </c>
      <c r="N369" s="544"/>
      <c r="O369" s="545"/>
    </row>
    <row r="370" spans="1:15" ht="15.75">
      <c r="A370" s="1552"/>
      <c r="B370" s="364"/>
      <c r="C370" s="316"/>
      <c r="D370" s="270"/>
      <c r="E370" s="295"/>
      <c r="F370" s="159"/>
      <c r="G370" s="288"/>
      <c r="H370" s="161"/>
      <c r="I370" s="161"/>
      <c r="J370" s="262"/>
      <c r="K370" s="161"/>
      <c r="L370" s="270"/>
      <c r="M370" s="288"/>
      <c r="N370" s="319"/>
      <c r="O370" s="14"/>
    </row>
    <row r="371" spans="1:15" ht="15.75">
      <c r="A371" s="1552"/>
      <c r="B371" s="364"/>
      <c r="C371" s="319"/>
      <c r="D371" s="270"/>
      <c r="E371" s="295"/>
      <c r="F371" s="159"/>
      <c r="G371" s="288"/>
      <c r="H371" s="161"/>
      <c r="I371" s="161"/>
      <c r="J371" s="262"/>
      <c r="K371" s="161"/>
      <c r="L371" s="270"/>
      <c r="M371" s="288"/>
      <c r="N371" s="319"/>
      <c r="O371" s="14"/>
    </row>
    <row r="372" spans="1:15" ht="15.75">
      <c r="A372" s="1552"/>
      <c r="B372" s="368"/>
      <c r="C372" s="316"/>
      <c r="D372" s="270"/>
      <c r="E372" s="295"/>
      <c r="F372" s="159"/>
      <c r="G372" s="288"/>
      <c r="H372" s="161"/>
      <c r="I372" s="161"/>
      <c r="J372" s="368"/>
      <c r="K372" s="161"/>
      <c r="L372" s="270"/>
      <c r="M372" s="288"/>
      <c r="N372" s="319"/>
      <c r="O372" s="31"/>
    </row>
    <row r="373" spans="1:15" ht="15.75">
      <c r="A373" s="1542"/>
      <c r="B373" s="215"/>
      <c r="C373" s="215"/>
      <c r="D373" s="214"/>
      <c r="E373" s="332">
        <f>SUM(E364:E372)</f>
        <v>1036000</v>
      </c>
      <c r="F373" s="214"/>
      <c r="G373" s="274">
        <f>SUM(G364:G372)</f>
        <v>0</v>
      </c>
      <c r="H373" s="214"/>
      <c r="I373" s="214"/>
      <c r="J373" s="214"/>
      <c r="K373" s="275"/>
      <c r="L373" s="275"/>
      <c r="M373" s="329">
        <f>SUM(M364:M372)</f>
        <v>6890000</v>
      </c>
      <c r="N373" s="304"/>
      <c r="O373" s="14"/>
    </row>
    <row r="378" spans="1:15" ht="18">
      <c r="A378" s="1535" t="s">
        <v>68</v>
      </c>
      <c r="B378" s="1535"/>
      <c r="C378" s="365"/>
      <c r="D378" s="341">
        <f>E326+E342+E358+E373</f>
        <v>34116000</v>
      </c>
    </row>
    <row r="379" spans="1:15">
      <c r="A379" s="1536" t="s">
        <v>69</v>
      </c>
      <c r="B379" s="1536"/>
      <c r="C379" s="22"/>
      <c r="D379" s="20"/>
    </row>
    <row r="380" spans="1:15">
      <c r="A380" s="1537" t="s">
        <v>70</v>
      </c>
      <c r="B380" s="1537"/>
      <c r="C380" s="101"/>
      <c r="D380" s="21"/>
    </row>
    <row r="385" spans="1:15" ht="31.5">
      <c r="A385" s="1561" t="s">
        <v>276</v>
      </c>
      <c r="B385" s="1562"/>
      <c r="C385" s="1562"/>
      <c r="D385" s="1562"/>
      <c r="E385" s="1562"/>
      <c r="F385" s="1562"/>
      <c r="G385" s="1562"/>
      <c r="H385" s="1562"/>
      <c r="I385" s="1562"/>
      <c r="J385" s="1562"/>
      <c r="K385" s="1562"/>
      <c r="L385" s="1562"/>
      <c r="M385" s="1562"/>
      <c r="N385" s="1562"/>
      <c r="O385" s="1562"/>
    </row>
    <row r="386" spans="1:15" ht="23.25">
      <c r="A386" s="1530" t="s">
        <v>1</v>
      </c>
      <c r="B386" s="1532"/>
      <c r="C386" s="1532"/>
      <c r="D386" s="1532"/>
      <c r="E386" s="1532"/>
      <c r="F386" s="1532"/>
      <c r="G386" s="1532"/>
      <c r="H386" s="1532"/>
      <c r="I386" s="1532"/>
      <c r="J386" s="1532"/>
      <c r="K386" s="1533" t="s">
        <v>2</v>
      </c>
      <c r="L386" s="1533"/>
      <c r="M386" s="1533"/>
      <c r="N386" s="1533"/>
      <c r="O386" s="1533"/>
    </row>
    <row r="387" spans="1:15" ht="30">
      <c r="A387" s="1" t="s">
        <v>3</v>
      </c>
      <c r="B387" s="1" t="s">
        <v>120</v>
      </c>
      <c r="C387" s="35" t="s">
        <v>4</v>
      </c>
      <c r="D387" s="1" t="s">
        <v>5</v>
      </c>
      <c r="E387" s="1" t="s">
        <v>6</v>
      </c>
      <c r="F387" s="1" t="s">
        <v>7</v>
      </c>
      <c r="G387" s="1" t="s">
        <v>8</v>
      </c>
      <c r="H387" s="1" t="s">
        <v>9</v>
      </c>
      <c r="I387" s="1" t="s">
        <v>10</v>
      </c>
      <c r="J387" s="3" t="s">
        <v>11</v>
      </c>
      <c r="K387" s="40" t="s">
        <v>12</v>
      </c>
      <c r="L387" s="40" t="s">
        <v>5</v>
      </c>
      <c r="M387" s="40" t="s">
        <v>13</v>
      </c>
      <c r="N387" s="129" t="s">
        <v>7</v>
      </c>
      <c r="O387" s="68" t="s">
        <v>14</v>
      </c>
    </row>
    <row r="388" spans="1:15" ht="15.75">
      <c r="A388" s="1556" t="s">
        <v>95</v>
      </c>
      <c r="B388" s="135">
        <v>11345</v>
      </c>
      <c r="C388" s="557">
        <v>0.1</v>
      </c>
      <c r="D388" s="350" t="s">
        <v>277</v>
      </c>
      <c r="E388" s="558">
        <v>1200000</v>
      </c>
      <c r="F388" s="138">
        <v>0.05</v>
      </c>
      <c r="G388" s="278">
        <f>E388*F388</f>
        <v>60000</v>
      </c>
      <c r="H388" s="135" t="s">
        <v>278</v>
      </c>
      <c r="I388" s="135" t="s">
        <v>234</v>
      </c>
      <c r="J388" s="541"/>
      <c r="K388" s="133">
        <v>11416</v>
      </c>
      <c r="L388" s="145" t="s">
        <v>279</v>
      </c>
      <c r="M388" s="195">
        <v>900000</v>
      </c>
      <c r="N388" s="547">
        <v>0.05</v>
      </c>
      <c r="O388" s="278">
        <f>M388*N388</f>
        <v>45000</v>
      </c>
    </row>
    <row r="389" spans="1:15" ht="15.75">
      <c r="A389" s="1552"/>
      <c r="B389" s="346">
        <v>11362</v>
      </c>
      <c r="C389" s="233">
        <v>0.1</v>
      </c>
      <c r="D389" s="242" t="s">
        <v>280</v>
      </c>
      <c r="E389" s="143">
        <v>1250000</v>
      </c>
      <c r="F389" s="138">
        <v>0.1</v>
      </c>
      <c r="G389" s="278">
        <f t="shared" ref="G389:G399" si="6">E389*F389</f>
        <v>125000</v>
      </c>
      <c r="H389" s="135" t="s">
        <v>180</v>
      </c>
      <c r="I389" s="135" t="s">
        <v>234</v>
      </c>
      <c r="J389" s="541"/>
      <c r="K389" s="135">
        <v>11382</v>
      </c>
      <c r="L389" s="136" t="s">
        <v>281</v>
      </c>
      <c r="M389" s="143">
        <v>1350000</v>
      </c>
      <c r="N389" s="547">
        <v>0.05</v>
      </c>
      <c r="O389" s="278">
        <f t="shared" ref="O389:O390" si="7">M389*N389</f>
        <v>67500</v>
      </c>
    </row>
    <row r="390" spans="1:15" ht="15.75">
      <c r="A390" s="1552"/>
      <c r="B390" s="135">
        <v>11396</v>
      </c>
      <c r="C390" s="233">
        <v>0.1</v>
      </c>
      <c r="D390" s="136" t="s">
        <v>282</v>
      </c>
      <c r="E390" s="143">
        <v>1200000</v>
      </c>
      <c r="F390" s="138">
        <v>0.1</v>
      </c>
      <c r="G390" s="278">
        <f t="shared" si="6"/>
        <v>120000</v>
      </c>
      <c r="H390" s="135" t="s">
        <v>180</v>
      </c>
      <c r="I390" s="135" t="s">
        <v>234</v>
      </c>
      <c r="J390" s="541"/>
      <c r="K390" s="346">
        <v>11389</v>
      </c>
      <c r="L390" s="149" t="s">
        <v>283</v>
      </c>
      <c r="M390" s="141">
        <v>1400000</v>
      </c>
      <c r="N390" s="547">
        <v>0.05</v>
      </c>
      <c r="O390" s="278">
        <f t="shared" si="7"/>
        <v>70000</v>
      </c>
    </row>
    <row r="391" spans="1:15" ht="15.75">
      <c r="A391" s="1552"/>
      <c r="B391" s="135">
        <v>11354</v>
      </c>
      <c r="C391" s="331">
        <v>0.08</v>
      </c>
      <c r="D391" s="136" t="s">
        <v>284</v>
      </c>
      <c r="E391" s="143">
        <v>870000</v>
      </c>
      <c r="F391" s="140">
        <v>0.08</v>
      </c>
      <c r="G391" s="278">
        <f t="shared" si="6"/>
        <v>69600</v>
      </c>
      <c r="H391" s="135" t="s">
        <v>180</v>
      </c>
      <c r="I391" s="135" t="s">
        <v>242</v>
      </c>
      <c r="J391" s="541"/>
      <c r="K391" s="16"/>
      <c r="L391" s="10"/>
      <c r="M391" s="57"/>
      <c r="N391" s="10"/>
      <c r="O391" s="27"/>
    </row>
    <row r="392" spans="1:15" ht="15.75">
      <c r="A392" s="1552"/>
      <c r="B392" s="135">
        <v>11403</v>
      </c>
      <c r="C392" s="233">
        <v>0.1</v>
      </c>
      <c r="D392" s="136" t="s">
        <v>285</v>
      </c>
      <c r="E392" s="143">
        <v>1500000</v>
      </c>
      <c r="F392" s="138">
        <v>0.05</v>
      </c>
      <c r="G392" s="278">
        <f t="shared" si="6"/>
        <v>75000</v>
      </c>
      <c r="H392" s="135" t="s">
        <v>286</v>
      </c>
      <c r="I392" s="135" t="s">
        <v>234</v>
      </c>
      <c r="J392" s="541"/>
      <c r="K392" s="16"/>
      <c r="L392" s="10"/>
      <c r="M392" s="57"/>
      <c r="N392" s="10"/>
      <c r="O392" s="27"/>
    </row>
    <row r="393" spans="1:15" ht="15.75">
      <c r="A393" s="1552"/>
      <c r="B393" s="135">
        <v>11397</v>
      </c>
      <c r="C393" s="233">
        <v>0.1</v>
      </c>
      <c r="D393" s="136" t="s">
        <v>287</v>
      </c>
      <c r="E393" s="143">
        <v>1050000</v>
      </c>
      <c r="F393" s="138">
        <v>0.1</v>
      </c>
      <c r="G393" s="278">
        <f t="shared" si="6"/>
        <v>105000</v>
      </c>
      <c r="H393" s="135" t="s">
        <v>288</v>
      </c>
      <c r="I393" s="135" t="s">
        <v>289</v>
      </c>
      <c r="J393" s="541"/>
      <c r="K393" s="16"/>
      <c r="L393" s="10"/>
      <c r="M393" s="57"/>
      <c r="N393" s="10"/>
      <c r="O393" s="27"/>
    </row>
    <row r="394" spans="1:15" ht="15.75">
      <c r="A394" s="1552"/>
      <c r="B394" s="488">
        <v>11446</v>
      </c>
      <c r="C394" s="233">
        <v>0.1</v>
      </c>
      <c r="D394" s="136" t="s">
        <v>290</v>
      </c>
      <c r="E394" s="143">
        <v>1000000</v>
      </c>
      <c r="F394" s="138">
        <v>0.1</v>
      </c>
      <c r="G394" s="278">
        <f t="shared" si="6"/>
        <v>100000</v>
      </c>
      <c r="H394" s="135" t="s">
        <v>288</v>
      </c>
      <c r="I394" s="135" t="s">
        <v>234</v>
      </c>
      <c r="J394" s="541"/>
      <c r="K394" s="16"/>
      <c r="L394" s="10"/>
      <c r="M394" s="57"/>
      <c r="N394" s="10"/>
      <c r="O394" s="27"/>
    </row>
    <row r="395" spans="1:15" ht="15.75">
      <c r="A395" s="1552"/>
      <c r="B395" s="135">
        <v>11510</v>
      </c>
      <c r="C395" s="233">
        <v>0.1</v>
      </c>
      <c r="D395" s="136" t="s">
        <v>291</v>
      </c>
      <c r="E395" s="143">
        <v>1150000</v>
      </c>
      <c r="F395" s="138">
        <v>0.1</v>
      </c>
      <c r="G395" s="278">
        <f t="shared" si="6"/>
        <v>115000</v>
      </c>
      <c r="H395" s="135" t="s">
        <v>288</v>
      </c>
      <c r="I395" s="135" t="s">
        <v>128</v>
      </c>
      <c r="J395" s="541"/>
      <c r="K395" s="16"/>
      <c r="L395" s="10"/>
      <c r="M395" s="57"/>
      <c r="N395" s="10"/>
      <c r="O395" s="27"/>
    </row>
    <row r="396" spans="1:15" ht="15.75">
      <c r="A396" s="1552"/>
      <c r="B396" s="135">
        <v>11498</v>
      </c>
      <c r="C396" s="233">
        <v>0.1</v>
      </c>
      <c r="D396" s="136" t="s">
        <v>292</v>
      </c>
      <c r="E396" s="143">
        <v>650000</v>
      </c>
      <c r="F396" s="138">
        <v>0.05</v>
      </c>
      <c r="G396" s="278">
        <f t="shared" si="6"/>
        <v>32500</v>
      </c>
      <c r="H396" s="135" t="s">
        <v>293</v>
      </c>
      <c r="I396" s="135" t="s">
        <v>234</v>
      </c>
      <c r="J396" s="541"/>
      <c r="K396" s="16"/>
      <c r="L396" s="10"/>
      <c r="M396" s="57"/>
      <c r="N396" s="10"/>
      <c r="O396" s="27"/>
    </row>
    <row r="397" spans="1:15" ht="15.75">
      <c r="A397" s="1552"/>
      <c r="B397" s="135">
        <v>11515</v>
      </c>
      <c r="C397" s="233">
        <v>0.1</v>
      </c>
      <c r="D397" s="136" t="s">
        <v>294</v>
      </c>
      <c r="E397" s="143">
        <v>1200000</v>
      </c>
      <c r="F397" s="138">
        <v>0.1</v>
      </c>
      <c r="G397" s="278">
        <f t="shared" si="6"/>
        <v>120000</v>
      </c>
      <c r="H397" s="135" t="s">
        <v>288</v>
      </c>
      <c r="I397" s="135" t="s">
        <v>234</v>
      </c>
      <c r="J397" s="541"/>
      <c r="K397" s="16"/>
      <c r="L397" s="10"/>
      <c r="M397" s="57"/>
      <c r="N397" s="10"/>
      <c r="O397" s="27"/>
    </row>
    <row r="398" spans="1:15" ht="15.75">
      <c r="A398" s="1552"/>
      <c r="B398" s="135">
        <v>11504</v>
      </c>
      <c r="C398" s="233">
        <v>0.1</v>
      </c>
      <c r="D398" s="136" t="s">
        <v>295</v>
      </c>
      <c r="E398" s="143">
        <v>650000</v>
      </c>
      <c r="F398" s="138">
        <v>0.05</v>
      </c>
      <c r="G398" s="278">
        <f t="shared" si="6"/>
        <v>32500</v>
      </c>
      <c r="H398" s="135" t="s">
        <v>293</v>
      </c>
      <c r="I398" s="135" t="s">
        <v>234</v>
      </c>
      <c r="J398" s="541"/>
      <c r="K398" s="16"/>
      <c r="L398" s="10"/>
      <c r="M398" s="57"/>
      <c r="N398" s="10"/>
      <c r="O398" s="27"/>
    </row>
    <row r="399" spans="1:15" ht="15.75">
      <c r="A399" s="1552"/>
      <c r="B399" s="135">
        <v>11516</v>
      </c>
      <c r="C399" s="233">
        <v>0.1</v>
      </c>
      <c r="D399" s="350" t="s">
        <v>296</v>
      </c>
      <c r="E399" s="143">
        <v>650000</v>
      </c>
      <c r="F399" s="138">
        <v>0.1</v>
      </c>
      <c r="G399" s="278">
        <f t="shared" si="6"/>
        <v>65000</v>
      </c>
      <c r="H399" s="135" t="s">
        <v>288</v>
      </c>
      <c r="I399" s="135" t="s">
        <v>289</v>
      </c>
      <c r="J399" s="541"/>
      <c r="K399" s="16"/>
      <c r="L399" s="10"/>
      <c r="M399" s="57"/>
      <c r="N399" s="10"/>
      <c r="O399" s="27"/>
    </row>
    <row r="400" spans="1:15" ht="15.75">
      <c r="A400" s="1552"/>
      <c r="B400" s="211" t="s">
        <v>297</v>
      </c>
      <c r="C400" s="267"/>
      <c r="D400" s="277" t="s">
        <v>298</v>
      </c>
      <c r="E400" s="308"/>
      <c r="F400" s="220"/>
      <c r="G400" s="268"/>
      <c r="H400" s="211" t="s">
        <v>288</v>
      </c>
      <c r="I400" s="211" t="s">
        <v>234</v>
      </c>
      <c r="J400" s="573" t="s">
        <v>299</v>
      </c>
      <c r="K400" s="16"/>
      <c r="L400" s="10"/>
      <c r="M400" s="57"/>
      <c r="N400" s="10"/>
      <c r="O400" s="27"/>
    </row>
    <row r="401" spans="1:15" ht="15.75">
      <c r="A401" s="1552"/>
      <c r="B401" s="211" t="s">
        <v>297</v>
      </c>
      <c r="C401" s="267"/>
      <c r="D401" s="277" t="s">
        <v>300</v>
      </c>
      <c r="E401" s="308"/>
      <c r="F401" s="220"/>
      <c r="G401" s="268"/>
      <c r="H401" s="211"/>
      <c r="I401" s="211" t="s">
        <v>242</v>
      </c>
      <c r="J401" s="573" t="s">
        <v>301</v>
      </c>
      <c r="K401" s="16"/>
      <c r="L401" s="10"/>
      <c r="M401" s="57"/>
      <c r="N401" s="10"/>
      <c r="O401" s="27"/>
    </row>
    <row r="402" spans="1:15" ht="15.75">
      <c r="A402" s="1552"/>
      <c r="B402" s="211" t="s">
        <v>257</v>
      </c>
      <c r="C402" s="267"/>
      <c r="D402" s="277" t="s">
        <v>302</v>
      </c>
      <c r="E402" s="308"/>
      <c r="F402" s="220"/>
      <c r="G402" s="268"/>
      <c r="H402" s="211" t="s">
        <v>185</v>
      </c>
      <c r="I402" s="211" t="s">
        <v>242</v>
      </c>
      <c r="J402" s="573" t="s">
        <v>257</v>
      </c>
      <c r="K402" s="16"/>
      <c r="L402" s="10"/>
      <c r="M402" s="57"/>
      <c r="N402" s="10"/>
      <c r="O402" s="27"/>
    </row>
    <row r="403" spans="1:15" ht="15.75">
      <c r="A403" s="1552"/>
      <c r="B403" s="205"/>
      <c r="C403" s="515"/>
      <c r="D403" s="156"/>
      <c r="E403" s="516"/>
      <c r="F403" s="513"/>
      <c r="G403" s="514"/>
      <c r="H403" s="517"/>
      <c r="I403" s="205"/>
      <c r="J403" s="4"/>
      <c r="K403" s="518"/>
      <c r="L403" s="36"/>
      <c r="M403" s="603" t="s">
        <v>34</v>
      </c>
      <c r="N403" s="57"/>
      <c r="O403" s="550">
        <f>SUM(O388:O402)</f>
        <v>182500</v>
      </c>
    </row>
    <row r="404" spans="1:15" ht="15.75">
      <c r="A404" s="1542"/>
      <c r="B404" s="7"/>
      <c r="C404" s="7"/>
      <c r="D404" s="42"/>
      <c r="E404" s="332">
        <f>SUM(E388:E403)</f>
        <v>12370000</v>
      </c>
      <c r="F404" s="42"/>
      <c r="G404" s="281">
        <f>SUM(G388:G403)</f>
        <v>1019600</v>
      </c>
      <c r="H404" s="42"/>
      <c r="I404" s="519"/>
      <c r="J404" s="520"/>
      <c r="K404" s="11"/>
      <c r="L404" s="11"/>
      <c r="M404" s="600" t="s">
        <v>34</v>
      </c>
      <c r="N404" s="601"/>
      <c r="O404" s="169">
        <f>G404+O403</f>
        <v>1202100</v>
      </c>
    </row>
    <row r="408" spans="1:15" ht="23.25">
      <c r="A408" s="1564" t="s">
        <v>138</v>
      </c>
      <c r="B408" s="1564"/>
      <c r="C408" s="1564"/>
      <c r="D408" s="1564"/>
      <c r="E408" s="1564"/>
      <c r="F408" s="1564"/>
      <c r="G408" s="1564"/>
      <c r="H408" s="1564"/>
      <c r="I408" s="1564"/>
      <c r="J408" s="1565"/>
      <c r="K408" s="1557" t="s">
        <v>2</v>
      </c>
      <c r="L408" s="1557"/>
      <c r="M408" s="1557"/>
      <c r="N408" s="1557"/>
      <c r="O408" s="1557"/>
    </row>
    <row r="409" spans="1:15" ht="30">
      <c r="A409" s="68" t="s">
        <v>3</v>
      </c>
      <c r="B409" s="68" t="s">
        <v>120</v>
      </c>
      <c r="C409" s="125" t="s">
        <v>4</v>
      </c>
      <c r="D409" s="68" t="s">
        <v>5</v>
      </c>
      <c r="E409" s="68" t="s">
        <v>6</v>
      </c>
      <c r="F409" s="68" t="s">
        <v>7</v>
      </c>
      <c r="G409" s="68" t="s">
        <v>8</v>
      </c>
      <c r="H409" s="68" t="s">
        <v>9</v>
      </c>
      <c r="I409" s="68" t="s">
        <v>10</v>
      </c>
      <c r="J409" s="68" t="s">
        <v>11</v>
      </c>
      <c r="K409" s="68" t="s">
        <v>12</v>
      </c>
      <c r="L409" s="68" t="s">
        <v>5</v>
      </c>
      <c r="M409" s="68" t="s">
        <v>13</v>
      </c>
      <c r="N409" s="129" t="s">
        <v>7</v>
      </c>
      <c r="O409" s="40" t="s">
        <v>14</v>
      </c>
    </row>
    <row r="410" spans="1:15" ht="15.75">
      <c r="A410" s="1556" t="s">
        <v>95</v>
      </c>
      <c r="B410" s="135">
        <v>11378</v>
      </c>
      <c r="C410" s="148">
        <v>0.1</v>
      </c>
      <c r="D410" s="149" t="s">
        <v>303</v>
      </c>
      <c r="E410" s="141">
        <v>1300000</v>
      </c>
      <c r="F410" s="148">
        <v>0.1</v>
      </c>
      <c r="G410" s="335">
        <f>E410*F410</f>
        <v>130000</v>
      </c>
      <c r="H410" s="147" t="s">
        <v>286</v>
      </c>
      <c r="I410" s="147" t="s">
        <v>234</v>
      </c>
      <c r="J410" s="596"/>
      <c r="K410" s="135">
        <v>11403</v>
      </c>
      <c r="L410" s="136" t="s">
        <v>285</v>
      </c>
      <c r="M410" s="143">
        <v>1500000</v>
      </c>
      <c r="N410" s="534">
        <v>0.05</v>
      </c>
      <c r="O410" s="535">
        <f>M410*N410</f>
        <v>75000</v>
      </c>
    </row>
    <row r="411" spans="1:15" ht="15.75">
      <c r="A411" s="1552"/>
      <c r="B411" s="346">
        <v>11404</v>
      </c>
      <c r="C411" s="148">
        <v>0.1</v>
      </c>
      <c r="D411" s="149" t="s">
        <v>304</v>
      </c>
      <c r="E411" s="141">
        <v>1200000</v>
      </c>
      <c r="F411" s="148">
        <v>0.05</v>
      </c>
      <c r="G411" s="335">
        <f t="shared" ref="G411:G417" si="8">E411*F411</f>
        <v>60000</v>
      </c>
      <c r="H411" s="147" t="s">
        <v>305</v>
      </c>
      <c r="I411" s="147" t="s">
        <v>234</v>
      </c>
      <c r="J411" s="596"/>
      <c r="K411" s="9"/>
      <c r="L411" s="17"/>
      <c r="M411" s="43"/>
      <c r="N411" s="370"/>
      <c r="O411" s="286"/>
    </row>
    <row r="412" spans="1:15" ht="15.75">
      <c r="A412" s="1552"/>
      <c r="B412" s="346">
        <v>11370</v>
      </c>
      <c r="C412" s="148">
        <v>0.1</v>
      </c>
      <c r="D412" s="149" t="s">
        <v>306</v>
      </c>
      <c r="E412" s="141">
        <v>1100000</v>
      </c>
      <c r="F412" s="148">
        <v>0.1</v>
      </c>
      <c r="G412" s="335">
        <f t="shared" si="8"/>
        <v>110000</v>
      </c>
      <c r="H412" s="147" t="s">
        <v>187</v>
      </c>
      <c r="I412" s="147" t="s">
        <v>307</v>
      </c>
      <c r="J412" s="596"/>
      <c r="K412" s="9"/>
      <c r="L412" s="17"/>
      <c r="M412" s="43"/>
      <c r="N412" s="370"/>
      <c r="O412" s="14"/>
    </row>
    <row r="413" spans="1:15" ht="15.75">
      <c r="A413" s="1552"/>
      <c r="B413" s="346">
        <v>11389</v>
      </c>
      <c r="C413" s="148">
        <v>0.1</v>
      </c>
      <c r="D413" s="149" t="s">
        <v>283</v>
      </c>
      <c r="E413" s="141">
        <v>1400000</v>
      </c>
      <c r="F413" s="148">
        <v>0.05</v>
      </c>
      <c r="G413" s="335">
        <f t="shared" si="8"/>
        <v>70000</v>
      </c>
      <c r="H413" s="147" t="s">
        <v>180</v>
      </c>
      <c r="I413" s="147" t="s">
        <v>234</v>
      </c>
      <c r="J413" s="596"/>
      <c r="K413" s="9"/>
      <c r="L413" s="17"/>
      <c r="M413" s="43"/>
      <c r="N413" s="370"/>
      <c r="O413" s="14"/>
    </row>
    <row r="414" spans="1:15" ht="15.75">
      <c r="A414" s="1552"/>
      <c r="B414" s="488">
        <v>11437</v>
      </c>
      <c r="C414" s="148">
        <v>0.1</v>
      </c>
      <c r="D414" s="149" t="s">
        <v>308</v>
      </c>
      <c r="E414" s="141">
        <v>800000</v>
      </c>
      <c r="F414" s="148">
        <v>0.1</v>
      </c>
      <c r="G414" s="335">
        <f t="shared" si="8"/>
        <v>80000</v>
      </c>
      <c r="H414" s="147" t="s">
        <v>187</v>
      </c>
      <c r="I414" s="147" t="s">
        <v>234</v>
      </c>
      <c r="J414" s="528"/>
      <c r="K414" s="9"/>
      <c r="L414" s="17"/>
      <c r="M414" s="43"/>
      <c r="N414" s="370"/>
      <c r="O414" s="14"/>
    </row>
    <row r="415" spans="1:15" ht="15.75">
      <c r="A415" s="1552"/>
      <c r="B415" s="346">
        <v>11454</v>
      </c>
      <c r="C415" s="148">
        <v>0.1</v>
      </c>
      <c r="D415" s="149" t="s">
        <v>309</v>
      </c>
      <c r="E415" s="141">
        <v>1300000</v>
      </c>
      <c r="F415" s="148">
        <v>0.1</v>
      </c>
      <c r="G415" s="335">
        <f t="shared" si="8"/>
        <v>130000</v>
      </c>
      <c r="H415" s="147" t="s">
        <v>187</v>
      </c>
      <c r="I415" s="147" t="s">
        <v>234</v>
      </c>
      <c r="J415" s="596"/>
      <c r="K415" s="9"/>
      <c r="L415" s="17"/>
      <c r="M415" s="43"/>
      <c r="N415" s="370"/>
      <c r="O415" s="14"/>
    </row>
    <row r="416" spans="1:15" ht="15.75">
      <c r="A416" s="1552"/>
      <c r="B416" s="346">
        <v>11455</v>
      </c>
      <c r="C416" s="148">
        <v>0.1</v>
      </c>
      <c r="D416" s="149" t="s">
        <v>310</v>
      </c>
      <c r="E416" s="141">
        <v>1100000</v>
      </c>
      <c r="F416" s="148">
        <v>0.05</v>
      </c>
      <c r="G416" s="335">
        <f t="shared" si="8"/>
        <v>55000</v>
      </c>
      <c r="H416" s="147" t="s">
        <v>311</v>
      </c>
      <c r="I416" s="147" t="s">
        <v>289</v>
      </c>
      <c r="J416" s="596"/>
      <c r="K416" s="9"/>
      <c r="L416" s="17"/>
      <c r="M416" s="43"/>
      <c r="N416" s="370"/>
      <c r="O416" s="14"/>
    </row>
    <row r="417" spans="1:15" ht="15.75">
      <c r="A417" s="1552"/>
      <c r="B417" s="346">
        <v>11478</v>
      </c>
      <c r="C417" s="148">
        <v>0.1</v>
      </c>
      <c r="D417" s="149" t="s">
        <v>312</v>
      </c>
      <c r="E417" s="141">
        <v>1200000</v>
      </c>
      <c r="F417" s="148">
        <v>0.06</v>
      </c>
      <c r="G417" s="335">
        <f t="shared" si="8"/>
        <v>72000</v>
      </c>
      <c r="H417" s="147" t="s">
        <v>185</v>
      </c>
      <c r="I417" s="147" t="s">
        <v>234</v>
      </c>
      <c r="J417" s="596"/>
      <c r="K417" s="9"/>
      <c r="L417" s="17"/>
      <c r="M417" s="43"/>
      <c r="N417" s="370"/>
      <c r="O417" s="14"/>
    </row>
    <row r="418" spans="1:15" ht="15.75">
      <c r="A418" s="1552"/>
      <c r="B418" s="205"/>
      <c r="C418" s="290"/>
      <c r="D418" s="206"/>
      <c r="E418" s="291"/>
      <c r="F418" s="290"/>
      <c r="G418" s="307"/>
      <c r="H418" s="73"/>
      <c r="I418" s="73"/>
      <c r="J418" s="4"/>
      <c r="K418" s="9"/>
      <c r="L418" s="17"/>
      <c r="M418" s="599" t="s">
        <v>34</v>
      </c>
      <c r="N418" s="370"/>
      <c r="O418" s="536">
        <f>SUM(O410:O417)</f>
        <v>75000</v>
      </c>
    </row>
    <row r="419" spans="1:15" ht="15.75">
      <c r="A419" s="1542"/>
      <c r="B419" s="7"/>
      <c r="C419" s="7"/>
      <c r="D419" s="42"/>
      <c r="E419" s="332">
        <f>SUM(E410:E418)</f>
        <v>9400000</v>
      </c>
      <c r="F419" s="42"/>
      <c r="G419" s="281">
        <f>SUM(G410:G418)</f>
        <v>707000</v>
      </c>
      <c r="H419" s="42"/>
      <c r="I419" s="42"/>
      <c r="J419" s="42"/>
      <c r="K419" s="11"/>
      <c r="L419" s="11"/>
      <c r="M419" s="600" t="s">
        <v>34</v>
      </c>
      <c r="N419" s="601"/>
      <c r="O419" s="602">
        <f>G419+O418</f>
        <v>782000</v>
      </c>
    </row>
    <row r="423" spans="1:15" ht="23.25">
      <c r="A423" s="1530" t="s">
        <v>56</v>
      </c>
      <c r="B423" s="1531"/>
      <c r="C423" s="1532"/>
      <c r="D423" s="1531"/>
      <c r="E423" s="1531"/>
      <c r="F423" s="1531"/>
      <c r="G423" s="1531"/>
      <c r="H423" s="1532"/>
      <c r="I423" s="1532"/>
      <c r="J423" s="1532"/>
      <c r="K423" s="1533" t="s">
        <v>2</v>
      </c>
      <c r="L423" s="1533"/>
      <c r="M423" s="1533"/>
      <c r="N423" s="1533"/>
      <c r="O423" s="1533"/>
    </row>
    <row r="424" spans="1:15" ht="30">
      <c r="A424" s="126" t="s">
        <v>3</v>
      </c>
      <c r="B424" s="1" t="s">
        <v>120</v>
      </c>
      <c r="C424" s="367" t="s">
        <v>4</v>
      </c>
      <c r="D424" s="1" t="s">
        <v>5</v>
      </c>
      <c r="E424" s="1" t="s">
        <v>6</v>
      </c>
      <c r="F424" s="1" t="s">
        <v>7</v>
      </c>
      <c r="G424" s="1" t="s">
        <v>8</v>
      </c>
      <c r="H424" s="361" t="s">
        <v>9</v>
      </c>
      <c r="I424" s="1" t="s">
        <v>10</v>
      </c>
      <c r="J424" s="126" t="s">
        <v>11</v>
      </c>
      <c r="K424" s="3" t="s">
        <v>12</v>
      </c>
      <c r="L424" s="3" t="s">
        <v>5</v>
      </c>
      <c r="M424" s="3" t="s">
        <v>13</v>
      </c>
      <c r="N424" s="3" t="s">
        <v>7</v>
      </c>
      <c r="O424" s="3" t="s">
        <v>14</v>
      </c>
    </row>
    <row r="425" spans="1:15" ht="15.75">
      <c r="A425" s="1552" t="s">
        <v>248</v>
      </c>
      <c r="B425" s="346">
        <v>11359</v>
      </c>
      <c r="C425" s="233">
        <v>0.1</v>
      </c>
      <c r="D425" s="136" t="s">
        <v>313</v>
      </c>
      <c r="E425" s="143">
        <v>680000</v>
      </c>
      <c r="F425" s="138">
        <v>0.1</v>
      </c>
      <c r="G425" s="278">
        <f>E425*F425</f>
        <v>68000</v>
      </c>
      <c r="H425" s="135" t="s">
        <v>305</v>
      </c>
      <c r="I425" s="135" t="s">
        <v>128</v>
      </c>
      <c r="J425" s="136"/>
      <c r="K425" s="135">
        <v>11345</v>
      </c>
      <c r="L425" s="350" t="s">
        <v>277</v>
      </c>
      <c r="M425" s="558">
        <v>1200000</v>
      </c>
      <c r="N425" s="231">
        <v>0.05</v>
      </c>
      <c r="O425" s="278">
        <f>M425*N425</f>
        <v>60000</v>
      </c>
    </row>
    <row r="426" spans="1:15" ht="15.75">
      <c r="A426" s="1552"/>
      <c r="B426" s="135">
        <v>11400</v>
      </c>
      <c r="C426" s="233">
        <v>0.1</v>
      </c>
      <c r="D426" s="136" t="s">
        <v>314</v>
      </c>
      <c r="E426" s="143">
        <v>1200000</v>
      </c>
      <c r="F426" s="138">
        <v>0.06</v>
      </c>
      <c r="G426" s="278">
        <f t="shared" ref="G426:G431" si="9">E426*F426</f>
        <v>72000</v>
      </c>
      <c r="H426" s="135" t="s">
        <v>185</v>
      </c>
      <c r="I426" s="135" t="s">
        <v>234</v>
      </c>
      <c r="J426" s="136"/>
      <c r="K426" s="346">
        <v>11404</v>
      </c>
      <c r="L426" s="149" t="s">
        <v>304</v>
      </c>
      <c r="M426" s="141">
        <v>1200000</v>
      </c>
      <c r="N426" s="231">
        <v>0.05</v>
      </c>
      <c r="O426" s="278">
        <f t="shared" ref="O426:O427" si="10">M426*N426</f>
        <v>60000</v>
      </c>
    </row>
    <row r="427" spans="1:15" ht="15.75">
      <c r="A427" s="1552"/>
      <c r="B427" s="135">
        <v>11349</v>
      </c>
      <c r="C427" s="233">
        <v>0.1</v>
      </c>
      <c r="D427" s="136" t="s">
        <v>315</v>
      </c>
      <c r="E427" s="143">
        <v>900000</v>
      </c>
      <c r="F427" s="138">
        <v>0.1</v>
      </c>
      <c r="G427" s="278">
        <f t="shared" si="9"/>
        <v>90000</v>
      </c>
      <c r="H427" s="135" t="s">
        <v>305</v>
      </c>
      <c r="I427" s="135" t="s">
        <v>242</v>
      </c>
      <c r="J427" s="136"/>
      <c r="K427" s="346">
        <v>11455</v>
      </c>
      <c r="L427" s="149" t="s">
        <v>310</v>
      </c>
      <c r="M427" s="141">
        <v>1100000</v>
      </c>
      <c r="N427" s="231">
        <v>0.05</v>
      </c>
      <c r="O427" s="278">
        <f t="shared" si="10"/>
        <v>55000</v>
      </c>
    </row>
    <row r="428" spans="1:15" ht="15.75">
      <c r="A428" s="1552"/>
      <c r="B428" s="135">
        <v>11408</v>
      </c>
      <c r="C428" s="233">
        <v>0.1</v>
      </c>
      <c r="D428" s="136" t="s">
        <v>316</v>
      </c>
      <c r="E428" s="143">
        <v>900000</v>
      </c>
      <c r="F428" s="138">
        <v>0.1</v>
      </c>
      <c r="G428" s="278">
        <f t="shared" si="9"/>
        <v>90000</v>
      </c>
      <c r="H428" s="135" t="s">
        <v>278</v>
      </c>
      <c r="I428" s="135" t="s">
        <v>307</v>
      </c>
      <c r="J428" s="136"/>
      <c r="K428" s="161"/>
      <c r="L428" s="270"/>
      <c r="M428" s="372"/>
      <c r="N428" s="319"/>
      <c r="O428" s="14"/>
    </row>
    <row r="429" spans="1:15" ht="15.75">
      <c r="A429" s="1552"/>
      <c r="B429" s="135">
        <v>11382</v>
      </c>
      <c r="C429" s="233">
        <v>0.1</v>
      </c>
      <c r="D429" s="136" t="s">
        <v>281</v>
      </c>
      <c r="E429" s="143">
        <v>1350000</v>
      </c>
      <c r="F429" s="138">
        <v>0.05</v>
      </c>
      <c r="G429" s="278">
        <f t="shared" si="9"/>
        <v>67500</v>
      </c>
      <c r="H429" s="135" t="s">
        <v>180</v>
      </c>
      <c r="I429" s="135" t="s">
        <v>234</v>
      </c>
      <c r="J429" s="136"/>
      <c r="K429" s="161"/>
      <c r="L429" s="270"/>
      <c r="M429" s="372"/>
      <c r="N429" s="319"/>
      <c r="O429" s="14"/>
    </row>
    <row r="430" spans="1:15" ht="15.75">
      <c r="A430" s="1552"/>
      <c r="B430" s="135">
        <v>11482</v>
      </c>
      <c r="C430" s="233">
        <v>0.1</v>
      </c>
      <c r="D430" s="136" t="s">
        <v>317</v>
      </c>
      <c r="E430" s="143">
        <v>750000</v>
      </c>
      <c r="F430" s="138">
        <v>0.1</v>
      </c>
      <c r="G430" s="278">
        <f t="shared" si="9"/>
        <v>75000</v>
      </c>
      <c r="H430" s="135" t="s">
        <v>318</v>
      </c>
      <c r="I430" s="135" t="s">
        <v>234</v>
      </c>
      <c r="J430" s="136"/>
      <c r="K430" s="161"/>
      <c r="L430" s="270"/>
      <c r="M430" s="372"/>
      <c r="N430" s="319"/>
      <c r="O430" s="14"/>
    </row>
    <row r="431" spans="1:15" ht="15.75">
      <c r="A431" s="1552"/>
      <c r="B431" s="135">
        <v>11486</v>
      </c>
      <c r="C431" s="233">
        <v>0.1</v>
      </c>
      <c r="D431" s="136" t="s">
        <v>319</v>
      </c>
      <c r="E431" s="143">
        <v>700000</v>
      </c>
      <c r="F431" s="138">
        <v>0.1</v>
      </c>
      <c r="G431" s="278">
        <f t="shared" si="9"/>
        <v>70000</v>
      </c>
      <c r="H431" s="135" t="s">
        <v>318</v>
      </c>
      <c r="I431" s="135" t="s">
        <v>234</v>
      </c>
      <c r="J431" s="136"/>
      <c r="K431" s="161"/>
      <c r="L431" s="270"/>
      <c r="M431" s="372"/>
      <c r="N431" s="319"/>
      <c r="O431" s="14"/>
    </row>
    <row r="432" spans="1:15" ht="15.75">
      <c r="A432" s="1552"/>
      <c r="B432" s="211" t="s">
        <v>297</v>
      </c>
      <c r="C432" s="267"/>
      <c r="D432" s="277" t="s">
        <v>320</v>
      </c>
      <c r="E432" s="308"/>
      <c r="F432" s="220"/>
      <c r="G432" s="268"/>
      <c r="H432" s="211"/>
      <c r="I432" s="211"/>
      <c r="J432" s="277" t="s">
        <v>321</v>
      </c>
      <c r="K432" s="161"/>
      <c r="L432" s="270"/>
      <c r="M432" s="372"/>
      <c r="N432" s="319"/>
      <c r="O432" s="14"/>
    </row>
    <row r="433" spans="1:15" ht="15.75">
      <c r="A433" s="1552"/>
      <c r="B433" s="211" t="s">
        <v>257</v>
      </c>
      <c r="C433" s="267"/>
      <c r="D433" s="277" t="s">
        <v>322</v>
      </c>
      <c r="E433" s="308"/>
      <c r="F433" s="220"/>
      <c r="G433" s="268"/>
      <c r="H433" s="211"/>
      <c r="I433" s="211"/>
      <c r="J433" s="277" t="s">
        <v>257</v>
      </c>
      <c r="K433" s="161"/>
      <c r="L433" s="270"/>
      <c r="M433" s="372"/>
      <c r="N433" s="319"/>
      <c r="O433" s="14"/>
    </row>
    <row r="434" spans="1:15" ht="15.75">
      <c r="A434" s="1552"/>
      <c r="B434" s="211" t="s">
        <v>257</v>
      </c>
      <c r="C434" s="267"/>
      <c r="D434" s="277" t="s">
        <v>323</v>
      </c>
      <c r="E434" s="308"/>
      <c r="F434" s="220"/>
      <c r="G434" s="268"/>
      <c r="H434" s="211"/>
      <c r="I434" s="211"/>
      <c r="J434" s="277" t="s">
        <v>257</v>
      </c>
      <c r="K434" s="161"/>
      <c r="L434" s="270"/>
      <c r="M434" s="372"/>
      <c r="N434" s="319"/>
      <c r="O434" s="14"/>
    </row>
    <row r="435" spans="1:15" ht="15.75">
      <c r="A435" s="1552"/>
      <c r="B435" s="512"/>
      <c r="C435" s="521"/>
      <c r="D435" s="287"/>
      <c r="E435" s="509"/>
      <c r="F435" s="510"/>
      <c r="G435" s="511"/>
      <c r="H435" s="205"/>
      <c r="I435" s="205"/>
      <c r="J435" s="287"/>
      <c r="K435" s="161"/>
      <c r="L435" s="270"/>
      <c r="M435" s="597" t="s">
        <v>34</v>
      </c>
      <c r="N435" s="319"/>
      <c r="O435" s="594">
        <f>SUM(O425:O434)</f>
        <v>175000</v>
      </c>
    </row>
    <row r="436" spans="1:15" ht="15.75">
      <c r="A436" s="1542"/>
      <c r="B436" s="213"/>
      <c r="C436" s="213"/>
      <c r="D436" s="223"/>
      <c r="E436" s="332">
        <f>SUM(E425:E435)</f>
        <v>6480000</v>
      </c>
      <c r="F436" s="223"/>
      <c r="G436" s="281">
        <f>SUM(G425:G435)</f>
        <v>532500</v>
      </c>
      <c r="H436" s="223"/>
      <c r="I436" s="223"/>
      <c r="J436" s="223"/>
      <c r="K436" s="275"/>
      <c r="L436" s="275"/>
      <c r="M436" s="598" t="s">
        <v>34</v>
      </c>
      <c r="N436" s="464"/>
      <c r="O436" s="595">
        <f>G436+O435</f>
        <v>707500</v>
      </c>
    </row>
    <row r="437" spans="1:15" ht="15.75">
      <c r="M437" s="373"/>
    </row>
    <row r="440" spans="1:15" ht="23.25">
      <c r="A440" s="1530" t="s">
        <v>274</v>
      </c>
      <c r="B440" s="1531"/>
      <c r="C440" s="1532"/>
      <c r="D440" s="1531"/>
      <c r="E440" s="1531"/>
      <c r="F440" s="1531"/>
      <c r="G440" s="1531"/>
      <c r="H440" s="1532"/>
      <c r="I440" s="1532"/>
      <c r="J440" s="1532"/>
      <c r="K440" s="1571" t="s">
        <v>2</v>
      </c>
      <c r="L440" s="1572"/>
      <c r="M440" s="1572"/>
      <c r="N440" s="1572"/>
      <c r="O440" s="1572"/>
    </row>
    <row r="441" spans="1:15" ht="30">
      <c r="A441" s="126" t="s">
        <v>3</v>
      </c>
      <c r="B441" s="1" t="s">
        <v>120</v>
      </c>
      <c r="C441" s="367" t="s">
        <v>4</v>
      </c>
      <c r="D441" s="1" t="s">
        <v>5</v>
      </c>
      <c r="E441" s="1" t="s">
        <v>6</v>
      </c>
      <c r="F441" s="1" t="s">
        <v>7</v>
      </c>
      <c r="G441" s="1" t="s">
        <v>8</v>
      </c>
      <c r="H441" s="361" t="s">
        <v>9</v>
      </c>
      <c r="I441" s="1" t="s">
        <v>10</v>
      </c>
      <c r="J441" s="126" t="s">
        <v>11</v>
      </c>
      <c r="K441" s="1" t="s">
        <v>12</v>
      </c>
      <c r="L441" s="1" t="s">
        <v>5</v>
      </c>
      <c r="M441" s="1" t="s">
        <v>13</v>
      </c>
      <c r="N441" s="1" t="s">
        <v>7</v>
      </c>
      <c r="O441" s="3" t="s">
        <v>14</v>
      </c>
    </row>
    <row r="442" spans="1:15" ht="15.75">
      <c r="A442" s="1553">
        <v>3</v>
      </c>
      <c r="B442" s="346">
        <v>11374</v>
      </c>
      <c r="C442" s="576">
        <v>0.1</v>
      </c>
      <c r="D442" s="136" t="s">
        <v>324</v>
      </c>
      <c r="E442" s="143">
        <v>1060000</v>
      </c>
      <c r="F442" s="497"/>
      <c r="G442" s="498"/>
      <c r="H442" s="135" t="s">
        <v>185</v>
      </c>
      <c r="I442" s="135" t="s">
        <v>234</v>
      </c>
      <c r="J442" s="136"/>
      <c r="K442" s="161"/>
      <c r="L442" s="608"/>
      <c r="M442" s="288"/>
      <c r="N442" s="366"/>
      <c r="O442" s="371"/>
    </row>
    <row r="443" spans="1:15" ht="15.75">
      <c r="A443" s="1552"/>
      <c r="B443" s="571"/>
      <c r="C443" s="508"/>
      <c r="D443" s="287"/>
      <c r="E443" s="509"/>
      <c r="F443" s="510"/>
      <c r="G443" s="511"/>
      <c r="H443" s="205"/>
      <c r="I443" s="205"/>
      <c r="J443" s="262"/>
      <c r="K443" s="346">
        <v>11478</v>
      </c>
      <c r="L443" s="149" t="s">
        <v>325</v>
      </c>
      <c r="M443" s="141">
        <v>1200000</v>
      </c>
      <c r="N443" s="544"/>
      <c r="O443" s="278"/>
    </row>
    <row r="444" spans="1:15" ht="15.75">
      <c r="A444" s="1552"/>
      <c r="B444" s="523"/>
      <c r="C444" s="524"/>
      <c r="D444" s="525"/>
      <c r="E444" s="526"/>
      <c r="F444" s="527"/>
      <c r="G444" s="522"/>
      <c r="H444" s="523"/>
      <c r="I444" s="523"/>
      <c r="J444" s="262"/>
      <c r="K444" s="135">
        <v>11400</v>
      </c>
      <c r="L444" s="136" t="s">
        <v>314</v>
      </c>
      <c r="M444" s="143">
        <v>1200000</v>
      </c>
      <c r="N444" s="544"/>
      <c r="O444" s="545"/>
    </row>
    <row r="445" spans="1:15" ht="15.75">
      <c r="A445" s="1552"/>
      <c r="B445" s="364"/>
      <c r="C445" s="316"/>
      <c r="D445" s="270"/>
      <c r="E445" s="295"/>
      <c r="F445" s="159"/>
      <c r="G445" s="288"/>
      <c r="H445" s="161"/>
      <c r="I445" s="161"/>
      <c r="J445" s="262"/>
      <c r="K445" s="161"/>
      <c r="L445" s="270"/>
      <c r="M445" s="288"/>
      <c r="N445" s="319"/>
      <c r="O445" s="14"/>
    </row>
    <row r="446" spans="1:15" ht="15.75">
      <c r="A446" s="1552"/>
      <c r="B446" s="364"/>
      <c r="C446" s="319"/>
      <c r="D446" s="270"/>
      <c r="E446" s="295"/>
      <c r="F446" s="159"/>
      <c r="G446" s="288"/>
      <c r="H446" s="161"/>
      <c r="I446" s="161"/>
      <c r="J446" s="262"/>
      <c r="K446" s="161"/>
      <c r="L446" s="270"/>
      <c r="M446" s="288"/>
      <c r="N446" s="319"/>
      <c r="O446" s="14"/>
    </row>
    <row r="447" spans="1:15" ht="15.75">
      <c r="A447" s="1552"/>
      <c r="B447" s="368"/>
      <c r="C447" s="316"/>
      <c r="D447" s="270"/>
      <c r="E447" s="295"/>
      <c r="F447" s="159"/>
      <c r="G447" s="288"/>
      <c r="H447" s="161"/>
      <c r="I447" s="161"/>
      <c r="J447" s="368"/>
      <c r="K447" s="161"/>
      <c r="L447" s="270"/>
      <c r="M447" s="288"/>
      <c r="N447" s="319"/>
      <c r="O447" s="31"/>
    </row>
    <row r="448" spans="1:15" ht="15.75">
      <c r="A448" s="1542"/>
      <c r="B448" s="215"/>
      <c r="C448" s="215"/>
      <c r="D448" s="214"/>
      <c r="E448" s="332">
        <f>SUM(E442:E447)</f>
        <v>1060000</v>
      </c>
      <c r="F448" s="214"/>
      <c r="G448" s="281">
        <f>SUM(G442:G447)</f>
        <v>0</v>
      </c>
      <c r="H448" s="214"/>
      <c r="I448" s="214"/>
      <c r="J448" s="214"/>
      <c r="K448" s="275"/>
      <c r="L448" s="275"/>
      <c r="M448" s="329">
        <f>SUM(M442:M447)</f>
        <v>2400000</v>
      </c>
      <c r="N448" s="304"/>
      <c r="O448" s="14"/>
    </row>
    <row r="451" spans="1:15" ht="18">
      <c r="A451" s="1535" t="s">
        <v>68</v>
      </c>
      <c r="B451" s="1535"/>
      <c r="C451" s="365"/>
      <c r="D451" s="341">
        <f>E404+E419+E436+E448</f>
        <v>29310000</v>
      </c>
    </row>
    <row r="452" spans="1:15">
      <c r="A452" s="1536" t="s">
        <v>69</v>
      </c>
      <c r="B452" s="1536"/>
      <c r="C452" s="22"/>
      <c r="D452" s="20"/>
    </row>
    <row r="453" spans="1:15">
      <c r="A453" s="1537" t="s">
        <v>70</v>
      </c>
      <c r="B453" s="1537"/>
      <c r="C453" s="101"/>
      <c r="D453" s="21"/>
    </row>
    <row r="458" spans="1:15" ht="31.5">
      <c r="A458" s="1561" t="s">
        <v>326</v>
      </c>
      <c r="B458" s="1562"/>
      <c r="C458" s="1562"/>
      <c r="D458" s="1562"/>
      <c r="E458" s="1562"/>
      <c r="F458" s="1562"/>
      <c r="G458" s="1562"/>
      <c r="H458" s="1562"/>
      <c r="I458" s="1562"/>
      <c r="J458" s="1562"/>
      <c r="K458" s="1562"/>
      <c r="L458" s="1562"/>
      <c r="M458" s="1562"/>
      <c r="N458" s="1562"/>
      <c r="O458" s="1562"/>
    </row>
    <row r="459" spans="1:15" ht="23.25">
      <c r="A459" s="1530" t="s">
        <v>1</v>
      </c>
      <c r="B459" s="1532"/>
      <c r="C459" s="1532"/>
      <c r="D459" s="1532"/>
      <c r="E459" s="1532"/>
      <c r="F459" s="1532"/>
      <c r="G459" s="1532"/>
      <c r="H459" s="1532"/>
      <c r="I459" s="1532"/>
      <c r="J459" s="1532"/>
      <c r="K459" s="1533" t="s">
        <v>2</v>
      </c>
      <c r="L459" s="1533"/>
      <c r="M459" s="1533"/>
      <c r="N459" s="1533"/>
      <c r="O459" s="1533"/>
    </row>
    <row r="460" spans="1:15" ht="30">
      <c r="A460" s="1" t="s">
        <v>3</v>
      </c>
      <c r="B460" s="1" t="s">
        <v>120</v>
      </c>
      <c r="C460" s="35" t="s">
        <v>4</v>
      </c>
      <c r="D460" s="1" t="s">
        <v>5</v>
      </c>
      <c r="E460" s="1" t="s">
        <v>6</v>
      </c>
      <c r="F460" s="1" t="s">
        <v>7</v>
      </c>
      <c r="G460" s="1" t="s">
        <v>8</v>
      </c>
      <c r="H460" s="1" t="s">
        <v>9</v>
      </c>
      <c r="I460" s="1" t="s">
        <v>10</v>
      </c>
      <c r="J460" s="3" t="s">
        <v>11</v>
      </c>
      <c r="K460" s="40" t="s">
        <v>12</v>
      </c>
      <c r="L460" s="40" t="s">
        <v>5</v>
      </c>
      <c r="M460" s="40" t="s">
        <v>13</v>
      </c>
      <c r="N460" s="129" t="s">
        <v>7</v>
      </c>
      <c r="O460" s="68" t="s">
        <v>14</v>
      </c>
    </row>
    <row r="461" spans="1:15" ht="15.75">
      <c r="A461" s="1552" t="s">
        <v>327</v>
      </c>
      <c r="B461" s="135">
        <v>11531</v>
      </c>
      <c r="C461" s="233">
        <v>0.1</v>
      </c>
      <c r="D461" s="350" t="s">
        <v>328</v>
      </c>
      <c r="E461" s="143">
        <v>1070000</v>
      </c>
      <c r="F461" s="138">
        <v>0.06</v>
      </c>
      <c r="G461" s="278">
        <f>E461*F461</f>
        <v>64200</v>
      </c>
      <c r="H461" s="135" t="s">
        <v>185</v>
      </c>
      <c r="I461" s="135" t="s">
        <v>234</v>
      </c>
      <c r="J461" s="541"/>
      <c r="K461" s="16"/>
      <c r="L461" s="10"/>
      <c r="M461" s="57"/>
      <c r="N461" s="10"/>
      <c r="O461" s="27"/>
    </row>
    <row r="462" spans="1:15" ht="15.75">
      <c r="A462" s="1552"/>
      <c r="B462" s="135">
        <v>11543</v>
      </c>
      <c r="C462" s="233">
        <v>0.1</v>
      </c>
      <c r="D462" s="136" t="s">
        <v>329</v>
      </c>
      <c r="E462" s="143">
        <v>700000</v>
      </c>
      <c r="F462" s="138">
        <v>0.1</v>
      </c>
      <c r="G462" s="278">
        <f t="shared" ref="G462:G469" si="11">E462*F462</f>
        <v>70000</v>
      </c>
      <c r="H462" s="135" t="s">
        <v>180</v>
      </c>
      <c r="I462" s="135" t="s">
        <v>234</v>
      </c>
      <c r="J462" s="541"/>
      <c r="K462" s="16"/>
      <c r="L462" s="10"/>
      <c r="M462" s="57"/>
      <c r="N462" s="10"/>
      <c r="O462" s="27"/>
    </row>
    <row r="463" spans="1:15" ht="15.75">
      <c r="A463" s="1552"/>
      <c r="B463" s="135">
        <v>11540</v>
      </c>
      <c r="C463" s="233">
        <v>0.1</v>
      </c>
      <c r="D463" s="136" t="s">
        <v>330</v>
      </c>
      <c r="E463" s="143">
        <v>1200000</v>
      </c>
      <c r="F463" s="138">
        <v>0.1</v>
      </c>
      <c r="G463" s="278">
        <f t="shared" si="11"/>
        <v>120000</v>
      </c>
      <c r="H463" s="135" t="s">
        <v>180</v>
      </c>
      <c r="I463" s="135" t="s">
        <v>289</v>
      </c>
      <c r="J463" s="541"/>
      <c r="K463" s="16"/>
      <c r="L463" s="10"/>
      <c r="M463" s="57"/>
      <c r="N463" s="10"/>
      <c r="O463" s="27"/>
    </row>
    <row r="464" spans="1:15" ht="15.75">
      <c r="A464" s="1552"/>
      <c r="B464" s="135">
        <v>11612</v>
      </c>
      <c r="C464" s="233">
        <v>0.1</v>
      </c>
      <c r="D464" s="136" t="s">
        <v>331</v>
      </c>
      <c r="E464" s="143">
        <v>1600000</v>
      </c>
      <c r="F464" s="138">
        <v>0.06</v>
      </c>
      <c r="G464" s="278">
        <f t="shared" si="11"/>
        <v>96000</v>
      </c>
      <c r="H464" s="135" t="s">
        <v>185</v>
      </c>
      <c r="I464" s="135" t="s">
        <v>234</v>
      </c>
      <c r="J464" s="541"/>
      <c r="K464" s="16"/>
      <c r="L464" s="10"/>
      <c r="M464" s="57"/>
      <c r="N464" s="10"/>
      <c r="O464" s="27"/>
    </row>
    <row r="465" spans="1:15" ht="15.75">
      <c r="A465" s="1552"/>
      <c r="B465" s="135">
        <v>11697</v>
      </c>
      <c r="C465" s="233">
        <v>0.1</v>
      </c>
      <c r="D465" s="136" t="s">
        <v>332</v>
      </c>
      <c r="E465" s="143">
        <v>1400000</v>
      </c>
      <c r="F465" s="138">
        <v>0.06</v>
      </c>
      <c r="G465" s="278">
        <f t="shared" si="11"/>
        <v>84000</v>
      </c>
      <c r="H465" s="135" t="s">
        <v>185</v>
      </c>
      <c r="I465" s="135" t="s">
        <v>333</v>
      </c>
      <c r="J465" s="541"/>
      <c r="K465" s="16"/>
      <c r="L465" s="10"/>
      <c r="M465" s="57"/>
      <c r="N465" s="10"/>
      <c r="O465" s="27"/>
    </row>
    <row r="466" spans="1:15" ht="15.75">
      <c r="A466" s="1552"/>
      <c r="B466" s="135">
        <v>11593</v>
      </c>
      <c r="C466" s="233">
        <v>0.1</v>
      </c>
      <c r="D466" s="136" t="s">
        <v>334</v>
      </c>
      <c r="E466" s="143">
        <v>1000000</v>
      </c>
      <c r="F466" s="138">
        <v>0.1</v>
      </c>
      <c r="G466" s="278">
        <f t="shared" si="11"/>
        <v>100000</v>
      </c>
      <c r="H466" s="135" t="s">
        <v>180</v>
      </c>
      <c r="I466" s="135" t="s">
        <v>234</v>
      </c>
      <c r="J466" s="541"/>
      <c r="K466" s="16"/>
      <c r="L466" s="10"/>
      <c r="M466" s="57"/>
      <c r="N466" s="10"/>
      <c r="O466" s="27"/>
    </row>
    <row r="467" spans="1:15" ht="15.75">
      <c r="A467" s="1552"/>
      <c r="B467" s="135">
        <v>11695</v>
      </c>
      <c r="C467" s="233">
        <v>0.1</v>
      </c>
      <c r="D467" s="136" t="s">
        <v>335</v>
      </c>
      <c r="E467" s="143">
        <v>1250000</v>
      </c>
      <c r="F467" s="138">
        <v>0.06</v>
      </c>
      <c r="G467" s="278">
        <f t="shared" si="11"/>
        <v>75000</v>
      </c>
      <c r="H467" s="135" t="s">
        <v>185</v>
      </c>
      <c r="I467" s="135" t="s">
        <v>333</v>
      </c>
      <c r="J467" s="541"/>
      <c r="K467" s="16"/>
      <c r="L467" s="10"/>
      <c r="M467" s="57"/>
      <c r="N467" s="10"/>
      <c r="O467" s="27"/>
    </row>
    <row r="468" spans="1:15" ht="15.75">
      <c r="A468" s="1552"/>
      <c r="B468" s="135">
        <v>11671</v>
      </c>
      <c r="C468" s="233">
        <v>0.1</v>
      </c>
      <c r="D468" s="136" t="s">
        <v>336</v>
      </c>
      <c r="E468" s="143">
        <v>1200000</v>
      </c>
      <c r="F468" s="138">
        <v>0.05</v>
      </c>
      <c r="G468" s="278">
        <f t="shared" si="11"/>
        <v>60000</v>
      </c>
      <c r="H468" s="135" t="s">
        <v>187</v>
      </c>
      <c r="I468" s="135" t="s">
        <v>234</v>
      </c>
      <c r="J468" s="541"/>
      <c r="K468" s="16"/>
      <c r="L468" s="10"/>
      <c r="M468" s="57"/>
      <c r="N468" s="10"/>
      <c r="O468" s="27"/>
    </row>
    <row r="469" spans="1:15" ht="15.75">
      <c r="A469" s="1552"/>
      <c r="B469" s="135">
        <v>11662</v>
      </c>
      <c r="C469" s="233">
        <v>0.1</v>
      </c>
      <c r="D469" s="136" t="s">
        <v>337</v>
      </c>
      <c r="E469" s="143">
        <v>950000</v>
      </c>
      <c r="F469" s="138">
        <v>0.05</v>
      </c>
      <c r="G469" s="278">
        <f t="shared" si="11"/>
        <v>47500</v>
      </c>
      <c r="H469" s="135" t="s">
        <v>187</v>
      </c>
      <c r="I469" s="135" t="s">
        <v>234</v>
      </c>
      <c r="J469" s="541"/>
      <c r="K469" s="16"/>
      <c r="L469" s="10"/>
      <c r="M469" s="57"/>
      <c r="N469" s="10"/>
      <c r="O469" s="27"/>
    </row>
    <row r="470" spans="1:15" ht="16.5" customHeight="1">
      <c r="A470" s="1552"/>
      <c r="B470" s="211" t="s">
        <v>297</v>
      </c>
      <c r="C470" s="267"/>
      <c r="D470" s="277" t="s">
        <v>338</v>
      </c>
      <c r="E470" s="308"/>
      <c r="F470" s="220"/>
      <c r="G470" s="268"/>
      <c r="H470" s="211"/>
      <c r="I470" s="211" t="s">
        <v>234</v>
      </c>
      <c r="J470" s="573" t="s">
        <v>339</v>
      </c>
      <c r="K470" s="16"/>
      <c r="L470" s="10"/>
      <c r="M470" s="57"/>
      <c r="N470" s="10"/>
      <c r="O470" s="27"/>
    </row>
    <row r="471" spans="1:15" ht="15.75">
      <c r="A471" s="1552"/>
      <c r="B471" s="211" t="s">
        <v>297</v>
      </c>
      <c r="C471" s="267"/>
      <c r="D471" s="277" t="s">
        <v>340</v>
      </c>
      <c r="E471" s="308"/>
      <c r="F471" s="220"/>
      <c r="G471" s="268"/>
      <c r="H471" s="211"/>
      <c r="I471" s="211" t="s">
        <v>234</v>
      </c>
      <c r="J471" s="573" t="s">
        <v>341</v>
      </c>
      <c r="K471" s="16"/>
      <c r="L471" s="10"/>
      <c r="M471" s="57"/>
      <c r="N471" s="10"/>
      <c r="O471" s="27"/>
    </row>
    <row r="472" spans="1:15" ht="15.75">
      <c r="A472" s="1552"/>
      <c r="B472" s="211" t="s">
        <v>297</v>
      </c>
      <c r="C472" s="267"/>
      <c r="D472" s="277" t="s">
        <v>342</v>
      </c>
      <c r="E472" s="308"/>
      <c r="F472" s="220"/>
      <c r="G472" s="268"/>
      <c r="H472" s="211"/>
      <c r="I472" s="211" t="s">
        <v>234</v>
      </c>
      <c r="J472" s="573" t="s">
        <v>343</v>
      </c>
      <c r="K472" s="16"/>
      <c r="L472" s="10"/>
      <c r="M472" s="57"/>
      <c r="N472" s="10"/>
      <c r="O472" s="27"/>
    </row>
    <row r="473" spans="1:15" ht="15.75">
      <c r="A473" s="1552"/>
      <c r="B473" s="211" t="s">
        <v>297</v>
      </c>
      <c r="C473" s="267"/>
      <c r="D473" s="277" t="s">
        <v>344</v>
      </c>
      <c r="E473" s="308"/>
      <c r="F473" s="220"/>
      <c r="G473" s="268"/>
      <c r="H473" s="211"/>
      <c r="I473" s="211" t="s">
        <v>234</v>
      </c>
      <c r="J473" s="573" t="s">
        <v>345</v>
      </c>
      <c r="K473" s="16"/>
      <c r="L473" s="10"/>
      <c r="M473" s="57"/>
      <c r="N473" s="10"/>
      <c r="O473" s="27"/>
    </row>
    <row r="474" spans="1:15" ht="15.75">
      <c r="A474" s="1552"/>
      <c r="B474" s="211" t="s">
        <v>257</v>
      </c>
      <c r="C474" s="267"/>
      <c r="D474" s="277" t="s">
        <v>346</v>
      </c>
      <c r="E474" s="308"/>
      <c r="F474" s="220"/>
      <c r="G474" s="268"/>
      <c r="H474" s="211"/>
      <c r="I474" s="211" t="s">
        <v>333</v>
      </c>
      <c r="J474" s="573" t="s">
        <v>347</v>
      </c>
      <c r="K474" s="16"/>
      <c r="L474" s="10"/>
      <c r="M474" s="57"/>
      <c r="N474" s="10"/>
      <c r="O474" s="27"/>
    </row>
    <row r="475" spans="1:15" ht="15.75">
      <c r="A475" s="1552"/>
      <c r="B475" s="211" t="s">
        <v>257</v>
      </c>
      <c r="C475" s="267"/>
      <c r="D475" s="277" t="s">
        <v>348</v>
      </c>
      <c r="E475" s="308"/>
      <c r="F475" s="220"/>
      <c r="G475" s="268"/>
      <c r="H475" s="211"/>
      <c r="I475" s="211" t="s">
        <v>234</v>
      </c>
      <c r="J475" s="573" t="s">
        <v>349</v>
      </c>
      <c r="K475" s="16"/>
      <c r="L475" s="10"/>
      <c r="M475" s="57"/>
      <c r="N475" s="10"/>
      <c r="O475" s="27"/>
    </row>
    <row r="476" spans="1:15" ht="15.75">
      <c r="A476" s="1552"/>
      <c r="B476" s="163"/>
      <c r="C476" s="318"/>
      <c r="D476" s="262"/>
      <c r="E476" s="261"/>
      <c r="F476" s="162"/>
      <c r="G476" s="286"/>
      <c r="H476" s="163"/>
      <c r="I476" s="163"/>
      <c r="J476" s="590"/>
      <c r="K476" s="16"/>
      <c r="L476" s="10"/>
      <c r="M476" s="57"/>
      <c r="N476" s="10"/>
      <c r="O476" s="27"/>
    </row>
    <row r="477" spans="1:15" ht="18">
      <c r="A477" s="1542"/>
      <c r="B477" s="7"/>
      <c r="C477" s="7"/>
      <c r="D477" s="42"/>
      <c r="E477" s="332">
        <f>SUM(E461:E476)</f>
        <v>10370000</v>
      </c>
      <c r="F477" s="42"/>
      <c r="G477" s="281">
        <f>SUM(G461:G476)</f>
        <v>716700</v>
      </c>
      <c r="H477" s="42"/>
      <c r="I477" s="519"/>
      <c r="J477" s="520"/>
      <c r="K477" s="11"/>
      <c r="L477" s="11"/>
      <c r="M477" s="622" t="s">
        <v>34</v>
      </c>
      <c r="N477" s="601"/>
      <c r="O477" s="623">
        <f>G477</f>
        <v>716700</v>
      </c>
    </row>
    <row r="481" spans="1:15" ht="23.25">
      <c r="A481" s="1564" t="s">
        <v>138</v>
      </c>
      <c r="B481" s="1564"/>
      <c r="C481" s="1564"/>
      <c r="D481" s="1564"/>
      <c r="E481" s="1564"/>
      <c r="F481" s="1564"/>
      <c r="G481" s="1564"/>
      <c r="H481" s="1564"/>
      <c r="I481" s="1564"/>
      <c r="J481" s="1565"/>
      <c r="K481" s="1557" t="s">
        <v>2</v>
      </c>
      <c r="L481" s="1557"/>
      <c r="M481" s="1557"/>
      <c r="N481" s="1557"/>
      <c r="O481" s="1557"/>
    </row>
    <row r="482" spans="1:15" ht="30">
      <c r="A482" s="68" t="s">
        <v>3</v>
      </c>
      <c r="B482" s="68" t="s">
        <v>120</v>
      </c>
      <c r="C482" s="125" t="s">
        <v>4</v>
      </c>
      <c r="D482" s="68" t="s">
        <v>5</v>
      </c>
      <c r="E482" s="68" t="s">
        <v>6</v>
      </c>
      <c r="F482" s="68" t="s">
        <v>7</v>
      </c>
      <c r="G482" s="68" t="s">
        <v>8</v>
      </c>
      <c r="H482" s="68" t="s">
        <v>9</v>
      </c>
      <c r="I482" s="68" t="s">
        <v>10</v>
      </c>
      <c r="J482" s="68" t="s">
        <v>11</v>
      </c>
      <c r="K482" s="68" t="s">
        <v>12</v>
      </c>
      <c r="L482" s="68" t="s">
        <v>5</v>
      </c>
      <c r="M482" s="68" t="s">
        <v>13</v>
      </c>
      <c r="N482" s="129" t="s">
        <v>7</v>
      </c>
      <c r="O482" s="40" t="s">
        <v>14</v>
      </c>
    </row>
    <row r="483" spans="1:15" ht="15.75">
      <c r="A483" s="1552">
        <v>8</v>
      </c>
      <c r="B483" s="346">
        <v>11603</v>
      </c>
      <c r="C483" s="148">
        <v>0.1</v>
      </c>
      <c r="D483" s="149" t="s">
        <v>350</v>
      </c>
      <c r="E483" s="141">
        <v>1350000</v>
      </c>
      <c r="F483" s="148">
        <v>0.08</v>
      </c>
      <c r="G483" s="335">
        <f>E483*F483</f>
        <v>108000</v>
      </c>
      <c r="H483" s="147" t="s">
        <v>187</v>
      </c>
      <c r="I483" s="147" t="s">
        <v>333</v>
      </c>
      <c r="J483" s="528"/>
      <c r="K483" s="135">
        <v>11671</v>
      </c>
      <c r="L483" s="136" t="s">
        <v>336</v>
      </c>
      <c r="M483" s="143">
        <v>1200000</v>
      </c>
      <c r="N483" s="534">
        <v>0.04</v>
      </c>
      <c r="O483" s="139">
        <f>M483*N483</f>
        <v>48000</v>
      </c>
    </row>
    <row r="484" spans="1:15" ht="15.75">
      <c r="A484" s="1552"/>
      <c r="B484" s="346">
        <v>11733</v>
      </c>
      <c r="C484" s="148">
        <v>0.1</v>
      </c>
      <c r="D484" s="149" t="s">
        <v>351</v>
      </c>
      <c r="E484" s="141">
        <v>1200000</v>
      </c>
      <c r="F484" s="148">
        <v>0.08</v>
      </c>
      <c r="G484" s="335">
        <f>E484*F484</f>
        <v>96000</v>
      </c>
      <c r="H484" s="147" t="s">
        <v>187</v>
      </c>
      <c r="I484" s="147" t="s">
        <v>333</v>
      </c>
      <c r="J484" s="528"/>
      <c r="K484" s="135">
        <v>11662</v>
      </c>
      <c r="L484" s="136" t="s">
        <v>337</v>
      </c>
      <c r="M484" s="143">
        <v>950000</v>
      </c>
      <c r="N484" s="534">
        <v>0.04</v>
      </c>
      <c r="O484" s="139">
        <f>M484*N484</f>
        <v>38000</v>
      </c>
    </row>
    <row r="485" spans="1:15" ht="15.75">
      <c r="A485" s="1552"/>
      <c r="B485" s="362" t="s">
        <v>297</v>
      </c>
      <c r="C485" s="285"/>
      <c r="D485" s="222" t="s">
        <v>352</v>
      </c>
      <c r="E485" s="305"/>
      <c r="F485" s="285"/>
      <c r="G485" s="328"/>
      <c r="H485" s="289"/>
      <c r="I485" s="289" t="s">
        <v>289</v>
      </c>
      <c r="J485" s="529" t="s">
        <v>353</v>
      </c>
      <c r="K485" s="9"/>
      <c r="L485" s="17"/>
      <c r="M485" s="43"/>
      <c r="N485" s="370"/>
      <c r="O485" s="286"/>
    </row>
    <row r="486" spans="1:15" ht="15.75">
      <c r="A486" s="1552"/>
      <c r="B486" s="362" t="s">
        <v>297</v>
      </c>
      <c r="C486" s="285"/>
      <c r="D486" s="222" t="s">
        <v>354</v>
      </c>
      <c r="E486" s="305"/>
      <c r="F486" s="285"/>
      <c r="G486" s="328"/>
      <c r="H486" s="289"/>
      <c r="I486" s="289" t="s">
        <v>234</v>
      </c>
      <c r="J486" s="529" t="s">
        <v>355</v>
      </c>
      <c r="K486" s="9"/>
      <c r="L486" s="17"/>
      <c r="M486" s="43"/>
      <c r="N486" s="370"/>
      <c r="O486" s="371"/>
    </row>
    <row r="487" spans="1:15" ht="15.75">
      <c r="A487" s="1552"/>
      <c r="B487" s="587"/>
      <c r="C487" s="279"/>
      <c r="D487" s="223"/>
      <c r="E487" s="265"/>
      <c r="F487" s="279"/>
      <c r="G487" s="281"/>
      <c r="H487" s="213"/>
      <c r="I487" s="213"/>
      <c r="J487" s="4"/>
      <c r="K487" s="9"/>
      <c r="L487" s="17"/>
      <c r="M487" s="261" t="s">
        <v>34</v>
      </c>
      <c r="N487" s="370"/>
      <c r="O487" s="154">
        <f>SUM(O483:O486)</f>
        <v>86000</v>
      </c>
    </row>
    <row r="488" spans="1:15" ht="18">
      <c r="A488" s="1542"/>
      <c r="B488" s="7"/>
      <c r="C488" s="7"/>
      <c r="D488" s="42"/>
      <c r="E488" s="332">
        <f>SUM(E483:E487)</f>
        <v>2550000</v>
      </c>
      <c r="F488" s="42"/>
      <c r="G488" s="281">
        <f>SUM(G483:G487)</f>
        <v>204000</v>
      </c>
      <c r="H488" s="42"/>
      <c r="I488" s="42"/>
      <c r="J488" s="42"/>
      <c r="K488" s="11"/>
      <c r="L488" s="11"/>
      <c r="M488" s="600" t="s">
        <v>34</v>
      </c>
      <c r="N488" s="601"/>
      <c r="O488" s="623">
        <f>G488+O487</f>
        <v>290000</v>
      </c>
    </row>
    <row r="490" spans="1:15" ht="15.75" customHeight="1"/>
    <row r="491" spans="1:15" ht="23.25">
      <c r="A491" s="1548" t="s">
        <v>356</v>
      </c>
      <c r="B491" s="1531"/>
      <c r="C491" s="1531"/>
      <c r="D491" s="1531"/>
      <c r="E491" s="1531"/>
      <c r="F491" s="1531"/>
      <c r="G491" s="1531"/>
      <c r="H491" s="1531"/>
      <c r="I491" s="1531"/>
      <c r="J491" s="1554"/>
      <c r="K491" s="1566" t="s">
        <v>2</v>
      </c>
      <c r="L491" s="1567"/>
      <c r="M491" s="1567"/>
      <c r="N491" s="1567"/>
      <c r="O491" s="1568"/>
    </row>
    <row r="492" spans="1:15" ht="30">
      <c r="A492" s="3" t="s">
        <v>3</v>
      </c>
      <c r="B492" s="3" t="s">
        <v>120</v>
      </c>
      <c r="C492" s="2" t="s">
        <v>4</v>
      </c>
      <c r="D492" s="3" t="s">
        <v>5</v>
      </c>
      <c r="E492" s="3" t="s">
        <v>6</v>
      </c>
      <c r="F492" s="3" t="s">
        <v>7</v>
      </c>
      <c r="G492" s="3" t="s">
        <v>8</v>
      </c>
      <c r="H492" s="3" t="s">
        <v>9</v>
      </c>
      <c r="I492" s="3" t="s">
        <v>10</v>
      </c>
      <c r="J492" s="3" t="s">
        <v>11</v>
      </c>
      <c r="K492" s="3" t="s">
        <v>12</v>
      </c>
      <c r="L492" s="3" t="s">
        <v>5</v>
      </c>
      <c r="M492" s="3" t="s">
        <v>13</v>
      </c>
      <c r="N492" s="3" t="s">
        <v>7</v>
      </c>
      <c r="O492" s="3" t="s">
        <v>14</v>
      </c>
    </row>
    <row r="493" spans="1:15" ht="15.75">
      <c r="A493" s="1573">
        <v>9</v>
      </c>
      <c r="B493" s="741">
        <v>11627</v>
      </c>
      <c r="C493" s="138">
        <v>0.1</v>
      </c>
      <c r="D493" s="137" t="s">
        <v>357</v>
      </c>
      <c r="E493" s="139">
        <v>700000</v>
      </c>
      <c r="F493" s="138">
        <v>0.04</v>
      </c>
      <c r="G493" s="619">
        <f>E493*F493</f>
        <v>28000</v>
      </c>
      <c r="H493" s="741" t="s">
        <v>278</v>
      </c>
      <c r="I493" s="741" t="s">
        <v>234</v>
      </c>
      <c r="J493" s="137"/>
      <c r="K493" s="14"/>
      <c r="L493" s="14"/>
      <c r="M493" s="14"/>
      <c r="N493" s="14"/>
      <c r="O493" s="14"/>
    </row>
    <row r="494" spans="1:15" ht="15.75">
      <c r="A494" s="1574"/>
      <c r="B494" s="741">
        <v>11673</v>
      </c>
      <c r="C494" s="138">
        <v>0.1</v>
      </c>
      <c r="D494" s="137" t="s">
        <v>358</v>
      </c>
      <c r="E494" s="139">
        <v>1150000</v>
      </c>
      <c r="F494" s="138">
        <v>0.04</v>
      </c>
      <c r="G494" s="619">
        <f>E494*F494</f>
        <v>46000</v>
      </c>
      <c r="H494" s="741" t="s">
        <v>359</v>
      </c>
      <c r="I494" s="741" t="s">
        <v>234</v>
      </c>
      <c r="J494" s="613"/>
      <c r="K494" s="14"/>
      <c r="L494" s="14"/>
      <c r="M494" s="14"/>
      <c r="N494" s="14"/>
      <c r="O494" s="14"/>
    </row>
    <row r="495" spans="1:15" ht="15.75">
      <c r="A495" s="1574"/>
      <c r="B495" s="219" t="s">
        <v>245</v>
      </c>
      <c r="C495" s="219"/>
      <c r="D495" s="225" t="s">
        <v>360</v>
      </c>
      <c r="E495" s="221"/>
      <c r="F495" s="225"/>
      <c r="G495" s="219"/>
      <c r="H495" s="225"/>
      <c r="I495" s="219" t="s">
        <v>234</v>
      </c>
      <c r="J495" s="225" t="s">
        <v>361</v>
      </c>
      <c r="K495" s="14"/>
      <c r="L495" s="14"/>
      <c r="M495" s="14"/>
      <c r="N495" s="14"/>
      <c r="O495" s="14"/>
    </row>
    <row r="496" spans="1:15" ht="15.75">
      <c r="A496" s="1574"/>
      <c r="B496" s="219" t="s">
        <v>130</v>
      </c>
      <c r="C496" s="220"/>
      <c r="D496" s="225" t="s">
        <v>352</v>
      </c>
      <c r="E496" s="221"/>
      <c r="F496" s="225"/>
      <c r="G496" s="219"/>
      <c r="H496" s="219"/>
      <c r="I496" s="219" t="s">
        <v>333</v>
      </c>
      <c r="J496" s="225" t="s">
        <v>362</v>
      </c>
      <c r="K496" s="14"/>
      <c r="L496" s="14"/>
      <c r="M496" s="14"/>
      <c r="N496" s="14"/>
      <c r="O496" s="14"/>
    </row>
    <row r="497" spans="1:15" ht="15.75">
      <c r="A497" s="1574"/>
      <c r="B497" s="157"/>
      <c r="C497" s="157"/>
      <c r="D497" s="156"/>
      <c r="E497" s="154"/>
      <c r="F497" s="156"/>
      <c r="G497" s="157"/>
      <c r="H497" s="156"/>
      <c r="I497" s="156"/>
      <c r="J497" s="156"/>
      <c r="K497" s="14"/>
      <c r="L497" s="14"/>
      <c r="M497" s="14"/>
      <c r="N497" s="14"/>
      <c r="O497" s="14"/>
    </row>
    <row r="498" spans="1:15" ht="18">
      <c r="A498" s="1575"/>
      <c r="B498" s="71"/>
      <c r="C498" s="71"/>
      <c r="D498" s="14"/>
      <c r="E498" s="154">
        <f>SUM(E493:E497)</f>
        <v>1850000</v>
      </c>
      <c r="F498" s="14"/>
      <c r="G498" s="293">
        <f>SUM(G493:G497)</f>
        <v>74000</v>
      </c>
      <c r="H498" s="14"/>
      <c r="I498" s="14"/>
      <c r="J498" s="14"/>
      <c r="K498" s="14"/>
      <c r="L498" s="14"/>
      <c r="M498" s="624" t="s">
        <v>34</v>
      </c>
      <c r="N498" s="621"/>
      <c r="O498" s="625">
        <f>G498</f>
        <v>74000</v>
      </c>
    </row>
    <row r="502" spans="1:15" ht="23.25">
      <c r="A502" s="1530" t="s">
        <v>56</v>
      </c>
      <c r="B502" s="1532"/>
      <c r="C502" s="1532"/>
      <c r="D502" s="1532"/>
      <c r="E502" s="1532"/>
      <c r="F502" s="1532"/>
      <c r="G502" s="1532"/>
      <c r="H502" s="1532"/>
      <c r="I502" s="1532"/>
      <c r="J502" s="1549"/>
      <c r="K502" s="1558" t="s">
        <v>2</v>
      </c>
      <c r="L502" s="1559"/>
      <c r="M502" s="1559"/>
      <c r="N502" s="1559"/>
      <c r="O502" s="1560"/>
    </row>
    <row r="503" spans="1:15" ht="30">
      <c r="A503" s="126" t="s">
        <v>3</v>
      </c>
      <c r="B503" s="1" t="s">
        <v>120</v>
      </c>
      <c r="C503" s="367" t="s">
        <v>4</v>
      </c>
      <c r="D503" s="1" t="s">
        <v>5</v>
      </c>
      <c r="E503" s="1" t="s">
        <v>6</v>
      </c>
      <c r="F503" s="1" t="s">
        <v>7</v>
      </c>
      <c r="G503" s="1" t="s">
        <v>8</v>
      </c>
      <c r="H503" s="361" t="s">
        <v>9</v>
      </c>
      <c r="I503" s="1" t="s">
        <v>10</v>
      </c>
      <c r="J503" s="126" t="s">
        <v>11</v>
      </c>
      <c r="K503" s="3" t="s">
        <v>12</v>
      </c>
      <c r="L503" s="3" t="s">
        <v>5</v>
      </c>
      <c r="M503" s="3" t="s">
        <v>13</v>
      </c>
      <c r="N503" s="3" t="s">
        <v>7</v>
      </c>
      <c r="O503" s="3" t="s">
        <v>14</v>
      </c>
    </row>
    <row r="504" spans="1:15" ht="15.75">
      <c r="A504" s="1552" t="s">
        <v>363</v>
      </c>
      <c r="B504" s="135">
        <v>11547</v>
      </c>
      <c r="C504" s="233">
        <v>0.1</v>
      </c>
      <c r="D504" s="136" t="s">
        <v>364</v>
      </c>
      <c r="E504" s="143">
        <v>700000</v>
      </c>
      <c r="F504" s="138">
        <v>0.1</v>
      </c>
      <c r="G504" s="278">
        <f>E504*F504</f>
        <v>70000</v>
      </c>
      <c r="H504" s="135" t="s">
        <v>278</v>
      </c>
      <c r="I504" s="135" t="s">
        <v>234</v>
      </c>
      <c r="J504" s="136"/>
      <c r="K504" s="741">
        <v>11627</v>
      </c>
      <c r="L504" s="137" t="s">
        <v>357</v>
      </c>
      <c r="M504" s="139">
        <v>700000</v>
      </c>
      <c r="N504" s="231">
        <v>0.05</v>
      </c>
      <c r="O504" s="278">
        <f>M504*N504</f>
        <v>35000</v>
      </c>
    </row>
    <row r="505" spans="1:15" ht="15.75">
      <c r="A505" s="1552"/>
      <c r="B505" s="135">
        <v>11558</v>
      </c>
      <c r="C505" s="331">
        <v>0.08</v>
      </c>
      <c r="D505" s="136" t="s">
        <v>365</v>
      </c>
      <c r="E505" s="143">
        <v>1100000</v>
      </c>
      <c r="F505" s="140">
        <v>0.05</v>
      </c>
      <c r="G505" s="278">
        <f t="shared" ref="G505:G511" si="12">E505*F505</f>
        <v>55000</v>
      </c>
      <c r="H505" s="135" t="s">
        <v>30</v>
      </c>
      <c r="I505" s="135" t="s">
        <v>234</v>
      </c>
      <c r="J505" s="136"/>
      <c r="K505" s="741">
        <v>11566</v>
      </c>
      <c r="L505" s="137" t="s">
        <v>366</v>
      </c>
      <c r="M505" s="139">
        <v>1500000</v>
      </c>
      <c r="N505" s="231">
        <v>0.05</v>
      </c>
      <c r="O505" s="620">
        <f>M505*N505</f>
        <v>75000</v>
      </c>
    </row>
    <row r="506" spans="1:15" ht="15.75">
      <c r="A506" s="1552"/>
      <c r="B506" s="135">
        <v>11590</v>
      </c>
      <c r="C506" s="233">
        <v>0.1</v>
      </c>
      <c r="D506" s="136" t="s">
        <v>367</v>
      </c>
      <c r="E506" s="143">
        <v>750000</v>
      </c>
      <c r="F506" s="138">
        <v>0.1</v>
      </c>
      <c r="G506" s="278">
        <f t="shared" si="12"/>
        <v>75000</v>
      </c>
      <c r="H506" s="135" t="s">
        <v>278</v>
      </c>
      <c r="I506" s="135" t="s">
        <v>333</v>
      </c>
      <c r="J506" s="136"/>
      <c r="K506" s="161"/>
      <c r="L506" s="270"/>
      <c r="M506" s="372"/>
      <c r="N506" s="319"/>
      <c r="O506" s="14"/>
    </row>
    <row r="507" spans="1:15" ht="15.75">
      <c r="A507" s="1552"/>
      <c r="B507" s="135">
        <v>11623</v>
      </c>
      <c r="C507" s="233">
        <v>0.1</v>
      </c>
      <c r="D507" s="136" t="s">
        <v>368</v>
      </c>
      <c r="E507" s="143">
        <v>620000</v>
      </c>
      <c r="F507" s="138">
        <v>0.1</v>
      </c>
      <c r="G507" s="278">
        <f t="shared" si="12"/>
        <v>62000</v>
      </c>
      <c r="H507" s="135" t="s">
        <v>278</v>
      </c>
      <c r="I507" s="135" t="s">
        <v>333</v>
      </c>
      <c r="J507" s="136"/>
      <c r="K507" s="161"/>
      <c r="L507" s="270"/>
      <c r="M507" s="372"/>
      <c r="N507" s="319"/>
      <c r="O507" s="14"/>
    </row>
    <row r="508" spans="1:15" ht="15.75">
      <c r="A508" s="1552"/>
      <c r="B508" s="135">
        <v>11656</v>
      </c>
      <c r="C508" s="233">
        <v>0.1</v>
      </c>
      <c r="D508" s="136" t="s">
        <v>369</v>
      </c>
      <c r="E508" s="143">
        <v>1250000</v>
      </c>
      <c r="F508" s="138">
        <v>0.1</v>
      </c>
      <c r="G508" s="278">
        <f t="shared" si="12"/>
        <v>125000</v>
      </c>
      <c r="H508" s="135" t="s">
        <v>278</v>
      </c>
      <c r="I508" s="135" t="s">
        <v>333</v>
      </c>
      <c r="J508" s="136"/>
      <c r="K508" s="161"/>
      <c r="L508" s="270"/>
      <c r="M508" s="372"/>
      <c r="N508" s="319"/>
      <c r="O508" s="14"/>
    </row>
    <row r="509" spans="1:15" ht="15.75">
      <c r="A509" s="1552"/>
      <c r="B509" s="135">
        <v>11676</v>
      </c>
      <c r="C509" s="233">
        <v>0.1</v>
      </c>
      <c r="D509" s="136" t="s">
        <v>370</v>
      </c>
      <c r="E509" s="143">
        <v>950000</v>
      </c>
      <c r="F509" s="138">
        <v>0.1</v>
      </c>
      <c r="G509" s="278">
        <f t="shared" si="12"/>
        <v>95000</v>
      </c>
      <c r="H509" s="135" t="s">
        <v>278</v>
      </c>
      <c r="I509" s="135" t="s">
        <v>234</v>
      </c>
      <c r="J509" s="136"/>
      <c r="K509" s="161"/>
      <c r="L509" s="270"/>
      <c r="M509" s="372"/>
      <c r="N509" s="319"/>
      <c r="O509" s="14"/>
    </row>
    <row r="510" spans="1:15" ht="15.75">
      <c r="A510" s="1552"/>
      <c r="B510" s="630">
        <v>11721</v>
      </c>
      <c r="C510" s="233">
        <v>0.1</v>
      </c>
      <c r="D510" s="136" t="s">
        <v>371</v>
      </c>
      <c r="E510" s="143">
        <v>700000</v>
      </c>
      <c r="F510" s="138">
        <v>0.1</v>
      </c>
      <c r="G510" s="278">
        <f t="shared" si="12"/>
        <v>70000</v>
      </c>
      <c r="H510" s="135" t="s">
        <v>278</v>
      </c>
      <c r="I510" s="135" t="s">
        <v>333</v>
      </c>
      <c r="J510" s="136"/>
      <c r="K510" s="161"/>
      <c r="L510" s="270"/>
      <c r="M510" s="372"/>
      <c r="N510" s="319"/>
      <c r="O510" s="14"/>
    </row>
    <row r="511" spans="1:15" ht="15.75">
      <c r="A511" s="1552"/>
      <c r="B511" s="135">
        <v>11722</v>
      </c>
      <c r="C511" s="233">
        <v>0.1</v>
      </c>
      <c r="D511" s="136" t="s">
        <v>372</v>
      </c>
      <c r="E511" s="143">
        <v>1200000</v>
      </c>
      <c r="F511" s="138">
        <v>0.1</v>
      </c>
      <c r="G511" s="278">
        <f t="shared" si="12"/>
        <v>120000</v>
      </c>
      <c r="H511" s="135" t="s">
        <v>278</v>
      </c>
      <c r="I511" s="135" t="s">
        <v>333</v>
      </c>
      <c r="J511" s="136"/>
      <c r="K511" s="161"/>
      <c r="L511" s="270"/>
      <c r="M511" s="372"/>
      <c r="N511" s="319"/>
      <c r="O511" s="14"/>
    </row>
    <row r="512" spans="1:15" ht="15.75">
      <c r="A512" s="1552"/>
      <c r="B512" s="211" t="s">
        <v>373</v>
      </c>
      <c r="C512" s="267"/>
      <c r="D512" s="277" t="s">
        <v>374</v>
      </c>
      <c r="E512" s="308"/>
      <c r="F512" s="348"/>
      <c r="G512" s="268"/>
      <c r="H512" s="211"/>
      <c r="I512" s="211" t="s">
        <v>333</v>
      </c>
      <c r="J512" s="277" t="s">
        <v>349</v>
      </c>
      <c r="K512" s="161"/>
      <c r="L512" s="270"/>
      <c r="M512" s="372"/>
      <c r="N512" s="319"/>
      <c r="O512" s="14"/>
    </row>
    <row r="513" spans="1:15" ht="15.75">
      <c r="A513" s="1552"/>
      <c r="B513" s="211" t="s">
        <v>373</v>
      </c>
      <c r="C513" s="267"/>
      <c r="D513" s="277" t="s">
        <v>375</v>
      </c>
      <c r="E513" s="308"/>
      <c r="F513" s="348"/>
      <c r="G513" s="268"/>
      <c r="H513" s="211"/>
      <c r="I513" s="211" t="s">
        <v>333</v>
      </c>
      <c r="J513" s="277" t="s">
        <v>349</v>
      </c>
      <c r="K513" s="161"/>
      <c r="L513" s="270"/>
      <c r="M513" s="372"/>
      <c r="N513" s="319"/>
      <c r="O513" s="14"/>
    </row>
    <row r="514" spans="1:15" ht="15.75">
      <c r="A514" s="1552"/>
      <c r="B514" s="211" t="s">
        <v>373</v>
      </c>
      <c r="C514" s="267"/>
      <c r="D514" s="277" t="s">
        <v>376</v>
      </c>
      <c r="E514" s="308"/>
      <c r="F514" s="220"/>
      <c r="G514" s="268"/>
      <c r="H514" s="211"/>
      <c r="I514" s="211" t="s">
        <v>333</v>
      </c>
      <c r="J514" s="277" t="s">
        <v>349</v>
      </c>
      <c r="K514" s="161"/>
      <c r="L514" s="270"/>
      <c r="M514" s="372"/>
      <c r="N514" s="319"/>
      <c r="O514" s="14"/>
    </row>
    <row r="515" spans="1:15" ht="15.75">
      <c r="A515" s="1552"/>
      <c r="B515" s="211" t="s">
        <v>257</v>
      </c>
      <c r="C515" s="267"/>
      <c r="D515" s="277" t="s">
        <v>377</v>
      </c>
      <c r="E515" s="308"/>
      <c r="F515" s="220"/>
      <c r="G515" s="268"/>
      <c r="H515" s="211"/>
      <c r="I515" s="211" t="s">
        <v>333</v>
      </c>
      <c r="J515" s="277" t="s">
        <v>349</v>
      </c>
      <c r="K515" s="161"/>
      <c r="L515" s="270"/>
      <c r="M515" s="372"/>
      <c r="N515" s="319"/>
      <c r="O515" s="14"/>
    </row>
    <row r="516" spans="1:15" ht="15.75">
      <c r="A516" s="1552"/>
      <c r="B516" s="211" t="s">
        <v>245</v>
      </c>
      <c r="C516" s="267"/>
      <c r="D516" s="277" t="s">
        <v>378</v>
      </c>
      <c r="E516" s="308"/>
      <c r="F516" s="220"/>
      <c r="G516" s="268"/>
      <c r="H516" s="211"/>
      <c r="I516" s="211" t="s">
        <v>234</v>
      </c>
      <c r="J516" s="277" t="s">
        <v>379</v>
      </c>
      <c r="K516" s="161"/>
      <c r="L516" s="270"/>
      <c r="M516" s="372"/>
      <c r="N516" s="319"/>
      <c r="O516" s="14"/>
    </row>
    <row r="517" spans="1:15" ht="15.75">
      <c r="A517" s="1552"/>
      <c r="B517" s="585"/>
      <c r="C517" s="260"/>
      <c r="D517" s="262"/>
      <c r="E517" s="261"/>
      <c r="F517" s="162"/>
      <c r="G517" s="286"/>
      <c r="H517" s="163"/>
      <c r="I517" s="163"/>
      <c r="J517" s="287"/>
      <c r="K517" s="161"/>
      <c r="L517" s="270"/>
      <c r="M517" s="626" t="s">
        <v>34</v>
      </c>
      <c r="N517" s="319"/>
      <c r="O517" s="154">
        <f>SUM(O504:O516)</f>
        <v>110000</v>
      </c>
    </row>
    <row r="518" spans="1:15" ht="18">
      <c r="A518" s="1542"/>
      <c r="B518" s="213"/>
      <c r="C518" s="213"/>
      <c r="D518" s="223"/>
      <c r="E518" s="332">
        <f>SUM(E504:E517)</f>
        <v>7270000</v>
      </c>
      <c r="F518" s="223"/>
      <c r="G518" s="281">
        <f>SUM(G504:G517)</f>
        <v>672000</v>
      </c>
      <c r="H518" s="223"/>
      <c r="I518" s="223"/>
      <c r="J518" s="223"/>
      <c r="K518" s="275"/>
      <c r="L518" s="275"/>
      <c r="M518" s="627" t="s">
        <v>34</v>
      </c>
      <c r="N518" s="464"/>
      <c r="O518" s="623">
        <f>G518+O517</f>
        <v>782000</v>
      </c>
    </row>
    <row r="522" spans="1:15" ht="23.25">
      <c r="A522" s="1530" t="s">
        <v>274</v>
      </c>
      <c r="B522" s="1531"/>
      <c r="C522" s="1532"/>
      <c r="D522" s="1531"/>
      <c r="E522" s="1531"/>
      <c r="F522" s="1531"/>
      <c r="G522" s="1531"/>
      <c r="H522" s="1532"/>
      <c r="I522" s="1532"/>
      <c r="J522" s="1532"/>
      <c r="K522" s="1571" t="s">
        <v>2</v>
      </c>
      <c r="L522" s="1572"/>
      <c r="M522" s="1572"/>
      <c r="N522" s="1572"/>
      <c r="O522" s="1572"/>
    </row>
    <row r="523" spans="1:15" ht="30">
      <c r="A523" s="126" t="s">
        <v>3</v>
      </c>
      <c r="B523" s="1" t="s">
        <v>120</v>
      </c>
      <c r="C523" s="367" t="s">
        <v>4</v>
      </c>
      <c r="D523" s="1" t="s">
        <v>5</v>
      </c>
      <c r="E523" s="1" t="s">
        <v>6</v>
      </c>
      <c r="F523" s="1" t="s">
        <v>7</v>
      </c>
      <c r="G523" s="1" t="s">
        <v>8</v>
      </c>
      <c r="H523" s="361" t="s">
        <v>9</v>
      </c>
      <c r="I523" s="1" t="s">
        <v>10</v>
      </c>
      <c r="J523" s="126" t="s">
        <v>11</v>
      </c>
      <c r="K523" s="1" t="s">
        <v>12</v>
      </c>
      <c r="L523" s="1" t="s">
        <v>5</v>
      </c>
      <c r="M523" s="1" t="s">
        <v>13</v>
      </c>
      <c r="N523" s="1" t="s">
        <v>7</v>
      </c>
      <c r="O523" s="3" t="s">
        <v>14</v>
      </c>
    </row>
    <row r="524" spans="1:15" ht="15.75">
      <c r="A524" s="1553">
        <v>8</v>
      </c>
      <c r="B524" s="585"/>
      <c r="C524" s="591"/>
      <c r="D524" s="262"/>
      <c r="E524" s="261"/>
      <c r="F524" s="592"/>
      <c r="G524" s="288"/>
      <c r="H524" s="163"/>
      <c r="I524" s="163"/>
      <c r="J524" s="262"/>
      <c r="K524" s="135">
        <v>11531</v>
      </c>
      <c r="L524" s="350" t="s">
        <v>328</v>
      </c>
      <c r="M524" s="143">
        <v>1070000</v>
      </c>
      <c r="N524" s="366"/>
      <c r="O524" s="371"/>
    </row>
    <row r="525" spans="1:15" ht="15.75">
      <c r="A525" s="1552"/>
      <c r="B525" s="571"/>
      <c r="C525" s="508"/>
      <c r="D525" s="287"/>
      <c r="E525" s="509"/>
      <c r="F525" s="510"/>
      <c r="G525" s="511"/>
      <c r="H525" s="205"/>
      <c r="I525" s="205"/>
      <c r="J525" s="262"/>
      <c r="K525" s="135">
        <v>11612</v>
      </c>
      <c r="L525" s="136" t="s">
        <v>380</v>
      </c>
      <c r="M525" s="143">
        <v>1600000</v>
      </c>
      <c r="N525" s="319"/>
      <c r="O525" s="286"/>
    </row>
    <row r="526" spans="1:15" ht="15.75">
      <c r="A526" s="1552"/>
      <c r="B526" s="523"/>
      <c r="C526" s="524"/>
      <c r="D526" s="525"/>
      <c r="E526" s="526"/>
      <c r="F526" s="527"/>
      <c r="G526" s="522"/>
      <c r="H526" s="523"/>
      <c r="I526" s="523"/>
      <c r="J526" s="262"/>
      <c r="K526" s="135">
        <v>11697</v>
      </c>
      <c r="L526" s="136" t="s">
        <v>332</v>
      </c>
      <c r="M526" s="143">
        <v>1400000</v>
      </c>
      <c r="N526" s="319"/>
      <c r="O526" s="14"/>
    </row>
    <row r="527" spans="1:15" ht="15.75">
      <c r="A527" s="1552"/>
      <c r="B527" s="364"/>
      <c r="C527" s="316"/>
      <c r="D527" s="270"/>
      <c r="E527" s="295"/>
      <c r="F527" s="159"/>
      <c r="G527" s="288"/>
      <c r="H527" s="161"/>
      <c r="I527" s="161"/>
      <c r="J527" s="262"/>
      <c r="K527" s="135">
        <v>11695</v>
      </c>
      <c r="L527" s="136" t="s">
        <v>335</v>
      </c>
      <c r="M527" s="143">
        <v>1250000</v>
      </c>
      <c r="N527" s="319"/>
      <c r="O527" s="14"/>
    </row>
    <row r="528" spans="1:15" ht="15.75">
      <c r="A528" s="1552"/>
      <c r="B528" s="368"/>
      <c r="C528" s="316"/>
      <c r="D528" s="270"/>
      <c r="E528" s="295"/>
      <c r="F528" s="159"/>
      <c r="G528" s="288"/>
      <c r="H528" s="161"/>
      <c r="I528" s="161"/>
      <c r="J528" s="368"/>
      <c r="K528" s="135">
        <v>11558</v>
      </c>
      <c r="L528" s="136" t="s">
        <v>365</v>
      </c>
      <c r="M528" s="143">
        <v>1100000</v>
      </c>
      <c r="N528" s="319"/>
      <c r="O528" s="31"/>
    </row>
    <row r="529" spans="1:15" ht="18">
      <c r="A529" s="1542"/>
      <c r="B529" s="215"/>
      <c r="C529" s="215"/>
      <c r="D529" s="214"/>
      <c r="E529" s="332">
        <f>SUM(E524:E528)</f>
        <v>0</v>
      </c>
      <c r="F529" s="214"/>
      <c r="G529" s="281">
        <f>SUM(G524:G528)</f>
        <v>0</v>
      </c>
      <c r="H529" s="214"/>
      <c r="I529" s="214"/>
      <c r="J529" s="214"/>
      <c r="K529" s="275"/>
      <c r="L529" s="275"/>
      <c r="M529" s="628">
        <f>SUM(M524:M528)</f>
        <v>6420000</v>
      </c>
      <c r="N529" s="304"/>
      <c r="O529" s="14"/>
    </row>
    <row r="532" spans="1:15" ht="18">
      <c r="A532" s="1535" t="s">
        <v>68</v>
      </c>
      <c r="B532" s="1535"/>
      <c r="C532" s="365"/>
      <c r="D532" s="341">
        <f>E477+E488+E498+E518+E529</f>
        <v>22040000</v>
      </c>
    </row>
    <row r="533" spans="1:15">
      <c r="A533" s="1536" t="s">
        <v>69</v>
      </c>
      <c r="B533" s="1536"/>
      <c r="C533" s="22"/>
      <c r="D533" s="20"/>
    </row>
    <row r="534" spans="1:15">
      <c r="A534" s="1537" t="s">
        <v>70</v>
      </c>
      <c r="B534" s="1537"/>
      <c r="C534" s="101"/>
      <c r="D534" s="21"/>
    </row>
    <row r="538" spans="1:15" ht="31.5">
      <c r="A538" s="1561" t="s">
        <v>381</v>
      </c>
      <c r="B538" s="1562"/>
      <c r="C538" s="1562"/>
      <c r="D538" s="1562"/>
      <c r="E538" s="1562"/>
      <c r="F538" s="1562"/>
      <c r="G538" s="1562"/>
      <c r="H538" s="1562"/>
      <c r="I538" s="1562"/>
      <c r="J538" s="1562"/>
      <c r="K538" s="1562"/>
      <c r="L538" s="1562"/>
      <c r="M538" s="1562"/>
      <c r="N538" s="1562"/>
      <c r="O538" s="1562"/>
    </row>
    <row r="539" spans="1:15" ht="23.25">
      <c r="A539" s="1548" t="s">
        <v>1</v>
      </c>
      <c r="B539" s="1532"/>
      <c r="C539" s="1532"/>
      <c r="D539" s="1532"/>
      <c r="E539" s="1532"/>
      <c r="F539" s="1532"/>
      <c r="G539" s="1532"/>
      <c r="H539" s="1532"/>
      <c r="I539" s="1532"/>
      <c r="J539" s="1532"/>
      <c r="K539" s="1533" t="s">
        <v>2</v>
      </c>
      <c r="L539" s="1533"/>
      <c r="M539" s="1533"/>
      <c r="N539" s="1533"/>
      <c r="O539" s="1533"/>
    </row>
    <row r="540" spans="1:15" ht="30">
      <c r="A540" s="3" t="s">
        <v>3</v>
      </c>
      <c r="B540" s="361" t="s">
        <v>120</v>
      </c>
      <c r="C540" s="35" t="s">
        <v>4</v>
      </c>
      <c r="D540" s="1" t="s">
        <v>5</v>
      </c>
      <c r="E540" s="1" t="s">
        <v>6</v>
      </c>
      <c r="F540" s="1" t="s">
        <v>7</v>
      </c>
      <c r="G540" s="1" t="s">
        <v>8</v>
      </c>
      <c r="H540" s="1" t="s">
        <v>9</v>
      </c>
      <c r="I540" s="1" t="s">
        <v>10</v>
      </c>
      <c r="J540" s="3" t="s">
        <v>11</v>
      </c>
      <c r="K540" s="40" t="s">
        <v>12</v>
      </c>
      <c r="L540" s="40" t="s">
        <v>5</v>
      </c>
      <c r="M540" s="40" t="s">
        <v>13</v>
      </c>
      <c r="N540" s="129" t="s">
        <v>7</v>
      </c>
      <c r="O540" s="68" t="s">
        <v>14</v>
      </c>
    </row>
    <row r="541" spans="1:15" ht="15.75">
      <c r="A541" s="1552" t="s">
        <v>382</v>
      </c>
      <c r="B541" s="135">
        <v>11751</v>
      </c>
      <c r="C541" s="233">
        <v>0.1</v>
      </c>
      <c r="D541" s="136" t="s">
        <v>383</v>
      </c>
      <c r="E541" s="143">
        <v>1200000</v>
      </c>
      <c r="F541" s="138">
        <v>0.1</v>
      </c>
      <c r="G541" s="278">
        <f>E541*F541</f>
        <v>120000</v>
      </c>
      <c r="H541" s="135" t="s">
        <v>180</v>
      </c>
      <c r="I541" s="135" t="s">
        <v>333</v>
      </c>
      <c r="J541" s="541"/>
      <c r="K541" s="16"/>
      <c r="L541" s="10"/>
      <c r="M541" s="57"/>
      <c r="N541" s="10"/>
      <c r="O541" s="27"/>
    </row>
    <row r="542" spans="1:15" ht="15.75">
      <c r="A542" s="1552"/>
      <c r="B542" s="135">
        <v>11764</v>
      </c>
      <c r="C542" s="233">
        <v>0.1</v>
      </c>
      <c r="D542" s="136" t="s">
        <v>384</v>
      </c>
      <c r="E542" s="143">
        <v>1200000</v>
      </c>
      <c r="F542" s="138">
        <v>0.1</v>
      </c>
      <c r="G542" s="278">
        <f t="shared" ref="G542:G561" si="13">E542*F542</f>
        <v>120000</v>
      </c>
      <c r="H542" s="135" t="s">
        <v>180</v>
      </c>
      <c r="I542" s="135" t="s">
        <v>333</v>
      </c>
      <c r="J542" s="541"/>
      <c r="K542" s="16"/>
      <c r="L542" s="10"/>
      <c r="M542" s="57"/>
      <c r="N542" s="10"/>
      <c r="O542" s="27"/>
    </row>
    <row r="543" spans="1:15" ht="15.75">
      <c r="A543" s="1552"/>
      <c r="B543" s="135">
        <v>11750</v>
      </c>
      <c r="C543" s="233">
        <v>0.1</v>
      </c>
      <c r="D543" s="136" t="s">
        <v>385</v>
      </c>
      <c r="E543" s="143">
        <v>1300000</v>
      </c>
      <c r="F543" s="138">
        <v>0.06</v>
      </c>
      <c r="G543" s="278">
        <f t="shared" si="13"/>
        <v>78000</v>
      </c>
      <c r="H543" s="135" t="s">
        <v>185</v>
      </c>
      <c r="I543" s="135" t="s">
        <v>234</v>
      </c>
      <c r="J543" s="541"/>
      <c r="K543" s="16"/>
      <c r="L543" s="10"/>
      <c r="M543" s="57"/>
      <c r="N543" s="10"/>
      <c r="O543" s="27"/>
    </row>
    <row r="544" spans="1:15" ht="15.75">
      <c r="A544" s="1552"/>
      <c r="B544" s="135">
        <v>11744</v>
      </c>
      <c r="C544" s="233">
        <v>0.1</v>
      </c>
      <c r="D544" s="136" t="s">
        <v>386</v>
      </c>
      <c r="E544" s="143">
        <v>1050000</v>
      </c>
      <c r="F544" s="138">
        <v>0.05</v>
      </c>
      <c r="G544" s="278">
        <f t="shared" si="13"/>
        <v>52500</v>
      </c>
      <c r="H544" s="135" t="s">
        <v>318</v>
      </c>
      <c r="I544" s="135" t="s">
        <v>333</v>
      </c>
      <c r="J544" s="541"/>
      <c r="K544" s="16"/>
      <c r="L544" s="10"/>
      <c r="M544" s="57"/>
      <c r="N544" s="10"/>
      <c r="O544" s="27"/>
    </row>
    <row r="545" spans="1:15" ht="15.75">
      <c r="A545" s="1552"/>
      <c r="B545" s="135">
        <v>11792</v>
      </c>
      <c r="C545" s="233">
        <v>0.1</v>
      </c>
      <c r="D545" s="136" t="s">
        <v>387</v>
      </c>
      <c r="E545" s="143">
        <v>1300000</v>
      </c>
      <c r="F545" s="138">
        <v>0.05</v>
      </c>
      <c r="G545" s="278">
        <f t="shared" si="13"/>
        <v>65000</v>
      </c>
      <c r="H545" s="135" t="s">
        <v>318</v>
      </c>
      <c r="I545" s="135" t="s">
        <v>333</v>
      </c>
      <c r="J545" s="541"/>
      <c r="K545" s="16"/>
      <c r="L545" s="10"/>
      <c r="M545" s="57"/>
      <c r="N545" s="10"/>
      <c r="O545" s="27"/>
    </row>
    <row r="546" spans="1:15" ht="15.75">
      <c r="A546" s="1552"/>
      <c r="B546" s="135">
        <v>11784</v>
      </c>
      <c r="C546" s="233">
        <v>0.1</v>
      </c>
      <c r="D546" s="136" t="s">
        <v>388</v>
      </c>
      <c r="E546" s="143">
        <v>1300000</v>
      </c>
      <c r="F546" s="138">
        <v>0.05</v>
      </c>
      <c r="G546" s="278">
        <f t="shared" si="13"/>
        <v>65000</v>
      </c>
      <c r="H546" s="135" t="s">
        <v>318</v>
      </c>
      <c r="I546" s="135" t="s">
        <v>333</v>
      </c>
      <c r="J546" s="541"/>
      <c r="K546" s="16"/>
      <c r="L546" s="10"/>
      <c r="M546" s="57"/>
      <c r="N546" s="10"/>
      <c r="O546" s="27"/>
    </row>
    <row r="547" spans="1:15" ht="15.75">
      <c r="A547" s="1552"/>
      <c r="B547" s="135">
        <v>11835</v>
      </c>
      <c r="C547" s="233">
        <v>0.1</v>
      </c>
      <c r="D547" s="136" t="s">
        <v>389</v>
      </c>
      <c r="E547" s="143">
        <v>1300000</v>
      </c>
      <c r="F547" s="138">
        <v>0.1</v>
      </c>
      <c r="G547" s="278">
        <f t="shared" si="13"/>
        <v>130000</v>
      </c>
      <c r="H547" s="135" t="s">
        <v>180</v>
      </c>
      <c r="I547" s="135" t="s">
        <v>333</v>
      </c>
      <c r="J547" s="541"/>
      <c r="K547" s="16"/>
      <c r="L547" s="10"/>
      <c r="M547" s="57"/>
      <c r="N547" s="10"/>
      <c r="O547" s="27"/>
    </row>
    <row r="548" spans="1:15" ht="15.75">
      <c r="A548" s="1552"/>
      <c r="B548" s="135">
        <v>11837</v>
      </c>
      <c r="C548" s="233">
        <v>0.1</v>
      </c>
      <c r="D548" s="136" t="s">
        <v>390</v>
      </c>
      <c r="E548" s="143">
        <v>700000</v>
      </c>
      <c r="F548" s="138">
        <v>0.1</v>
      </c>
      <c r="G548" s="278">
        <f t="shared" si="13"/>
        <v>70000</v>
      </c>
      <c r="H548" s="135" t="s">
        <v>180</v>
      </c>
      <c r="I548" s="135" t="s">
        <v>234</v>
      </c>
      <c r="J548" s="541"/>
      <c r="K548" s="16"/>
      <c r="L548" s="10"/>
      <c r="M548" s="57"/>
      <c r="N548" s="10"/>
      <c r="O548" s="27"/>
    </row>
    <row r="549" spans="1:15" ht="15.75">
      <c r="A549" s="1552"/>
      <c r="B549" s="135">
        <v>11853</v>
      </c>
      <c r="C549" s="233">
        <v>0.1</v>
      </c>
      <c r="D549" s="136" t="s">
        <v>391</v>
      </c>
      <c r="E549" s="143">
        <v>900000</v>
      </c>
      <c r="F549" s="138">
        <v>0.1</v>
      </c>
      <c r="G549" s="278">
        <f t="shared" si="13"/>
        <v>90000</v>
      </c>
      <c r="H549" s="135" t="s">
        <v>180</v>
      </c>
      <c r="I549" s="135" t="s">
        <v>333</v>
      </c>
      <c r="J549" s="541"/>
      <c r="K549" s="16"/>
      <c r="L549" s="10"/>
      <c r="M549" s="57"/>
      <c r="N549" s="10"/>
      <c r="O549" s="27"/>
    </row>
    <row r="550" spans="1:15" ht="15.75">
      <c r="A550" s="1552"/>
      <c r="B550" s="135">
        <v>11852</v>
      </c>
      <c r="C550" s="233">
        <v>0.1</v>
      </c>
      <c r="D550" s="136" t="s">
        <v>392</v>
      </c>
      <c r="E550" s="143">
        <v>1400000</v>
      </c>
      <c r="F550" s="138">
        <v>0.1</v>
      </c>
      <c r="G550" s="278">
        <f t="shared" si="13"/>
        <v>140000</v>
      </c>
      <c r="H550" s="135" t="s">
        <v>180</v>
      </c>
      <c r="I550" s="135" t="s">
        <v>333</v>
      </c>
      <c r="J550" s="541"/>
      <c r="K550" s="16"/>
      <c r="L550" s="10"/>
      <c r="M550" s="57"/>
      <c r="N550" s="10"/>
      <c r="O550" s="27"/>
    </row>
    <row r="551" spans="1:15" ht="15.75">
      <c r="A551" s="1552"/>
      <c r="B551" s="135">
        <v>11865</v>
      </c>
      <c r="C551" s="233">
        <v>0.1</v>
      </c>
      <c r="D551" s="136" t="s">
        <v>393</v>
      </c>
      <c r="E551" s="143">
        <v>1500000</v>
      </c>
      <c r="F551" s="138">
        <v>0.1</v>
      </c>
      <c r="G551" s="278">
        <f t="shared" si="13"/>
        <v>150000</v>
      </c>
      <c r="H551" s="135" t="s">
        <v>180</v>
      </c>
      <c r="I551" s="135" t="s">
        <v>234</v>
      </c>
      <c r="J551" s="541"/>
      <c r="K551" s="16"/>
      <c r="L551" s="10"/>
      <c r="M551" s="57"/>
      <c r="N551" s="10"/>
      <c r="O551" s="27"/>
    </row>
    <row r="552" spans="1:15" ht="15.75">
      <c r="A552" s="1552"/>
      <c r="B552" s="135">
        <v>11869</v>
      </c>
      <c r="C552" s="233">
        <v>0.1</v>
      </c>
      <c r="D552" s="136" t="s">
        <v>394</v>
      </c>
      <c r="E552" s="143">
        <v>1200000</v>
      </c>
      <c r="F552" s="138">
        <v>0.1</v>
      </c>
      <c r="G552" s="278">
        <f t="shared" si="13"/>
        <v>120000</v>
      </c>
      <c r="H552" s="135" t="s">
        <v>180</v>
      </c>
      <c r="I552" s="135" t="s">
        <v>234</v>
      </c>
      <c r="J552" s="541"/>
      <c r="K552" s="16"/>
      <c r="L552" s="10"/>
      <c r="M552" s="57"/>
      <c r="N552" s="10"/>
      <c r="O552" s="27"/>
    </row>
    <row r="553" spans="1:15" ht="15.75">
      <c r="A553" s="1552"/>
      <c r="B553" s="135">
        <v>11871</v>
      </c>
      <c r="C553" s="331">
        <v>0.08</v>
      </c>
      <c r="D553" s="136" t="s">
        <v>395</v>
      </c>
      <c r="E553" s="143">
        <v>1400000</v>
      </c>
      <c r="F553" s="140">
        <v>0.08</v>
      </c>
      <c r="G553" s="278">
        <f t="shared" si="13"/>
        <v>112000</v>
      </c>
      <c r="H553" s="135" t="s">
        <v>180</v>
      </c>
      <c r="I553" s="135" t="s">
        <v>333</v>
      </c>
      <c r="J553" s="541"/>
      <c r="K553" s="16"/>
      <c r="L553" s="10"/>
      <c r="M553" s="57"/>
      <c r="N553" s="10"/>
      <c r="O553" s="27"/>
    </row>
    <row r="554" spans="1:15" ht="15.75">
      <c r="A554" s="1552"/>
      <c r="B554" s="135">
        <v>11875</v>
      </c>
      <c r="C554" s="331">
        <v>0.08</v>
      </c>
      <c r="D554" s="136" t="s">
        <v>396</v>
      </c>
      <c r="E554" s="143">
        <v>1450000</v>
      </c>
      <c r="F554" s="140">
        <v>0.08</v>
      </c>
      <c r="G554" s="278">
        <f t="shared" si="13"/>
        <v>116000</v>
      </c>
      <c r="H554" s="135" t="s">
        <v>180</v>
      </c>
      <c r="I554" s="135" t="s">
        <v>234</v>
      </c>
      <c r="J554" s="541"/>
      <c r="K554" s="16"/>
      <c r="L554" s="10"/>
      <c r="M554" s="57"/>
      <c r="N554" s="10"/>
      <c r="O554" s="27"/>
    </row>
    <row r="555" spans="1:15" ht="15.75">
      <c r="A555" s="1552"/>
      <c r="B555" s="135">
        <v>11883</v>
      </c>
      <c r="C555" s="233">
        <v>0.1</v>
      </c>
      <c r="D555" s="136" t="s">
        <v>397</v>
      </c>
      <c r="E555" s="143">
        <v>1300000</v>
      </c>
      <c r="F555" s="138">
        <v>0.1</v>
      </c>
      <c r="G555" s="278">
        <f t="shared" si="13"/>
        <v>130000</v>
      </c>
      <c r="H555" s="135" t="s">
        <v>180</v>
      </c>
      <c r="I555" s="135" t="s">
        <v>234</v>
      </c>
      <c r="J555" s="541"/>
      <c r="K555" s="16"/>
      <c r="L555" s="10"/>
      <c r="M555" s="57"/>
      <c r="N555" s="10"/>
      <c r="O555" s="27"/>
    </row>
    <row r="556" spans="1:15" ht="15.75">
      <c r="A556" s="1552"/>
      <c r="B556" s="135">
        <v>11908</v>
      </c>
      <c r="C556" s="233">
        <v>0.1</v>
      </c>
      <c r="D556" s="651" t="s">
        <v>398</v>
      </c>
      <c r="E556" s="143">
        <v>1000000</v>
      </c>
      <c r="F556" s="138">
        <v>0.1</v>
      </c>
      <c r="G556" s="278">
        <f t="shared" si="13"/>
        <v>100000</v>
      </c>
      <c r="H556" s="135" t="s">
        <v>286</v>
      </c>
      <c r="I556" s="135" t="s">
        <v>333</v>
      </c>
      <c r="J556" s="541"/>
      <c r="K556" s="16"/>
      <c r="L556" s="10"/>
      <c r="M556" s="57"/>
      <c r="N556" s="10"/>
      <c r="O556" s="27"/>
    </row>
    <row r="557" spans="1:15" ht="15.75">
      <c r="A557" s="1552"/>
      <c r="B557" s="135">
        <v>11914</v>
      </c>
      <c r="C557" s="557">
        <v>0.1</v>
      </c>
      <c r="D557" s="652" t="s">
        <v>399</v>
      </c>
      <c r="E557" s="558">
        <v>1050000</v>
      </c>
      <c r="F557" s="138">
        <v>0.1</v>
      </c>
      <c r="G557" s="278">
        <f t="shared" si="13"/>
        <v>105000</v>
      </c>
      <c r="H557" s="135" t="s">
        <v>185</v>
      </c>
      <c r="I557" s="135" t="s">
        <v>333</v>
      </c>
      <c r="J557" s="541"/>
      <c r="K557" s="16"/>
      <c r="L557" s="10"/>
      <c r="M557" s="57"/>
      <c r="N557" s="10"/>
      <c r="O557" s="27"/>
    </row>
    <row r="558" spans="1:15" ht="15.75">
      <c r="A558" s="1552"/>
      <c r="B558" s="135">
        <v>11921</v>
      </c>
      <c r="C558" s="557">
        <v>0.1</v>
      </c>
      <c r="D558" s="660" t="s">
        <v>400</v>
      </c>
      <c r="E558" s="558">
        <v>1150000</v>
      </c>
      <c r="F558" s="138">
        <v>0.1</v>
      </c>
      <c r="G558" s="278">
        <f t="shared" si="13"/>
        <v>115000</v>
      </c>
      <c r="H558" s="135" t="s">
        <v>180</v>
      </c>
      <c r="I558" s="135" t="s">
        <v>333</v>
      </c>
      <c r="J558" s="541"/>
      <c r="K558" s="16"/>
      <c r="L558" s="10"/>
      <c r="M558" s="57"/>
      <c r="N558" s="10"/>
      <c r="O558" s="27"/>
    </row>
    <row r="559" spans="1:15" ht="15.75">
      <c r="A559" s="1552"/>
      <c r="B559" s="135">
        <v>11931</v>
      </c>
      <c r="C559" s="557">
        <v>0.1</v>
      </c>
      <c r="D559" s="660" t="s">
        <v>401</v>
      </c>
      <c r="E559" s="558">
        <v>1300000</v>
      </c>
      <c r="F559" s="138">
        <v>0.1</v>
      </c>
      <c r="G559" s="278">
        <f t="shared" si="13"/>
        <v>130000</v>
      </c>
      <c r="H559" s="135" t="s">
        <v>318</v>
      </c>
      <c r="I559" s="135" t="s">
        <v>333</v>
      </c>
      <c r="J559" s="541"/>
      <c r="K559" s="16"/>
      <c r="L559" s="10"/>
      <c r="M559" s="57"/>
      <c r="N559" s="10"/>
      <c r="O559" s="27"/>
    </row>
    <row r="560" spans="1:15" ht="15.75">
      <c r="A560" s="1552"/>
      <c r="B560" s="135">
        <v>11938</v>
      </c>
      <c r="C560" s="233">
        <v>0.1</v>
      </c>
      <c r="D560" s="242" t="s">
        <v>402</v>
      </c>
      <c r="E560" s="143">
        <v>1100000</v>
      </c>
      <c r="F560" s="138">
        <v>0.06</v>
      </c>
      <c r="G560" s="278">
        <f t="shared" si="13"/>
        <v>66000</v>
      </c>
      <c r="H560" s="135" t="s">
        <v>185</v>
      </c>
      <c r="I560" s="135" t="s">
        <v>333</v>
      </c>
      <c r="J560" s="541"/>
      <c r="K560" s="16"/>
      <c r="L560" s="10"/>
      <c r="M560" s="57"/>
      <c r="N560" s="10"/>
      <c r="O560" s="27"/>
    </row>
    <row r="561" spans="1:15" ht="15.75">
      <c r="A561" s="1552"/>
      <c r="B561" s="135">
        <v>11939</v>
      </c>
      <c r="C561" s="233">
        <v>0.1</v>
      </c>
      <c r="D561" s="242" t="s">
        <v>403</v>
      </c>
      <c r="E561" s="143">
        <v>950000</v>
      </c>
      <c r="F561" s="138">
        <v>0.05</v>
      </c>
      <c r="G561" s="278">
        <f t="shared" si="13"/>
        <v>47500</v>
      </c>
      <c r="H561" s="135" t="s">
        <v>404</v>
      </c>
      <c r="I561" s="135" t="s">
        <v>333</v>
      </c>
      <c r="J561" s="541"/>
      <c r="K561" s="16"/>
      <c r="L561" s="10"/>
      <c r="M561" s="57"/>
      <c r="N561" s="10"/>
      <c r="O561" s="27"/>
    </row>
    <row r="562" spans="1:15" ht="15.75">
      <c r="A562" s="1552"/>
      <c r="B562" s="211" t="s">
        <v>405</v>
      </c>
      <c r="C562" s="267"/>
      <c r="D562" s="277" t="s">
        <v>406</v>
      </c>
      <c r="E562" s="308"/>
      <c r="F562" s="220"/>
      <c r="G562" s="268"/>
      <c r="H562" s="211"/>
      <c r="I562" s="211" t="s">
        <v>333</v>
      </c>
      <c r="J562" s="573" t="s">
        <v>407</v>
      </c>
      <c r="K562" s="16"/>
      <c r="L562" s="10"/>
      <c r="M562" s="57"/>
      <c r="N562" s="10"/>
      <c r="O562" s="27"/>
    </row>
    <row r="563" spans="1:15" ht="15.75">
      <c r="A563" s="1552"/>
      <c r="B563" s="211" t="s">
        <v>257</v>
      </c>
      <c r="C563" s="267"/>
      <c r="D563" s="277" t="s">
        <v>408</v>
      </c>
      <c r="E563" s="308"/>
      <c r="F563" s="220"/>
      <c r="G563" s="268"/>
      <c r="H563" s="211"/>
      <c r="I563" s="211" t="s">
        <v>333</v>
      </c>
      <c r="J563" s="573" t="s">
        <v>349</v>
      </c>
      <c r="K563" s="16"/>
      <c r="L563" s="10"/>
      <c r="M563" s="57"/>
      <c r="N563" s="10"/>
      <c r="O563" s="27"/>
    </row>
    <row r="564" spans="1:15" ht="15" customHeight="1">
      <c r="A564" s="1552"/>
      <c r="B564" s="211" t="s">
        <v>245</v>
      </c>
      <c r="C564" s="267"/>
      <c r="D564" s="277" t="s">
        <v>409</v>
      </c>
      <c r="E564" s="308"/>
      <c r="F564" s="220"/>
      <c r="G564" s="268"/>
      <c r="H564" s="211"/>
      <c r="I564" s="211" t="s">
        <v>333</v>
      </c>
      <c r="J564" s="573" t="s">
        <v>410</v>
      </c>
      <c r="K564" s="16"/>
      <c r="L564" s="10"/>
      <c r="M564" s="57"/>
      <c r="N564" s="10"/>
      <c r="O564" s="27"/>
    </row>
    <row r="565" spans="1:15" ht="15" customHeight="1">
      <c r="A565" s="1552"/>
      <c r="B565" s="211" t="s">
        <v>245</v>
      </c>
      <c r="C565" s="267"/>
      <c r="D565" s="277" t="s">
        <v>411</v>
      </c>
      <c r="E565" s="308"/>
      <c r="F565" s="220"/>
      <c r="G565" s="268"/>
      <c r="H565" s="503"/>
      <c r="I565" s="211" t="s">
        <v>333</v>
      </c>
      <c r="J565" s="573" t="s">
        <v>301</v>
      </c>
      <c r="K565" s="518"/>
      <c r="L565" s="57"/>
      <c r="M565" s="57"/>
      <c r="N565" s="57"/>
      <c r="O565" s="27"/>
    </row>
    <row r="566" spans="1:15" ht="18.75">
      <c r="A566" s="1542"/>
      <c r="B566" s="7"/>
      <c r="C566" s="7"/>
      <c r="D566" s="42"/>
      <c r="E566" s="332">
        <f>SUM(E541:E565)</f>
        <v>25050000</v>
      </c>
      <c r="F566" s="42"/>
      <c r="G566" s="281">
        <f>SUM(G541:G565)</f>
        <v>2122000</v>
      </c>
      <c r="H566" s="42"/>
      <c r="I566" s="519"/>
      <c r="J566" s="520"/>
      <c r="K566" s="11"/>
      <c r="L566" s="11"/>
      <c r="M566" s="668" t="s">
        <v>34</v>
      </c>
      <c r="N566" s="601"/>
      <c r="O566" s="669">
        <f>G566</f>
        <v>2122000</v>
      </c>
    </row>
    <row r="570" spans="1:15" ht="23.25">
      <c r="A570" s="1563" t="s">
        <v>138</v>
      </c>
      <c r="B570" s="1564"/>
      <c r="C570" s="1564"/>
      <c r="D570" s="1564"/>
      <c r="E570" s="1564"/>
      <c r="F570" s="1564"/>
      <c r="G570" s="1564"/>
      <c r="H570" s="1564"/>
      <c r="I570" s="1564"/>
      <c r="J570" s="1565"/>
      <c r="K570" s="1557" t="s">
        <v>2</v>
      </c>
      <c r="L570" s="1557"/>
      <c r="M570" s="1557"/>
      <c r="N570" s="1557"/>
      <c r="O570" s="1557"/>
    </row>
    <row r="571" spans="1:15" ht="30">
      <c r="A571" s="3" t="s">
        <v>3</v>
      </c>
      <c r="B571" s="657" t="s">
        <v>120</v>
      </c>
      <c r="C571" s="125" t="s">
        <v>4</v>
      </c>
      <c r="D571" s="68" t="s">
        <v>5</v>
      </c>
      <c r="E571" s="68" t="s">
        <v>6</v>
      </c>
      <c r="F571" s="68" t="s">
        <v>7</v>
      </c>
      <c r="G571" s="68" t="s">
        <v>8</v>
      </c>
      <c r="H571" s="68" t="s">
        <v>9</v>
      </c>
      <c r="I571" s="68" t="s">
        <v>10</v>
      </c>
      <c r="J571" s="68" t="s">
        <v>11</v>
      </c>
      <c r="K571" s="68" t="s">
        <v>12</v>
      </c>
      <c r="L571" s="68" t="s">
        <v>5</v>
      </c>
      <c r="M571" s="68" t="s">
        <v>13</v>
      </c>
      <c r="N571" s="129" t="s">
        <v>7</v>
      </c>
      <c r="O571" s="40" t="s">
        <v>14</v>
      </c>
    </row>
    <row r="572" spans="1:15" ht="15.75">
      <c r="A572" s="1552" t="s">
        <v>412</v>
      </c>
      <c r="B572" s="346">
        <v>11774</v>
      </c>
      <c r="C572" s="148">
        <v>0.1</v>
      </c>
      <c r="D572" s="149" t="s">
        <v>413</v>
      </c>
      <c r="E572" s="141">
        <v>1350000</v>
      </c>
      <c r="F572" s="148">
        <v>0.1</v>
      </c>
      <c r="G572" s="335">
        <f>E572*F572</f>
        <v>135000</v>
      </c>
      <c r="H572" s="147" t="s">
        <v>286</v>
      </c>
      <c r="I572" s="147" t="s">
        <v>234</v>
      </c>
      <c r="J572" s="528"/>
      <c r="K572" s="135">
        <v>11908</v>
      </c>
      <c r="L572" s="652" t="s">
        <v>398</v>
      </c>
      <c r="M572" s="558">
        <v>1000000</v>
      </c>
      <c r="N572" s="672">
        <v>0.05</v>
      </c>
      <c r="O572" s="673">
        <f>M572*N572</f>
        <v>50000</v>
      </c>
    </row>
    <row r="573" spans="1:15" ht="15.75">
      <c r="A573" s="1552"/>
      <c r="B573" s="346">
        <v>11801</v>
      </c>
      <c r="C573" s="148">
        <v>0.1</v>
      </c>
      <c r="D573" s="149" t="s">
        <v>414</v>
      </c>
      <c r="E573" s="141">
        <v>1200000</v>
      </c>
      <c r="F573" s="148">
        <v>0.06</v>
      </c>
      <c r="G573" s="335">
        <f t="shared" ref="G573:G576" si="14">E573*F573</f>
        <v>72000</v>
      </c>
      <c r="H573" s="147" t="s">
        <v>185</v>
      </c>
      <c r="I573" s="147" t="s">
        <v>234</v>
      </c>
      <c r="J573" s="528"/>
      <c r="K573" s="9"/>
      <c r="L573" s="287"/>
      <c r="M573" s="509"/>
      <c r="N573" s="370"/>
      <c r="O573" s="14"/>
    </row>
    <row r="574" spans="1:15" ht="15.75">
      <c r="A574" s="1552"/>
      <c r="B574" s="346">
        <v>11827</v>
      </c>
      <c r="C574" s="148">
        <v>0.1</v>
      </c>
      <c r="D574" s="149" t="s">
        <v>415</v>
      </c>
      <c r="E574" s="141">
        <v>850000</v>
      </c>
      <c r="F574" s="148">
        <v>0.06</v>
      </c>
      <c r="G574" s="335">
        <f t="shared" si="14"/>
        <v>51000</v>
      </c>
      <c r="H574" s="147" t="s">
        <v>185</v>
      </c>
      <c r="I574" s="147" t="s">
        <v>234</v>
      </c>
      <c r="J574" s="528"/>
      <c r="K574" s="9"/>
      <c r="L574" s="17"/>
      <c r="M574" s="43"/>
      <c r="N574" s="370"/>
      <c r="O574" s="14"/>
    </row>
    <row r="575" spans="1:15" ht="15.75">
      <c r="A575" s="1552"/>
      <c r="B575" s="346">
        <v>11878</v>
      </c>
      <c r="C575" s="148">
        <v>0.1</v>
      </c>
      <c r="D575" s="149" t="s">
        <v>416</v>
      </c>
      <c r="E575" s="141">
        <v>800000</v>
      </c>
      <c r="F575" s="148">
        <v>0.06</v>
      </c>
      <c r="G575" s="335">
        <f t="shared" si="14"/>
        <v>48000</v>
      </c>
      <c r="H575" s="147" t="s">
        <v>185</v>
      </c>
      <c r="I575" s="147" t="s">
        <v>234</v>
      </c>
      <c r="J575" s="528"/>
      <c r="K575" s="9"/>
      <c r="L575" s="17"/>
      <c r="M575" s="43"/>
      <c r="N575" s="370"/>
      <c r="O575" s="14"/>
    </row>
    <row r="576" spans="1:15" ht="15.75">
      <c r="A576" s="1552"/>
      <c r="B576" s="346">
        <v>11929</v>
      </c>
      <c r="C576" s="148">
        <v>0.1</v>
      </c>
      <c r="D576" s="136" t="s">
        <v>417</v>
      </c>
      <c r="E576" s="141">
        <v>1200000</v>
      </c>
      <c r="F576" s="148">
        <v>0.06</v>
      </c>
      <c r="G576" s="335">
        <f t="shared" si="14"/>
        <v>72000</v>
      </c>
      <c r="H576" s="147" t="s">
        <v>185</v>
      </c>
      <c r="I576" s="147" t="s">
        <v>333</v>
      </c>
      <c r="J576" s="528"/>
      <c r="K576" s="9"/>
      <c r="L576" s="17"/>
      <c r="M576" s="43"/>
      <c r="N576" s="370"/>
      <c r="O576" s="14"/>
    </row>
    <row r="577" spans="1:15" ht="15.75">
      <c r="A577" s="1552"/>
      <c r="B577" s="362" t="s">
        <v>245</v>
      </c>
      <c r="C577" s="285"/>
      <c r="D577" s="277" t="s">
        <v>418</v>
      </c>
      <c r="E577" s="305"/>
      <c r="F577" s="285"/>
      <c r="G577" s="328"/>
      <c r="H577" s="289"/>
      <c r="I577" s="289" t="s">
        <v>333</v>
      </c>
      <c r="J577" s="529" t="s">
        <v>419</v>
      </c>
      <c r="K577" s="9"/>
      <c r="L577" s="17"/>
      <c r="M577" s="43"/>
      <c r="N577" s="370"/>
      <c r="O577" s="14"/>
    </row>
    <row r="578" spans="1:15" ht="15.75">
      <c r="A578" s="1552"/>
      <c r="B578" s="362" t="s">
        <v>373</v>
      </c>
      <c r="C578" s="285"/>
      <c r="D578" s="222" t="s">
        <v>420</v>
      </c>
      <c r="E578" s="305"/>
      <c r="F578" s="285"/>
      <c r="G578" s="328"/>
      <c r="H578" s="289"/>
      <c r="I578" s="289" t="s">
        <v>333</v>
      </c>
      <c r="J578" s="529" t="s">
        <v>257</v>
      </c>
      <c r="K578" s="9"/>
      <c r="L578" s="17"/>
      <c r="M578" s="43"/>
      <c r="N578" s="370"/>
      <c r="O578" s="14"/>
    </row>
    <row r="579" spans="1:15" ht="15.75">
      <c r="A579" s="1552"/>
      <c r="B579" s="362" t="s">
        <v>257</v>
      </c>
      <c r="C579" s="285"/>
      <c r="D579" s="222" t="s">
        <v>421</v>
      </c>
      <c r="E579" s="305"/>
      <c r="F579" s="285"/>
      <c r="G579" s="328"/>
      <c r="H579" s="289"/>
      <c r="I579" s="289" t="s">
        <v>333</v>
      </c>
      <c r="J579" s="529" t="s">
        <v>257</v>
      </c>
      <c r="K579" s="9"/>
      <c r="L579" s="17"/>
      <c r="M579" s="43"/>
      <c r="N579" s="370"/>
      <c r="O579" s="14"/>
    </row>
    <row r="580" spans="1:15" ht="15.75">
      <c r="A580" s="1552"/>
      <c r="B580" s="362" t="s">
        <v>245</v>
      </c>
      <c r="C580" s="285"/>
      <c r="D580" s="222" t="s">
        <v>422</v>
      </c>
      <c r="E580" s="305"/>
      <c r="F580" s="285"/>
      <c r="G580" s="328"/>
      <c r="H580" s="289"/>
      <c r="I580" s="289" t="s">
        <v>234</v>
      </c>
      <c r="J580" s="529" t="s">
        <v>423</v>
      </c>
      <c r="K580" s="9"/>
      <c r="L580" s="17"/>
      <c r="M580" s="43"/>
      <c r="N580" s="370"/>
      <c r="O580" s="14"/>
    </row>
    <row r="581" spans="1:15" ht="15.75">
      <c r="A581" s="1552"/>
      <c r="B581" s="362" t="s">
        <v>405</v>
      </c>
      <c r="C581" s="285"/>
      <c r="D581" s="222" t="s">
        <v>424</v>
      </c>
      <c r="E581" s="305"/>
      <c r="F581" s="285"/>
      <c r="G581" s="328"/>
      <c r="H581" s="289"/>
      <c r="I581" s="289" t="s">
        <v>234</v>
      </c>
      <c r="J581" s="529" t="s">
        <v>425</v>
      </c>
      <c r="K581" s="9"/>
      <c r="L581" s="17"/>
      <c r="M581" s="43"/>
      <c r="N581" s="370"/>
      <c r="O581" s="14"/>
    </row>
    <row r="582" spans="1:15" ht="15.75">
      <c r="A582" s="1552"/>
      <c r="B582" s="512"/>
      <c r="C582" s="290"/>
      <c r="D582" s="206"/>
      <c r="E582" s="291"/>
      <c r="F582" s="290"/>
      <c r="G582" s="307"/>
      <c r="H582" s="73"/>
      <c r="I582" s="73"/>
      <c r="J582" s="616"/>
      <c r="K582" s="9"/>
      <c r="L582" s="17"/>
      <c r="M582" s="43"/>
      <c r="N582" s="370"/>
      <c r="O582" s="14"/>
    </row>
    <row r="583" spans="1:15" ht="18.75">
      <c r="A583" s="1542"/>
      <c r="B583" s="7"/>
      <c r="C583" s="7"/>
      <c r="D583" s="42"/>
      <c r="E583" s="332">
        <f>SUM(E572:E582)</f>
        <v>5400000</v>
      </c>
      <c r="F583" s="42"/>
      <c r="G583" s="281">
        <f>SUM(G572:G582)</f>
        <v>378000</v>
      </c>
      <c r="H583" s="42"/>
      <c r="I583" s="42"/>
      <c r="J583" s="42"/>
      <c r="K583" s="11"/>
      <c r="L583" s="11"/>
      <c r="M583" s="668" t="s">
        <v>34</v>
      </c>
      <c r="N583" s="601"/>
      <c r="O583" s="669">
        <f>G583+O572</f>
        <v>428000</v>
      </c>
    </row>
    <row r="586" spans="1:15" ht="23.25">
      <c r="A586" s="1548" t="s">
        <v>356</v>
      </c>
      <c r="B586" s="1531"/>
      <c r="C586" s="1531"/>
      <c r="D586" s="1531"/>
      <c r="E586" s="1531"/>
      <c r="F586" s="1531"/>
      <c r="G586" s="1531"/>
      <c r="H586" s="1531"/>
      <c r="I586" s="1531"/>
      <c r="J586" s="1554"/>
      <c r="K586" s="1566" t="s">
        <v>2</v>
      </c>
      <c r="L586" s="1567"/>
      <c r="M586" s="1567"/>
      <c r="N586" s="1567"/>
      <c r="O586" s="1568"/>
    </row>
    <row r="587" spans="1:15" ht="30">
      <c r="A587" s="3" t="s">
        <v>3</v>
      </c>
      <c r="B587" s="3" t="s">
        <v>120</v>
      </c>
      <c r="C587" s="2" t="s">
        <v>4</v>
      </c>
      <c r="D587" s="3" t="s">
        <v>5</v>
      </c>
      <c r="E587" s="3" t="s">
        <v>6</v>
      </c>
      <c r="F587" s="3" t="s">
        <v>7</v>
      </c>
      <c r="G587" s="3" t="s">
        <v>8</v>
      </c>
      <c r="H587" s="3" t="s">
        <v>9</v>
      </c>
      <c r="I587" s="3" t="s">
        <v>10</v>
      </c>
      <c r="J587" s="3" t="s">
        <v>11</v>
      </c>
      <c r="K587" s="3" t="s">
        <v>12</v>
      </c>
      <c r="L587" s="3" t="s">
        <v>5</v>
      </c>
      <c r="M587" s="3" t="s">
        <v>13</v>
      </c>
      <c r="N587" s="3" t="s">
        <v>7</v>
      </c>
      <c r="O587" s="3" t="s">
        <v>14</v>
      </c>
    </row>
    <row r="588" spans="1:15" ht="15.75">
      <c r="A588" s="1569" t="s">
        <v>426</v>
      </c>
      <c r="B588" s="741">
        <v>11749</v>
      </c>
      <c r="C588" s="138">
        <v>0.1</v>
      </c>
      <c r="D588" s="137" t="s">
        <v>427</v>
      </c>
      <c r="E588" s="139">
        <v>1350000</v>
      </c>
      <c r="F588" s="138">
        <v>0.05</v>
      </c>
      <c r="G588" s="619">
        <f>E588*F588</f>
        <v>67500</v>
      </c>
      <c r="H588" s="741" t="s">
        <v>185</v>
      </c>
      <c r="I588" s="741" t="s">
        <v>333</v>
      </c>
      <c r="J588" s="137"/>
      <c r="K588" s="687">
        <v>11939</v>
      </c>
      <c r="L588" s="242" t="s">
        <v>403</v>
      </c>
      <c r="M588" s="143">
        <v>950000</v>
      </c>
      <c r="N588" s="683">
        <v>0.04</v>
      </c>
      <c r="O588" s="619">
        <f>M588*N588</f>
        <v>38000</v>
      </c>
    </row>
    <row r="589" spans="1:15" ht="15.75">
      <c r="A589" s="1569"/>
      <c r="B589" s="741">
        <v>11808</v>
      </c>
      <c r="C589" s="138">
        <v>0.1</v>
      </c>
      <c r="D589" s="137" t="s">
        <v>428</v>
      </c>
      <c r="E589" s="139">
        <v>1380000</v>
      </c>
      <c r="F589" s="138">
        <v>0.04</v>
      </c>
      <c r="G589" s="619">
        <f t="shared" ref="G589:G592" si="15">E589*F589</f>
        <v>55200</v>
      </c>
      <c r="H589" s="741" t="s">
        <v>318</v>
      </c>
      <c r="I589" s="741" t="s">
        <v>333</v>
      </c>
      <c r="J589" s="137"/>
      <c r="K589" s="14"/>
      <c r="L589" s="14"/>
      <c r="M589" s="14"/>
      <c r="N589" s="14"/>
      <c r="O589" s="14"/>
    </row>
    <row r="590" spans="1:15" ht="15.75">
      <c r="A590" s="1569"/>
      <c r="B590" s="135">
        <v>11787</v>
      </c>
      <c r="C590" s="233">
        <v>0.1</v>
      </c>
      <c r="D590" s="136" t="s">
        <v>429</v>
      </c>
      <c r="E590" s="139">
        <v>1050000</v>
      </c>
      <c r="F590" s="138">
        <v>0.04</v>
      </c>
      <c r="G590" s="619">
        <f t="shared" si="15"/>
        <v>42000</v>
      </c>
      <c r="H590" s="741" t="s">
        <v>318</v>
      </c>
      <c r="I590" s="741" t="s">
        <v>234</v>
      </c>
      <c r="J590" s="137"/>
      <c r="K590" s="14"/>
      <c r="L590" s="14"/>
      <c r="M590" s="14"/>
      <c r="N590" s="14"/>
      <c r="O590" s="14"/>
    </row>
    <row r="591" spans="1:15" ht="15.75">
      <c r="A591" s="1569"/>
      <c r="B591" s="135">
        <v>11849</v>
      </c>
      <c r="C591" s="233">
        <v>0.1</v>
      </c>
      <c r="D591" s="136" t="s">
        <v>430</v>
      </c>
      <c r="E591" s="139">
        <v>950000</v>
      </c>
      <c r="F591" s="138">
        <v>0.08</v>
      </c>
      <c r="G591" s="619">
        <f t="shared" si="15"/>
        <v>76000</v>
      </c>
      <c r="H591" s="741" t="s">
        <v>431</v>
      </c>
      <c r="I591" s="741" t="s">
        <v>432</v>
      </c>
      <c r="J591" s="137"/>
      <c r="K591" s="14"/>
      <c r="L591" s="14"/>
      <c r="M591" s="14"/>
      <c r="N591" s="14"/>
      <c r="O591" s="14"/>
    </row>
    <row r="592" spans="1:15" ht="15.75">
      <c r="A592" s="1569"/>
      <c r="B592" s="135">
        <v>11850</v>
      </c>
      <c r="C592" s="233">
        <v>0.1</v>
      </c>
      <c r="D592" s="136" t="s">
        <v>433</v>
      </c>
      <c r="E592" s="139">
        <v>1300000</v>
      </c>
      <c r="F592" s="138">
        <v>0.04</v>
      </c>
      <c r="G592" s="619">
        <f t="shared" si="15"/>
        <v>52000</v>
      </c>
      <c r="H592" s="741" t="s">
        <v>318</v>
      </c>
      <c r="I592" s="741" t="s">
        <v>234</v>
      </c>
      <c r="J592" s="137"/>
      <c r="K592" s="14"/>
      <c r="L592" s="14"/>
      <c r="M592" s="14"/>
      <c r="N592" s="14"/>
      <c r="O592" s="14"/>
    </row>
    <row r="593" spans="1:15" ht="15.75">
      <c r="A593" s="1569"/>
      <c r="B593" s="219" t="s">
        <v>245</v>
      </c>
      <c r="C593" s="219"/>
      <c r="D593" s="225" t="s">
        <v>434</v>
      </c>
      <c r="E593" s="221"/>
      <c r="F593" s="225"/>
      <c r="G593" s="219"/>
      <c r="H593" s="225"/>
      <c r="I593" s="219" t="s">
        <v>333</v>
      </c>
      <c r="J593" s="225" t="s">
        <v>361</v>
      </c>
      <c r="K593" s="14"/>
      <c r="L593" s="14"/>
      <c r="M593" s="14"/>
      <c r="N593" s="14"/>
      <c r="O593" s="14"/>
    </row>
    <row r="594" spans="1:15" ht="15.75">
      <c r="A594" s="1569"/>
      <c r="B594" s="219" t="s">
        <v>245</v>
      </c>
      <c r="C594" s="219"/>
      <c r="D594" s="225" t="s">
        <v>435</v>
      </c>
      <c r="E594" s="221"/>
      <c r="F594" s="225"/>
      <c r="G594" s="219"/>
      <c r="H594" s="219"/>
      <c r="I594" s="219" t="s">
        <v>234</v>
      </c>
      <c r="J594" s="225" t="s">
        <v>436</v>
      </c>
      <c r="K594" s="14"/>
      <c r="L594" s="14"/>
      <c r="M594" s="14"/>
      <c r="N594" s="14"/>
      <c r="O594" s="14"/>
    </row>
    <row r="595" spans="1:15" ht="15.75">
      <c r="A595" s="1569"/>
      <c r="B595" s="211" t="s">
        <v>257</v>
      </c>
      <c r="C595" s="267"/>
      <c r="D595" s="277" t="s">
        <v>437</v>
      </c>
      <c r="E595" s="221"/>
      <c r="F595" s="225"/>
      <c r="G595" s="219"/>
      <c r="H595" s="219"/>
      <c r="I595" s="219" t="s">
        <v>234</v>
      </c>
      <c r="J595" s="225" t="s">
        <v>257</v>
      </c>
      <c r="K595" s="14"/>
      <c r="L595" s="14"/>
      <c r="M595" s="14"/>
      <c r="N595" s="14"/>
      <c r="O595" s="14"/>
    </row>
    <row r="596" spans="1:15" ht="15.75">
      <c r="A596" s="1569"/>
      <c r="B596" s="219" t="s">
        <v>405</v>
      </c>
      <c r="C596" s="219"/>
      <c r="D596" s="225" t="s">
        <v>438</v>
      </c>
      <c r="E596" s="221"/>
      <c r="F596" s="225"/>
      <c r="G596" s="219"/>
      <c r="H596" s="225"/>
      <c r="I596" s="219" t="s">
        <v>234</v>
      </c>
      <c r="J596" s="225" t="s">
        <v>439</v>
      </c>
      <c r="K596" s="14"/>
      <c r="L596" s="14"/>
      <c r="M596" s="14"/>
      <c r="N596" s="14"/>
      <c r="O596" s="14"/>
    </row>
    <row r="597" spans="1:15" ht="18.75">
      <c r="A597" s="1570"/>
      <c r="B597" s="71"/>
      <c r="C597" s="71"/>
      <c r="D597" s="14"/>
      <c r="E597" s="154">
        <f>SUM(E588:E596)</f>
        <v>6030000</v>
      </c>
      <c r="F597" s="14"/>
      <c r="G597" s="293">
        <f>SUM(G588:G596)</f>
        <v>292700</v>
      </c>
      <c r="H597" s="14"/>
      <c r="I597" s="14"/>
      <c r="J597" s="14"/>
      <c r="K597" s="14"/>
      <c r="L597" s="14"/>
      <c r="M597" s="670" t="s">
        <v>34</v>
      </c>
      <c r="N597" s="621"/>
      <c r="O597" s="671">
        <f>G597+O588</f>
        <v>330700</v>
      </c>
    </row>
    <row r="601" spans="1:15" ht="23.25">
      <c r="A601" s="1530" t="s">
        <v>56</v>
      </c>
      <c r="B601" s="1532"/>
      <c r="C601" s="1532"/>
      <c r="D601" s="1532"/>
      <c r="E601" s="1532"/>
      <c r="F601" s="1532"/>
      <c r="G601" s="1532"/>
      <c r="H601" s="1532"/>
      <c r="I601" s="1532"/>
      <c r="J601" s="1549"/>
      <c r="K601" s="1558" t="s">
        <v>2</v>
      </c>
      <c r="L601" s="1559"/>
      <c r="M601" s="1559"/>
      <c r="N601" s="1559"/>
      <c r="O601" s="1560"/>
    </row>
    <row r="602" spans="1:15" ht="30">
      <c r="A602" s="126" t="s">
        <v>3</v>
      </c>
      <c r="B602" s="1" t="s">
        <v>120</v>
      </c>
      <c r="C602" s="367" t="s">
        <v>4</v>
      </c>
      <c r="D602" s="1" t="s">
        <v>5</v>
      </c>
      <c r="E602" s="1" t="s">
        <v>6</v>
      </c>
      <c r="F602" s="1" t="s">
        <v>7</v>
      </c>
      <c r="G602" s="1" t="s">
        <v>8</v>
      </c>
      <c r="H602" s="361" t="s">
        <v>9</v>
      </c>
      <c r="I602" s="1" t="s">
        <v>10</v>
      </c>
      <c r="J602" s="126" t="s">
        <v>11</v>
      </c>
      <c r="K602" s="3" t="s">
        <v>12</v>
      </c>
      <c r="L602" s="3" t="s">
        <v>5</v>
      </c>
      <c r="M602" s="3" t="s">
        <v>13</v>
      </c>
      <c r="N602" s="3" t="s">
        <v>7</v>
      </c>
      <c r="O602" s="3" t="s">
        <v>14</v>
      </c>
    </row>
    <row r="603" spans="1:15" ht="15.75">
      <c r="A603" s="1552" t="s">
        <v>440</v>
      </c>
      <c r="B603" s="135">
        <v>11759</v>
      </c>
      <c r="C603" s="233">
        <v>0.1</v>
      </c>
      <c r="D603" s="136" t="s">
        <v>441</v>
      </c>
      <c r="E603" s="143">
        <v>720000</v>
      </c>
      <c r="F603" s="138">
        <v>0.1</v>
      </c>
      <c r="G603" s="278">
        <f>E603*F603</f>
        <v>72000</v>
      </c>
      <c r="H603" s="135" t="s">
        <v>318</v>
      </c>
      <c r="I603" s="135" t="s">
        <v>333</v>
      </c>
      <c r="J603" s="136"/>
      <c r="K603" s="135">
        <v>11792</v>
      </c>
      <c r="L603" s="136" t="s">
        <v>387</v>
      </c>
      <c r="M603" s="143">
        <v>1300000</v>
      </c>
      <c r="N603" s="231">
        <v>0.05</v>
      </c>
      <c r="O603" s="673">
        <f>M603*N603</f>
        <v>65000</v>
      </c>
    </row>
    <row r="604" spans="1:15" ht="15.75">
      <c r="A604" s="1552"/>
      <c r="B604" s="135">
        <v>11798</v>
      </c>
      <c r="C604" s="233">
        <v>0.1</v>
      </c>
      <c r="D604" s="136" t="s">
        <v>442</v>
      </c>
      <c r="E604" s="143">
        <v>1400000</v>
      </c>
      <c r="F604" s="138">
        <v>0.1</v>
      </c>
      <c r="G604" s="278">
        <f t="shared" ref="G604:G614" si="16">E604*F604</f>
        <v>140000</v>
      </c>
      <c r="H604" s="135" t="s">
        <v>318</v>
      </c>
      <c r="I604" s="135" t="s">
        <v>333</v>
      </c>
      <c r="J604" s="136"/>
      <c r="K604" s="135">
        <v>11784</v>
      </c>
      <c r="L604" s="136" t="s">
        <v>388</v>
      </c>
      <c r="M604" s="143">
        <v>1300000</v>
      </c>
      <c r="N604" s="231">
        <v>0.05</v>
      </c>
      <c r="O604" s="673">
        <f t="shared" ref="O604:O609" si="17">M604*N604</f>
        <v>65000</v>
      </c>
    </row>
    <row r="605" spans="1:15" ht="15.75">
      <c r="A605" s="1552"/>
      <c r="B605" s="135">
        <v>11758</v>
      </c>
      <c r="C605" s="233">
        <v>0.1</v>
      </c>
      <c r="D605" s="136" t="s">
        <v>443</v>
      </c>
      <c r="E605" s="143">
        <v>1100000</v>
      </c>
      <c r="F605" s="138">
        <v>0.1</v>
      </c>
      <c r="G605" s="278">
        <f t="shared" si="16"/>
        <v>110000</v>
      </c>
      <c r="H605" s="135" t="s">
        <v>318</v>
      </c>
      <c r="I605" s="135" t="s">
        <v>333</v>
      </c>
      <c r="J605" s="136"/>
      <c r="K605" s="135">
        <v>11931</v>
      </c>
      <c r="L605" s="660" t="s">
        <v>401</v>
      </c>
      <c r="M605" s="558">
        <v>1300000</v>
      </c>
      <c r="N605" s="231">
        <v>0.05</v>
      </c>
      <c r="O605" s="673">
        <f t="shared" ref="O605:O609" si="18">M605*N605</f>
        <v>65000</v>
      </c>
    </row>
    <row r="606" spans="1:15" ht="15.75">
      <c r="A606" s="1552"/>
      <c r="B606" s="135">
        <v>11741</v>
      </c>
      <c r="C606" s="233">
        <v>0.1</v>
      </c>
      <c r="D606" s="136" t="s">
        <v>444</v>
      </c>
      <c r="E606" s="143">
        <v>1200000</v>
      </c>
      <c r="F606" s="138">
        <v>0.1</v>
      </c>
      <c r="G606" s="278">
        <f t="shared" si="16"/>
        <v>120000</v>
      </c>
      <c r="H606" s="135" t="s">
        <v>318</v>
      </c>
      <c r="I606" s="135" t="s">
        <v>234</v>
      </c>
      <c r="J606" s="136"/>
      <c r="K606" s="741">
        <v>11808</v>
      </c>
      <c r="L606" s="137" t="s">
        <v>428</v>
      </c>
      <c r="M606" s="139">
        <v>1380000</v>
      </c>
      <c r="N606" s="231">
        <v>0.05</v>
      </c>
      <c r="O606" s="673">
        <f t="shared" si="18"/>
        <v>69000</v>
      </c>
    </row>
    <row r="607" spans="1:15" ht="15.75">
      <c r="A607" s="1552"/>
      <c r="B607" s="135">
        <v>11807</v>
      </c>
      <c r="C607" s="233">
        <v>0.1</v>
      </c>
      <c r="D607" s="136" t="s">
        <v>445</v>
      </c>
      <c r="E607" s="143">
        <v>750000</v>
      </c>
      <c r="F607" s="138">
        <v>0.1</v>
      </c>
      <c r="G607" s="278">
        <f t="shared" si="16"/>
        <v>75000</v>
      </c>
      <c r="H607" s="135" t="s">
        <v>318</v>
      </c>
      <c r="I607" s="135" t="s">
        <v>234</v>
      </c>
      <c r="J607" s="136"/>
      <c r="K607" s="135">
        <v>11787</v>
      </c>
      <c r="L607" s="136" t="s">
        <v>429</v>
      </c>
      <c r="M607" s="139">
        <v>1050000</v>
      </c>
      <c r="N607" s="231">
        <v>0.05</v>
      </c>
      <c r="O607" s="673">
        <f t="shared" si="18"/>
        <v>52500</v>
      </c>
    </row>
    <row r="608" spans="1:15" ht="15.75">
      <c r="A608" s="1552"/>
      <c r="B608" s="135">
        <v>11796</v>
      </c>
      <c r="C608" s="331">
        <v>0.08</v>
      </c>
      <c r="D608" s="136" t="s">
        <v>446</v>
      </c>
      <c r="E608" s="143">
        <v>1100000</v>
      </c>
      <c r="F608" s="140">
        <v>0.04</v>
      </c>
      <c r="G608" s="278">
        <f t="shared" si="16"/>
        <v>44000</v>
      </c>
      <c r="H608" s="135" t="s">
        <v>359</v>
      </c>
      <c r="I608" s="135" t="s">
        <v>234</v>
      </c>
      <c r="J608" s="136"/>
      <c r="K608" s="135">
        <v>11850</v>
      </c>
      <c r="L608" s="136" t="s">
        <v>433</v>
      </c>
      <c r="M608" s="139">
        <v>1300000</v>
      </c>
      <c r="N608" s="231">
        <v>0.05</v>
      </c>
      <c r="O608" s="673">
        <f t="shared" si="18"/>
        <v>65000</v>
      </c>
    </row>
    <row r="609" spans="1:15" ht="15.75">
      <c r="A609" s="1552"/>
      <c r="B609" s="135">
        <v>11793</v>
      </c>
      <c r="C609" s="233">
        <v>0.1</v>
      </c>
      <c r="D609" s="136" t="s">
        <v>447</v>
      </c>
      <c r="E609" s="143">
        <v>1300000</v>
      </c>
      <c r="F609" s="138">
        <v>0.1</v>
      </c>
      <c r="G609" s="278">
        <f t="shared" si="16"/>
        <v>130000</v>
      </c>
      <c r="H609" s="135" t="s">
        <v>318</v>
      </c>
      <c r="I609" s="135" t="s">
        <v>234</v>
      </c>
      <c r="J609" s="136"/>
      <c r="K609" s="135">
        <v>11744</v>
      </c>
      <c r="L609" s="136" t="s">
        <v>386</v>
      </c>
      <c r="M609" s="143">
        <v>1050000</v>
      </c>
      <c r="N609" s="231">
        <v>0.05</v>
      </c>
      <c r="O609" s="673">
        <f t="shared" si="18"/>
        <v>52500</v>
      </c>
    </row>
    <row r="610" spans="1:15" ht="15.75">
      <c r="A610" s="1552"/>
      <c r="B610" s="135">
        <v>11866</v>
      </c>
      <c r="C610" s="233">
        <v>0.1</v>
      </c>
      <c r="D610" s="136" t="s">
        <v>448</v>
      </c>
      <c r="E610" s="143">
        <v>680000</v>
      </c>
      <c r="F610" s="138">
        <v>0.1</v>
      </c>
      <c r="G610" s="278">
        <f t="shared" si="16"/>
        <v>68000</v>
      </c>
      <c r="H610" s="135" t="s">
        <v>318</v>
      </c>
      <c r="I610" s="135" t="s">
        <v>333</v>
      </c>
      <c r="J610" s="136"/>
      <c r="K610" s="161"/>
      <c r="L610" s="270"/>
      <c r="M610" s="372"/>
      <c r="N610" s="319"/>
      <c r="O610" s="14"/>
    </row>
    <row r="611" spans="1:15" ht="15.75">
      <c r="A611" s="1552"/>
      <c r="B611" s="135">
        <v>11885</v>
      </c>
      <c r="C611" s="233">
        <v>0.1</v>
      </c>
      <c r="D611" s="136" t="s">
        <v>449</v>
      </c>
      <c r="E611" s="143">
        <v>850000</v>
      </c>
      <c r="F611" s="138">
        <v>0.06</v>
      </c>
      <c r="G611" s="278">
        <f t="shared" si="16"/>
        <v>51000</v>
      </c>
      <c r="H611" s="135" t="s">
        <v>185</v>
      </c>
      <c r="I611" s="135" t="s">
        <v>333</v>
      </c>
      <c r="J611" s="136"/>
      <c r="K611" s="161"/>
      <c r="L611" s="270"/>
      <c r="M611" s="372"/>
      <c r="N611" s="319"/>
      <c r="O611" s="14"/>
    </row>
    <row r="612" spans="1:15" ht="15.75">
      <c r="A612" s="1552"/>
      <c r="B612" s="135">
        <v>11905</v>
      </c>
      <c r="C612" s="233">
        <v>0.1</v>
      </c>
      <c r="D612" s="136" t="s">
        <v>450</v>
      </c>
      <c r="E612" s="143">
        <v>1300000</v>
      </c>
      <c r="F612" s="138">
        <v>0.1</v>
      </c>
      <c r="G612" s="278">
        <f t="shared" si="16"/>
        <v>130000</v>
      </c>
      <c r="H612" s="135" t="s">
        <v>318</v>
      </c>
      <c r="I612" s="135" t="s">
        <v>333</v>
      </c>
      <c r="J612" s="136"/>
      <c r="K612" s="161"/>
      <c r="L612" s="270"/>
      <c r="M612" s="372"/>
      <c r="N612" s="319"/>
      <c r="O612" s="14"/>
    </row>
    <row r="613" spans="1:15" ht="15.75">
      <c r="A613" s="1552"/>
      <c r="B613" s="135">
        <v>11915</v>
      </c>
      <c r="C613" s="233">
        <v>0.1</v>
      </c>
      <c r="D613" s="136" t="s">
        <v>451</v>
      </c>
      <c r="E613" s="143">
        <v>1300000</v>
      </c>
      <c r="F613" s="138">
        <v>0.06</v>
      </c>
      <c r="G613" s="278">
        <f t="shared" si="16"/>
        <v>78000</v>
      </c>
      <c r="H613" s="135" t="s">
        <v>185</v>
      </c>
      <c r="I613" s="135" t="s">
        <v>234</v>
      </c>
      <c r="J613" s="136"/>
      <c r="K613" s="161"/>
      <c r="L613" s="270"/>
      <c r="M613" s="372"/>
      <c r="N613" s="319"/>
      <c r="O613" s="14"/>
    </row>
    <row r="614" spans="1:15" ht="15.75">
      <c r="A614" s="1552"/>
      <c r="B614" s="135">
        <v>11937</v>
      </c>
      <c r="C614" s="233">
        <v>0.1</v>
      </c>
      <c r="D614" s="136" t="s">
        <v>452</v>
      </c>
      <c r="E614" s="143">
        <v>1250000</v>
      </c>
      <c r="F614" s="138">
        <v>0.1</v>
      </c>
      <c r="G614" s="278">
        <f t="shared" si="16"/>
        <v>125000</v>
      </c>
      <c r="H614" s="135" t="s">
        <v>318</v>
      </c>
      <c r="I614" s="135" t="s">
        <v>432</v>
      </c>
      <c r="J614" s="136"/>
      <c r="K614" s="161"/>
      <c r="L614" s="270"/>
      <c r="M614" s="372"/>
      <c r="N614" s="319"/>
      <c r="O614" s="14"/>
    </row>
    <row r="615" spans="1:15" ht="15.75">
      <c r="A615" s="1552"/>
      <c r="B615" s="211" t="s">
        <v>245</v>
      </c>
      <c r="C615" s="267"/>
      <c r="D615" s="277" t="s">
        <v>453</v>
      </c>
      <c r="E615" s="308"/>
      <c r="F615" s="220"/>
      <c r="G615" s="268"/>
      <c r="H615" s="211"/>
      <c r="I615" s="689" t="s">
        <v>234</v>
      </c>
      <c r="J615" s="277" t="s">
        <v>454</v>
      </c>
      <c r="K615" s="161"/>
      <c r="L615" s="270"/>
      <c r="M615" s="372"/>
      <c r="N615" s="319"/>
      <c r="O615" s="14"/>
    </row>
    <row r="616" spans="1:15" ht="15.75">
      <c r="A616" s="1552"/>
      <c r="B616" s="211" t="s">
        <v>405</v>
      </c>
      <c r="C616" s="267"/>
      <c r="D616" s="277" t="s">
        <v>455</v>
      </c>
      <c r="E616" s="308"/>
      <c r="F616" s="348"/>
      <c r="G616" s="268"/>
      <c r="H616" s="503"/>
      <c r="I616" s="211" t="s">
        <v>234</v>
      </c>
      <c r="J616" s="605" t="s">
        <v>456</v>
      </c>
      <c r="K616" s="161"/>
      <c r="L616" s="270"/>
      <c r="M616" s="372"/>
      <c r="N616" s="319"/>
      <c r="O616" s="14"/>
    </row>
    <row r="617" spans="1:15" ht="15.75">
      <c r="A617" s="1552"/>
      <c r="B617" s="211" t="s">
        <v>245</v>
      </c>
      <c r="C617" s="267"/>
      <c r="D617" s="277" t="s">
        <v>457</v>
      </c>
      <c r="E617" s="308"/>
      <c r="F617" s="348"/>
      <c r="G617" s="268"/>
      <c r="H617" s="503"/>
      <c r="I617" s="211" t="s">
        <v>234</v>
      </c>
      <c r="J617" s="605" t="s">
        <v>419</v>
      </c>
      <c r="K617" s="161"/>
      <c r="L617" s="270"/>
      <c r="M617" s="372"/>
      <c r="N617" s="319"/>
      <c r="O617" s="14"/>
    </row>
    <row r="618" spans="1:15" ht="15.75">
      <c r="A618" s="1552"/>
      <c r="B618" s="211" t="s">
        <v>257</v>
      </c>
      <c r="C618" s="267"/>
      <c r="D618" s="277" t="s">
        <v>458</v>
      </c>
      <c r="E618" s="308"/>
      <c r="F618" s="348"/>
      <c r="G618" s="268"/>
      <c r="H618" s="211"/>
      <c r="I618" s="209" t="s">
        <v>333</v>
      </c>
      <c r="J618" s="277" t="s">
        <v>349</v>
      </c>
      <c r="K618" s="161"/>
      <c r="L618" s="270"/>
      <c r="M618" s="372"/>
      <c r="N618" s="319"/>
      <c r="O618" s="14"/>
    </row>
    <row r="619" spans="1:15" ht="15.75">
      <c r="A619" s="1552"/>
      <c r="B619" s="211" t="s">
        <v>257</v>
      </c>
      <c r="C619" s="267"/>
      <c r="D619" s="277" t="s">
        <v>459</v>
      </c>
      <c r="E619" s="308"/>
      <c r="F619" s="220"/>
      <c r="G619" s="268"/>
      <c r="H619" s="211"/>
      <c r="I619" s="211" t="s">
        <v>333</v>
      </c>
      <c r="J619" s="277" t="s">
        <v>349</v>
      </c>
      <c r="K619" s="161"/>
      <c r="L619" s="270"/>
      <c r="M619" s="372"/>
      <c r="N619" s="319"/>
      <c r="O619" s="14"/>
    </row>
    <row r="620" spans="1:15" ht="15.75">
      <c r="A620" s="1552"/>
      <c r="B620" s="211" t="s">
        <v>245</v>
      </c>
      <c r="C620" s="645"/>
      <c r="D620" s="277" t="s">
        <v>460</v>
      </c>
      <c r="E620" s="308"/>
      <c r="F620" s="220"/>
      <c r="G620" s="268"/>
      <c r="H620" s="211"/>
      <c r="I620" s="211" t="s">
        <v>333</v>
      </c>
      <c r="J620" s="277" t="s">
        <v>461</v>
      </c>
      <c r="K620" s="161"/>
      <c r="L620" s="270"/>
      <c r="M620" s="372"/>
      <c r="N620" s="319"/>
      <c r="O620" s="14"/>
    </row>
    <row r="621" spans="1:15" ht="15.75">
      <c r="A621" s="1552"/>
      <c r="B621" s="211" t="s">
        <v>245</v>
      </c>
      <c r="C621" s="267"/>
      <c r="D621" s="277" t="s">
        <v>462</v>
      </c>
      <c r="E621" s="308"/>
      <c r="F621" s="220"/>
      <c r="G621" s="268"/>
      <c r="H621" s="211"/>
      <c r="I621" s="211" t="s">
        <v>333</v>
      </c>
      <c r="J621" s="277" t="s">
        <v>463</v>
      </c>
      <c r="K621" s="161"/>
      <c r="L621" s="270"/>
      <c r="M621" s="372"/>
      <c r="N621" s="319"/>
      <c r="O621" s="14"/>
    </row>
    <row r="622" spans="1:15" ht="18.75">
      <c r="A622" s="1552"/>
      <c r="B622" s="211" t="s">
        <v>257</v>
      </c>
      <c r="C622" s="267"/>
      <c r="D622" s="277" t="s">
        <v>464</v>
      </c>
      <c r="E622" s="308"/>
      <c r="F622" s="220"/>
      <c r="G622" s="268"/>
      <c r="H622" s="211"/>
      <c r="I622" s="211" t="s">
        <v>333</v>
      </c>
      <c r="J622" s="277" t="s">
        <v>349</v>
      </c>
      <c r="K622" s="161"/>
      <c r="L622" s="270"/>
      <c r="M622" s="553" t="s">
        <v>34</v>
      </c>
      <c r="N622" s="260"/>
      <c r="O622" s="675">
        <f>SUM(O603:O621)</f>
        <v>434000</v>
      </c>
    </row>
    <row r="623" spans="1:15" ht="18.75">
      <c r="A623" s="1542"/>
      <c r="B623" s="213"/>
      <c r="C623" s="213"/>
      <c r="D623" s="223"/>
      <c r="E623" s="332">
        <f>SUM(E603:E622)</f>
        <v>12950000</v>
      </c>
      <c r="F623" s="223"/>
      <c r="G623" s="281">
        <f>SUM(G603:G622)</f>
        <v>1143000</v>
      </c>
      <c r="H623" s="223"/>
      <c r="I623" s="223"/>
      <c r="J623" s="223"/>
      <c r="K623" s="275"/>
      <c r="L623" s="275"/>
      <c r="M623" s="676" t="s">
        <v>34</v>
      </c>
      <c r="N623" s="464"/>
      <c r="O623" s="671">
        <f>G623+O622</f>
        <v>1577000</v>
      </c>
    </row>
    <row r="626" spans="1:15" ht="23.25">
      <c r="A626" s="1530" t="s">
        <v>465</v>
      </c>
      <c r="B626" s="1532"/>
      <c r="C626" s="1532"/>
      <c r="D626" s="1532"/>
      <c r="E626" s="1532"/>
      <c r="F626" s="1532"/>
      <c r="G626" s="1532"/>
      <c r="H626" s="1532"/>
      <c r="I626" s="1532"/>
      <c r="J626" s="1549"/>
      <c r="K626" s="1558" t="s">
        <v>2</v>
      </c>
      <c r="L626" s="1559"/>
      <c r="M626" s="1559"/>
      <c r="N626" s="1559"/>
      <c r="O626" s="1560"/>
    </row>
    <row r="627" spans="1:15" ht="30">
      <c r="A627" s="126" t="s">
        <v>3</v>
      </c>
      <c r="B627" s="1" t="s">
        <v>120</v>
      </c>
      <c r="C627" s="367" t="s">
        <v>4</v>
      </c>
      <c r="D627" s="1" t="s">
        <v>5</v>
      </c>
      <c r="E627" s="1" t="s">
        <v>6</v>
      </c>
      <c r="F627" s="1" t="s">
        <v>7</v>
      </c>
      <c r="G627" s="1" t="s">
        <v>8</v>
      </c>
      <c r="H627" s="361" t="s">
        <v>9</v>
      </c>
      <c r="I627" s="1" t="s">
        <v>10</v>
      </c>
      <c r="J627" s="126" t="s">
        <v>11</v>
      </c>
      <c r="K627" s="3" t="s">
        <v>12</v>
      </c>
      <c r="L627" s="3" t="s">
        <v>5</v>
      </c>
      <c r="M627" s="3" t="s">
        <v>13</v>
      </c>
      <c r="N627" s="3" t="s">
        <v>7</v>
      </c>
      <c r="O627" s="3" t="s">
        <v>14</v>
      </c>
    </row>
    <row r="628" spans="1:15" ht="15.75">
      <c r="A628" s="1574" t="s">
        <v>466</v>
      </c>
      <c r="B628" s="135">
        <v>11935</v>
      </c>
      <c r="C628" s="140">
        <v>0.08</v>
      </c>
      <c r="D628" s="259" t="s">
        <v>467</v>
      </c>
      <c r="E628" s="678">
        <v>1200000</v>
      </c>
      <c r="F628" s="140">
        <v>0.04</v>
      </c>
      <c r="G628" s="620">
        <f>E628*F628</f>
        <v>48000</v>
      </c>
      <c r="H628" s="677" t="s">
        <v>359</v>
      </c>
      <c r="I628" s="677" t="s">
        <v>333</v>
      </c>
      <c r="J628" s="137"/>
      <c r="K628" s="14"/>
      <c r="L628" s="14"/>
      <c r="M628" s="14"/>
      <c r="N628" s="14"/>
      <c r="O628" s="14"/>
    </row>
    <row r="629" spans="1:15" ht="15.75">
      <c r="A629" s="1574"/>
      <c r="B629" s="175"/>
      <c r="C629" s="162"/>
      <c r="D629" s="165"/>
      <c r="E629" s="550"/>
      <c r="F629" s="165"/>
      <c r="G629" s="175"/>
      <c r="H629" s="175"/>
      <c r="I629" s="175"/>
      <c r="J629" s="156"/>
      <c r="K629" s="14"/>
      <c r="L629" s="14"/>
      <c r="M629" s="14"/>
      <c r="N629" s="14"/>
      <c r="O629" s="14"/>
    </row>
    <row r="630" spans="1:15" ht="15.75">
      <c r="A630" s="1574"/>
      <c r="B630" s="175"/>
      <c r="C630" s="162"/>
      <c r="D630" s="165"/>
      <c r="E630" s="550"/>
      <c r="F630" s="165"/>
      <c r="G630" s="175"/>
      <c r="H630" s="175"/>
      <c r="I630" s="175"/>
      <c r="J630" s="156"/>
      <c r="K630" s="14"/>
      <c r="L630" s="14"/>
      <c r="M630" s="14"/>
      <c r="N630" s="14"/>
      <c r="O630" s="14"/>
    </row>
    <row r="631" spans="1:15" ht="15.75">
      <c r="A631" s="1574"/>
      <c r="B631" s="205"/>
      <c r="C631" s="508"/>
      <c r="D631" s="287"/>
      <c r="E631" s="154"/>
      <c r="F631" s="156"/>
      <c r="G631" s="157"/>
      <c r="H631" s="157"/>
      <c r="I631" s="157"/>
      <c r="J631" s="156"/>
      <c r="K631" s="14"/>
      <c r="L631" s="14"/>
      <c r="M631" s="14"/>
      <c r="N631" s="14"/>
      <c r="O631" s="14"/>
    </row>
    <row r="632" spans="1:15" ht="15.75" customHeight="1">
      <c r="A632" s="1575"/>
      <c r="B632" s="71"/>
      <c r="C632" s="71"/>
      <c r="D632" s="14"/>
      <c r="E632" s="154">
        <f>SUM(E628:E631)</f>
        <v>1200000</v>
      </c>
      <c r="F632" s="14"/>
      <c r="G632" s="679">
        <f>SUM(G628:G631)</f>
        <v>48000</v>
      </c>
      <c r="H632" s="14"/>
      <c r="I632" s="14"/>
      <c r="J632" s="14"/>
      <c r="K632" s="14"/>
      <c r="L632" s="14"/>
      <c r="M632" s="682" t="s">
        <v>34</v>
      </c>
      <c r="N632" s="680"/>
      <c r="O632" s="681">
        <f>G632</f>
        <v>48000</v>
      </c>
    </row>
    <row r="633" spans="1:15" ht="15.75" customHeight="1"/>
    <row r="635" spans="1:15" ht="23.25">
      <c r="A635" s="1530" t="s">
        <v>274</v>
      </c>
      <c r="B635" s="1531"/>
      <c r="C635" s="1532"/>
      <c r="D635" s="1531"/>
      <c r="E635" s="1531"/>
      <c r="F635" s="1531"/>
      <c r="G635" s="1531"/>
      <c r="H635" s="1532"/>
      <c r="I635" s="1532"/>
      <c r="J635" s="1532"/>
      <c r="K635" s="1571" t="s">
        <v>2</v>
      </c>
      <c r="L635" s="1572"/>
      <c r="M635" s="1572"/>
      <c r="N635" s="1572"/>
      <c r="O635" s="1572"/>
    </row>
    <row r="636" spans="1:15" ht="30">
      <c r="A636" s="126" t="s">
        <v>3</v>
      </c>
      <c r="B636" s="1" t="s">
        <v>120</v>
      </c>
      <c r="C636" s="367" t="s">
        <v>4</v>
      </c>
      <c r="D636" s="1" t="s">
        <v>5</v>
      </c>
      <c r="E636" s="1" t="s">
        <v>6</v>
      </c>
      <c r="F636" s="1" t="s">
        <v>7</v>
      </c>
      <c r="G636" s="1" t="s">
        <v>8</v>
      </c>
      <c r="H636" s="361" t="s">
        <v>9</v>
      </c>
      <c r="I636" s="1" t="s">
        <v>10</v>
      </c>
      <c r="J636" s="126" t="s">
        <v>11</v>
      </c>
      <c r="K636" s="1" t="s">
        <v>12</v>
      </c>
      <c r="L636" s="1" t="s">
        <v>5</v>
      </c>
      <c r="M636" s="1" t="s">
        <v>13</v>
      </c>
      <c r="N636" s="1" t="s">
        <v>7</v>
      </c>
      <c r="O636" s="3" t="s">
        <v>14</v>
      </c>
    </row>
    <row r="637" spans="1:15" ht="15.75">
      <c r="A637" s="1553">
        <v>8</v>
      </c>
      <c r="B637" s="585"/>
      <c r="C637" s="591"/>
      <c r="D637" s="262"/>
      <c r="E637" s="261"/>
      <c r="F637" s="592"/>
      <c r="G637" s="288"/>
      <c r="H637" s="163"/>
      <c r="I637" s="163"/>
      <c r="J637" s="262"/>
      <c r="K637" s="135">
        <v>11750</v>
      </c>
      <c r="L637" s="136" t="s">
        <v>385</v>
      </c>
      <c r="M637" s="143">
        <v>1350000</v>
      </c>
      <c r="N637" s="543"/>
      <c r="O637" s="535"/>
    </row>
    <row r="638" spans="1:15" ht="15.75">
      <c r="A638" s="1552"/>
      <c r="B638" s="571"/>
      <c r="C638" s="508"/>
      <c r="D638" s="287"/>
      <c r="E638" s="509"/>
      <c r="F638" s="510"/>
      <c r="G638" s="511"/>
      <c r="H638" s="205"/>
      <c r="I638" s="205"/>
      <c r="J638" s="262"/>
      <c r="K638" s="135">
        <v>11914</v>
      </c>
      <c r="L638" s="652" t="s">
        <v>399</v>
      </c>
      <c r="M638" s="558">
        <v>1050000</v>
      </c>
      <c r="N638" s="544"/>
      <c r="O638" s="278"/>
    </row>
    <row r="639" spans="1:15" ht="15.75">
      <c r="A639" s="1552"/>
      <c r="B639" s="523"/>
      <c r="C639" s="524"/>
      <c r="D639" s="525"/>
      <c r="E639" s="526"/>
      <c r="F639" s="527"/>
      <c r="G639" s="522"/>
      <c r="H639" s="523"/>
      <c r="I639" s="523"/>
      <c r="J639" s="262"/>
      <c r="K639" s="135">
        <v>11938</v>
      </c>
      <c r="L639" s="242" t="s">
        <v>402</v>
      </c>
      <c r="M639" s="143">
        <v>110000</v>
      </c>
      <c r="N639" s="544"/>
      <c r="O639" s="545"/>
    </row>
    <row r="640" spans="1:15" ht="15.75">
      <c r="A640" s="1552"/>
      <c r="B640" s="364"/>
      <c r="C640" s="316"/>
      <c r="D640" s="270"/>
      <c r="E640" s="295"/>
      <c r="F640" s="159"/>
      <c r="G640" s="288"/>
      <c r="H640" s="161"/>
      <c r="I640" s="161"/>
      <c r="J640" s="262"/>
      <c r="K640" s="346">
        <v>11801</v>
      </c>
      <c r="L640" s="149" t="s">
        <v>468</v>
      </c>
      <c r="M640" s="141">
        <v>1200000</v>
      </c>
      <c r="N640" s="544"/>
      <c r="O640" s="545"/>
    </row>
    <row r="641" spans="1:15" ht="15.75">
      <c r="A641" s="1552"/>
      <c r="B641" s="368"/>
      <c r="C641" s="316"/>
      <c r="D641" s="270"/>
      <c r="E641" s="295"/>
      <c r="F641" s="159"/>
      <c r="G641" s="288"/>
      <c r="H641" s="161"/>
      <c r="I641" s="161"/>
      <c r="J641" s="368"/>
      <c r="K641" s="346">
        <v>11827</v>
      </c>
      <c r="L641" s="149" t="s">
        <v>84</v>
      </c>
      <c r="M641" s="141">
        <v>850000</v>
      </c>
      <c r="N641" s="544"/>
      <c r="O641" s="666"/>
    </row>
    <row r="642" spans="1:15" ht="15.75">
      <c r="A642" s="1552"/>
      <c r="B642" s="368"/>
      <c r="C642" s="316"/>
      <c r="D642" s="270"/>
      <c r="E642" s="295"/>
      <c r="F642" s="159"/>
      <c r="G642" s="288"/>
      <c r="H642" s="161"/>
      <c r="I642" s="161"/>
      <c r="J642" s="368"/>
      <c r="K642" s="346">
        <v>11878</v>
      </c>
      <c r="L642" s="149" t="s">
        <v>416</v>
      </c>
      <c r="M642" s="141">
        <v>800000</v>
      </c>
      <c r="N642" s="667"/>
      <c r="O642" s="666"/>
    </row>
    <row r="643" spans="1:15" ht="15.75">
      <c r="A643" s="1552"/>
      <c r="B643" s="368"/>
      <c r="C643" s="316"/>
      <c r="D643" s="270"/>
      <c r="E643" s="295"/>
      <c r="F643" s="159"/>
      <c r="G643" s="288"/>
      <c r="H643" s="161"/>
      <c r="I643" s="161"/>
      <c r="J643" s="368"/>
      <c r="K643" s="346">
        <v>11929</v>
      </c>
      <c r="L643" s="136" t="s">
        <v>417</v>
      </c>
      <c r="M643" s="141">
        <v>1200000</v>
      </c>
      <c r="N643" s="667"/>
      <c r="O643" s="666"/>
    </row>
    <row r="644" spans="1:15" ht="15.75">
      <c r="A644" s="1552"/>
      <c r="B644" s="368"/>
      <c r="C644" s="316"/>
      <c r="D644" s="270"/>
      <c r="E644" s="295"/>
      <c r="F644" s="159"/>
      <c r="G644" s="288"/>
      <c r="H644" s="161"/>
      <c r="I644" s="161"/>
      <c r="J644" s="368"/>
      <c r="K644" s="741">
        <v>11749</v>
      </c>
      <c r="L644" s="137" t="s">
        <v>427</v>
      </c>
      <c r="M644" s="139">
        <v>1350000</v>
      </c>
      <c r="N644" s="667"/>
      <c r="O644" s="666"/>
    </row>
    <row r="645" spans="1:15" ht="15.75">
      <c r="A645" s="1552"/>
      <c r="B645" s="368"/>
      <c r="C645" s="316"/>
      <c r="D645" s="270"/>
      <c r="E645" s="295"/>
      <c r="F645" s="159"/>
      <c r="G645" s="288"/>
      <c r="H645" s="161"/>
      <c r="I645" s="161"/>
      <c r="J645" s="368"/>
      <c r="K645" s="135">
        <v>11885</v>
      </c>
      <c r="L645" s="136" t="s">
        <v>449</v>
      </c>
      <c r="M645" s="143">
        <v>850000</v>
      </c>
      <c r="N645" s="667"/>
      <c r="O645" s="666"/>
    </row>
    <row r="646" spans="1:15" ht="15.75">
      <c r="A646" s="1552"/>
      <c r="B646" s="368"/>
      <c r="C646" s="316"/>
      <c r="D646" s="270"/>
      <c r="E646" s="295"/>
      <c r="F646" s="159"/>
      <c r="G646" s="288"/>
      <c r="H646" s="161"/>
      <c r="I646" s="161"/>
      <c r="J646" s="368"/>
      <c r="K646" s="135">
        <v>11915</v>
      </c>
      <c r="L646" s="136" t="s">
        <v>451</v>
      </c>
      <c r="M646" s="143">
        <v>1300000</v>
      </c>
      <c r="N646" s="667"/>
      <c r="O646" s="666"/>
    </row>
    <row r="647" spans="1:15" ht="18">
      <c r="A647" s="1542"/>
      <c r="B647" s="215"/>
      <c r="C647" s="215"/>
      <c r="D647" s="214"/>
      <c r="E647" s="332">
        <f>SUM(E637:E641)</f>
        <v>0</v>
      </c>
      <c r="F647" s="214"/>
      <c r="G647" s="281">
        <f>SUM(G637:G641)</f>
        <v>0</v>
      </c>
      <c r="H647" s="214"/>
      <c r="I647" s="214"/>
      <c r="J647" s="214"/>
      <c r="K647" s="275"/>
      <c r="L647" s="275"/>
      <c r="M647" s="628">
        <f>SUM(M637:M646)</f>
        <v>10060000</v>
      </c>
      <c r="N647" s="304"/>
      <c r="O647" s="14"/>
    </row>
    <row r="650" spans="1:15" ht="18">
      <c r="A650" s="1535" t="s">
        <v>68</v>
      </c>
      <c r="B650" s="1535"/>
      <c r="C650" s="365"/>
      <c r="D650" s="341">
        <f>E566+E583+E597+E623+E632+E647</f>
        <v>50630000</v>
      </c>
    </row>
    <row r="651" spans="1:15">
      <c r="A651" s="1536" t="s">
        <v>69</v>
      </c>
      <c r="B651" s="1536"/>
      <c r="C651" s="22"/>
      <c r="D651" s="20"/>
    </row>
    <row r="652" spans="1:15">
      <c r="A652" s="1537" t="s">
        <v>70</v>
      </c>
      <c r="B652" s="1537"/>
      <c r="C652" s="101"/>
      <c r="D652" s="21"/>
    </row>
    <row r="656" spans="1:15" ht="31.5">
      <c r="A656" s="1561" t="s">
        <v>469</v>
      </c>
      <c r="B656" s="1562"/>
      <c r="C656" s="1562"/>
      <c r="D656" s="1562"/>
      <c r="E656" s="1562"/>
      <c r="F656" s="1562"/>
      <c r="G656" s="1562"/>
      <c r="H656" s="1562"/>
      <c r="I656" s="1562"/>
      <c r="J656" s="1562"/>
      <c r="K656" s="1562"/>
      <c r="L656" s="1562"/>
      <c r="M656" s="1562"/>
      <c r="N656" s="1562"/>
      <c r="O656" s="1562"/>
    </row>
    <row r="657" spans="1:15" ht="23.25">
      <c r="A657" s="1548" t="s">
        <v>1</v>
      </c>
      <c r="B657" s="1532"/>
      <c r="C657" s="1532"/>
      <c r="D657" s="1531"/>
      <c r="E657" s="1532"/>
      <c r="F657" s="1532"/>
      <c r="G657" s="1532"/>
      <c r="H657" s="1532"/>
      <c r="I657" s="1532"/>
      <c r="J657" s="1532"/>
      <c r="K657" s="1533" t="s">
        <v>2</v>
      </c>
      <c r="L657" s="1533"/>
      <c r="M657" s="1533"/>
      <c r="N657" s="1533"/>
      <c r="O657" s="1533"/>
    </row>
    <row r="658" spans="1:15" ht="30">
      <c r="A658" s="3" t="s">
        <v>3</v>
      </c>
      <c r="B658" s="361" t="s">
        <v>120</v>
      </c>
      <c r="C658" s="360" t="s">
        <v>4</v>
      </c>
      <c r="D658" s="3" t="s">
        <v>5</v>
      </c>
      <c r="E658" s="361" t="s">
        <v>6</v>
      </c>
      <c r="F658" s="1" t="s">
        <v>7</v>
      </c>
      <c r="G658" s="1" t="s">
        <v>8</v>
      </c>
      <c r="H658" s="1" t="s">
        <v>9</v>
      </c>
      <c r="I658" s="1" t="s">
        <v>10</v>
      </c>
      <c r="J658" s="3" t="s">
        <v>11</v>
      </c>
      <c r="K658" s="40" t="s">
        <v>12</v>
      </c>
      <c r="L658" s="40" t="s">
        <v>5</v>
      </c>
      <c r="M658" s="40" t="s">
        <v>13</v>
      </c>
      <c r="N658" s="129" t="s">
        <v>7</v>
      </c>
      <c r="O658" s="68" t="s">
        <v>14</v>
      </c>
    </row>
    <row r="659" spans="1:15" ht="15.75">
      <c r="A659" s="1552" t="s">
        <v>470</v>
      </c>
      <c r="B659" s="135">
        <v>11955</v>
      </c>
      <c r="C659" s="331">
        <v>0.08</v>
      </c>
      <c r="D659" s="136" t="s">
        <v>471</v>
      </c>
      <c r="E659" s="143">
        <v>1300000</v>
      </c>
      <c r="F659" s="140">
        <v>0.08</v>
      </c>
      <c r="G659" s="278">
        <f>E659*F659</f>
        <v>104000</v>
      </c>
      <c r="H659" s="135" t="s">
        <v>180</v>
      </c>
      <c r="I659" s="135" t="s">
        <v>333</v>
      </c>
      <c r="J659" s="541"/>
      <c r="K659" s="346">
        <v>11960</v>
      </c>
      <c r="L659" s="136" t="s">
        <v>472</v>
      </c>
      <c r="M659" s="141">
        <v>780000</v>
      </c>
      <c r="N659" s="534">
        <v>0.04</v>
      </c>
      <c r="O659" s="726">
        <f>M659*N659</f>
        <v>31200</v>
      </c>
    </row>
    <row r="660" spans="1:15" ht="15.75">
      <c r="A660" s="1552"/>
      <c r="B660" s="135">
        <v>12138</v>
      </c>
      <c r="C660" s="233">
        <v>0.1</v>
      </c>
      <c r="D660" s="136" t="s">
        <v>473</v>
      </c>
      <c r="E660" s="558">
        <v>850000</v>
      </c>
      <c r="F660" s="138">
        <v>0.04</v>
      </c>
      <c r="G660" s="278">
        <f>E660*F660</f>
        <v>34000</v>
      </c>
      <c r="H660" s="135" t="s">
        <v>286</v>
      </c>
      <c r="I660" s="135" t="s">
        <v>333</v>
      </c>
      <c r="J660" s="541"/>
      <c r="K660" s="346">
        <v>11968</v>
      </c>
      <c r="L660" s="136" t="s">
        <v>474</v>
      </c>
      <c r="M660" s="141">
        <v>1250000</v>
      </c>
      <c r="N660" s="534">
        <v>0.04</v>
      </c>
      <c r="O660" s="726">
        <f t="shared" ref="O660:O661" si="19">M660*N660</f>
        <v>50000</v>
      </c>
    </row>
    <row r="661" spans="1:15" ht="15.75">
      <c r="A661" s="1552"/>
      <c r="B661" s="205"/>
      <c r="C661" s="508"/>
      <c r="D661" s="287"/>
      <c r="E661" s="713"/>
      <c r="F661" s="510"/>
      <c r="G661" s="511"/>
      <c r="H661" s="517"/>
      <c r="I661" s="205"/>
      <c r="J661" s="714"/>
      <c r="K661" s="346">
        <v>12105</v>
      </c>
      <c r="L661" s="136" t="s">
        <v>475</v>
      </c>
      <c r="M661" s="141">
        <v>1000000</v>
      </c>
      <c r="N661" s="715">
        <v>0.04</v>
      </c>
      <c r="O661" s="726">
        <f t="shared" si="19"/>
        <v>40000</v>
      </c>
    </row>
    <row r="662" spans="1:15" ht="15.75">
      <c r="A662" s="1552"/>
      <c r="B662" s="205"/>
      <c r="C662" s="508"/>
      <c r="D662" s="287"/>
      <c r="E662" s="713"/>
      <c r="F662" s="510"/>
      <c r="G662" s="511"/>
      <c r="H662" s="517"/>
      <c r="I662" s="205"/>
      <c r="J662" s="714"/>
      <c r="K662" s="716"/>
      <c r="L662" s="717"/>
      <c r="M662" s="718"/>
      <c r="N662" s="719"/>
      <c r="O662" s="724"/>
    </row>
    <row r="663" spans="1:15" ht="18.75">
      <c r="A663" s="1552"/>
      <c r="B663" s="205"/>
      <c r="C663" s="508"/>
      <c r="D663" s="287"/>
      <c r="E663" s="713"/>
      <c r="F663" s="510"/>
      <c r="G663" s="511"/>
      <c r="H663" s="517"/>
      <c r="I663" s="205"/>
      <c r="J663" s="714"/>
      <c r="K663" s="518"/>
      <c r="L663" s="57"/>
      <c r="M663" s="721" t="s">
        <v>34</v>
      </c>
      <c r="N663" s="720"/>
      <c r="O663" s="725">
        <f>SUM(O659:O662)</f>
        <v>121200</v>
      </c>
    </row>
    <row r="664" spans="1:15" ht="18.75">
      <c r="A664" s="1542"/>
      <c r="B664" s="7"/>
      <c r="C664" s="7"/>
      <c r="D664" s="42"/>
      <c r="E664" s="332">
        <f>SUM(E659:E663)</f>
        <v>2150000</v>
      </c>
      <c r="F664" s="42"/>
      <c r="G664" s="281">
        <f>SUM(G659:G663)</f>
        <v>138000</v>
      </c>
      <c r="H664" s="42"/>
      <c r="I664" s="519"/>
      <c r="J664" s="520"/>
      <c r="K664" s="11"/>
      <c r="L664" s="19"/>
      <c r="M664" s="722" t="s">
        <v>34</v>
      </c>
      <c r="N664" s="723"/>
      <c r="O664" s="733">
        <f>G664+O663</f>
        <v>259200</v>
      </c>
    </row>
    <row r="668" spans="1:15" ht="23.25">
      <c r="A668" s="1563" t="s">
        <v>138</v>
      </c>
      <c r="B668" s="1564"/>
      <c r="C668" s="1564"/>
      <c r="D668" s="1564"/>
      <c r="E668" s="1564"/>
      <c r="F668" s="1564"/>
      <c r="G668" s="1564"/>
      <c r="H668" s="1564"/>
      <c r="I668" s="1564"/>
      <c r="J668" s="1565"/>
      <c r="K668" s="1557" t="s">
        <v>2</v>
      </c>
      <c r="L668" s="1557"/>
      <c r="M668" s="1557"/>
      <c r="N668" s="1557"/>
      <c r="O668" s="1557"/>
    </row>
    <row r="669" spans="1:15" ht="30">
      <c r="A669" s="3" t="s">
        <v>3</v>
      </c>
      <c r="B669" s="657" t="s">
        <v>120</v>
      </c>
      <c r="C669" s="125" t="s">
        <v>4</v>
      </c>
      <c r="D669" s="68" t="s">
        <v>5</v>
      </c>
      <c r="E669" s="68" t="s">
        <v>6</v>
      </c>
      <c r="F669" s="68" t="s">
        <v>7</v>
      </c>
      <c r="G669" s="68" t="s">
        <v>8</v>
      </c>
      <c r="H669" s="68" t="s">
        <v>9</v>
      </c>
      <c r="I669" s="68" t="s">
        <v>10</v>
      </c>
      <c r="J669" s="68" t="s">
        <v>11</v>
      </c>
      <c r="K669" s="68" t="s">
        <v>12</v>
      </c>
      <c r="L669" s="68" t="s">
        <v>5</v>
      </c>
      <c r="M669" s="68" t="s">
        <v>13</v>
      </c>
      <c r="N669" s="129" t="s">
        <v>7</v>
      </c>
      <c r="O669" s="40" t="s">
        <v>14</v>
      </c>
    </row>
    <row r="670" spans="1:15" ht="15.75">
      <c r="A670" s="1552" t="s">
        <v>440</v>
      </c>
      <c r="B670" s="346">
        <v>11960</v>
      </c>
      <c r="C670" s="148">
        <v>0.1</v>
      </c>
      <c r="D670" s="136" t="s">
        <v>472</v>
      </c>
      <c r="E670" s="141">
        <v>780000</v>
      </c>
      <c r="F670" s="148">
        <v>0.05</v>
      </c>
      <c r="G670" s="335">
        <f>E670*F670</f>
        <v>39000</v>
      </c>
      <c r="H670" s="147" t="s">
        <v>180</v>
      </c>
      <c r="I670" s="147" t="s">
        <v>128</v>
      </c>
      <c r="J670" s="528"/>
      <c r="K670" s="135">
        <v>12138</v>
      </c>
      <c r="L670" s="136" t="s">
        <v>473</v>
      </c>
      <c r="M670" s="558">
        <v>850000</v>
      </c>
      <c r="N670" s="672">
        <v>0.05</v>
      </c>
      <c r="O670" s="139">
        <f>M670*N670</f>
        <v>42500</v>
      </c>
    </row>
    <row r="671" spans="1:15" ht="15.75">
      <c r="A671" s="1552"/>
      <c r="B671" s="346">
        <v>11968</v>
      </c>
      <c r="C671" s="148">
        <v>0.1</v>
      </c>
      <c r="D671" s="136" t="s">
        <v>474</v>
      </c>
      <c r="E671" s="141">
        <v>1250000</v>
      </c>
      <c r="F671" s="148">
        <v>0.05</v>
      </c>
      <c r="G671" s="335">
        <f t="shared" ref="G671:G684" si="20">E671*F671</f>
        <v>62500</v>
      </c>
      <c r="H671" s="147" t="s">
        <v>180</v>
      </c>
      <c r="I671" s="147" t="s">
        <v>128</v>
      </c>
      <c r="J671" s="528"/>
      <c r="K671" s="9"/>
      <c r="L671" s="643"/>
      <c r="M671" s="261"/>
      <c r="N671" s="370"/>
      <c r="O671" s="14"/>
    </row>
    <row r="672" spans="1:15" ht="15.75">
      <c r="A672" s="1552"/>
      <c r="B672" s="346">
        <v>11972</v>
      </c>
      <c r="C672" s="148">
        <v>0.1</v>
      </c>
      <c r="D672" s="661" t="s">
        <v>476</v>
      </c>
      <c r="E672" s="141">
        <v>900000</v>
      </c>
      <c r="F672" s="148">
        <v>0.05</v>
      </c>
      <c r="G672" s="335">
        <f t="shared" si="20"/>
        <v>45000</v>
      </c>
      <c r="H672" s="147" t="s">
        <v>318</v>
      </c>
      <c r="I672" s="147" t="s">
        <v>333</v>
      </c>
      <c r="J672" s="528"/>
      <c r="K672" s="9"/>
      <c r="L672" s="643"/>
      <c r="M672" s="261"/>
      <c r="N672" s="370"/>
      <c r="O672" s="14"/>
    </row>
    <row r="673" spans="1:15" ht="15.75">
      <c r="A673" s="1552"/>
      <c r="B673" s="346">
        <v>11984</v>
      </c>
      <c r="C673" s="698">
        <v>0.1</v>
      </c>
      <c r="D673" s="652" t="s">
        <v>477</v>
      </c>
      <c r="E673" s="699">
        <v>900000</v>
      </c>
      <c r="F673" s="148">
        <v>0.1</v>
      </c>
      <c r="G673" s="335">
        <f t="shared" si="20"/>
        <v>90000</v>
      </c>
      <c r="H673" s="147" t="s">
        <v>286</v>
      </c>
      <c r="I673" s="147" t="s">
        <v>333</v>
      </c>
      <c r="J673" s="528"/>
      <c r="K673" s="9"/>
      <c r="L673" s="643"/>
      <c r="M673" s="261"/>
      <c r="N673" s="370"/>
      <c r="O673" s="14"/>
    </row>
    <row r="674" spans="1:15" ht="15.75">
      <c r="A674" s="1552"/>
      <c r="B674" s="346">
        <v>12079</v>
      </c>
      <c r="C674" s="698">
        <v>0.1</v>
      </c>
      <c r="D674" s="652" t="s">
        <v>478</v>
      </c>
      <c r="E674" s="699">
        <v>1200000</v>
      </c>
      <c r="F674" s="148">
        <v>0.06</v>
      </c>
      <c r="G674" s="335">
        <f t="shared" si="20"/>
        <v>72000</v>
      </c>
      <c r="H674" s="147" t="s">
        <v>30</v>
      </c>
      <c r="I674" s="147" t="s">
        <v>333</v>
      </c>
      <c r="J674" s="528"/>
      <c r="K674" s="9"/>
      <c r="L674" s="643"/>
      <c r="M674" s="261"/>
      <c r="N674" s="370"/>
      <c r="O674" s="14"/>
    </row>
    <row r="675" spans="1:15" ht="15.75">
      <c r="A675" s="1552"/>
      <c r="B675" s="346">
        <v>12020</v>
      </c>
      <c r="C675" s="703">
        <v>0.1</v>
      </c>
      <c r="D675" s="700" t="s">
        <v>479</v>
      </c>
      <c r="E675" s="699">
        <v>1100000</v>
      </c>
      <c r="F675" s="148">
        <v>0.1</v>
      </c>
      <c r="G675" s="335">
        <f t="shared" si="20"/>
        <v>110000</v>
      </c>
      <c r="H675" s="147" t="s">
        <v>286</v>
      </c>
      <c r="I675" s="147" t="s">
        <v>128</v>
      </c>
      <c r="J675" s="528"/>
      <c r="K675" s="9"/>
      <c r="L675" s="643"/>
      <c r="M675" s="261"/>
      <c r="N675" s="370"/>
      <c r="O675" s="14"/>
    </row>
    <row r="676" spans="1:15" ht="15.75">
      <c r="A676" s="1552"/>
      <c r="B676" s="701">
        <v>12024</v>
      </c>
      <c r="C676" s="148">
        <v>0.1</v>
      </c>
      <c r="D676" s="702" t="s">
        <v>480</v>
      </c>
      <c r="E676" s="699">
        <v>1300000</v>
      </c>
      <c r="F676" s="148">
        <v>0.1</v>
      </c>
      <c r="G676" s="335">
        <f t="shared" si="20"/>
        <v>130000</v>
      </c>
      <c r="H676" s="147" t="s">
        <v>286</v>
      </c>
      <c r="I676" s="147" t="s">
        <v>128</v>
      </c>
      <c r="J676" s="528"/>
      <c r="K676" s="9"/>
      <c r="L676" s="643"/>
      <c r="M676" s="261"/>
      <c r="N676" s="370"/>
      <c r="O676" s="14"/>
    </row>
    <row r="677" spans="1:15" ht="15.75">
      <c r="A677" s="1552"/>
      <c r="B677" s="701">
        <v>12028</v>
      </c>
      <c r="C677" s="704">
        <v>0.1</v>
      </c>
      <c r="D677" s="705" t="s">
        <v>481</v>
      </c>
      <c r="E677" s="699">
        <v>820000</v>
      </c>
      <c r="F677" s="148">
        <v>0.05</v>
      </c>
      <c r="G677" s="335">
        <f t="shared" si="20"/>
        <v>41000</v>
      </c>
      <c r="H677" s="147" t="s">
        <v>482</v>
      </c>
      <c r="I677" s="147" t="s">
        <v>128</v>
      </c>
      <c r="J677" s="528"/>
      <c r="K677" s="9"/>
      <c r="L677" s="643"/>
      <c r="M677" s="261"/>
      <c r="N677" s="370"/>
      <c r="O677" s="14"/>
    </row>
    <row r="678" spans="1:15" ht="15.75">
      <c r="A678" s="1552"/>
      <c r="B678" s="701">
        <v>12048</v>
      </c>
      <c r="C678" s="704">
        <v>0.1</v>
      </c>
      <c r="D678" s="705" t="s">
        <v>483</v>
      </c>
      <c r="E678" s="699">
        <v>950000</v>
      </c>
      <c r="F678" s="148">
        <v>0.05</v>
      </c>
      <c r="G678" s="335">
        <f t="shared" si="20"/>
        <v>47500</v>
      </c>
      <c r="H678" s="147" t="s">
        <v>318</v>
      </c>
      <c r="I678" s="147" t="s">
        <v>333</v>
      </c>
      <c r="J678" s="528"/>
      <c r="K678" s="9"/>
      <c r="L678" s="643"/>
      <c r="M678" s="261"/>
      <c r="N678" s="370"/>
      <c r="O678" s="14"/>
    </row>
    <row r="679" spans="1:15" ht="15.75">
      <c r="A679" s="1552"/>
      <c r="B679" s="346">
        <v>12087</v>
      </c>
      <c r="C679" s="704">
        <v>0.1</v>
      </c>
      <c r="D679" s="574" t="s">
        <v>484</v>
      </c>
      <c r="E679" s="141">
        <v>900000</v>
      </c>
      <c r="F679" s="148">
        <v>0.06</v>
      </c>
      <c r="G679" s="335">
        <f t="shared" si="20"/>
        <v>54000</v>
      </c>
      <c r="H679" s="147" t="s">
        <v>30</v>
      </c>
      <c r="I679" s="147" t="s">
        <v>128</v>
      </c>
      <c r="J679" s="528"/>
      <c r="K679" s="9"/>
      <c r="L679" s="17"/>
      <c r="M679" s="43"/>
      <c r="N679" s="370"/>
      <c r="O679" s="14"/>
    </row>
    <row r="680" spans="1:15" ht="15" customHeight="1">
      <c r="A680" s="1552"/>
      <c r="B680" s="346">
        <v>12105</v>
      </c>
      <c r="C680" s="148">
        <v>0.1</v>
      </c>
      <c r="D680" s="136" t="s">
        <v>475</v>
      </c>
      <c r="E680" s="141">
        <v>1000000</v>
      </c>
      <c r="F680" s="148">
        <v>0.05</v>
      </c>
      <c r="G680" s="335">
        <f t="shared" si="20"/>
        <v>50000</v>
      </c>
      <c r="H680" s="147" t="s">
        <v>180</v>
      </c>
      <c r="I680" s="147" t="s">
        <v>128</v>
      </c>
      <c r="J680" s="528"/>
      <c r="K680" s="9"/>
      <c r="L680" s="17"/>
      <c r="M680" s="43"/>
      <c r="N680" s="370"/>
      <c r="O680" s="14"/>
    </row>
    <row r="681" spans="1:15" ht="15" customHeight="1">
      <c r="A681" s="1552"/>
      <c r="B681" s="346">
        <v>12100</v>
      </c>
      <c r="C681" s="704">
        <v>0.1</v>
      </c>
      <c r="D681" s="242" t="s">
        <v>485</v>
      </c>
      <c r="E681" s="141">
        <v>1250000</v>
      </c>
      <c r="F681" s="148">
        <v>0.06</v>
      </c>
      <c r="G681" s="335">
        <f t="shared" si="20"/>
        <v>75000</v>
      </c>
      <c r="H681" s="147" t="s">
        <v>30</v>
      </c>
      <c r="I681" s="147" t="s">
        <v>128</v>
      </c>
      <c r="J681" s="528"/>
      <c r="K681" s="9"/>
      <c r="L681" s="17"/>
      <c r="M681" s="43"/>
      <c r="N681" s="370"/>
      <c r="O681" s="14"/>
    </row>
    <row r="682" spans="1:15" ht="15" customHeight="1">
      <c r="A682" s="1552"/>
      <c r="B682" s="346">
        <v>12132</v>
      </c>
      <c r="C682" s="148">
        <v>0.1</v>
      </c>
      <c r="D682" s="136" t="s">
        <v>486</v>
      </c>
      <c r="E682" s="141">
        <v>1250000</v>
      </c>
      <c r="F682" s="148">
        <v>0.1</v>
      </c>
      <c r="G682" s="335">
        <f t="shared" si="20"/>
        <v>125000</v>
      </c>
      <c r="H682" s="147" t="s">
        <v>286</v>
      </c>
      <c r="I682" s="147" t="s">
        <v>333</v>
      </c>
      <c r="J682" s="528"/>
      <c r="K682" s="9"/>
      <c r="L682" s="17"/>
      <c r="M682" s="43"/>
      <c r="N682" s="370"/>
      <c r="O682" s="14"/>
    </row>
    <row r="683" spans="1:15" ht="15" customHeight="1">
      <c r="A683" s="1552"/>
      <c r="B683" s="346">
        <v>12143</v>
      </c>
      <c r="C683" s="704">
        <v>0.1</v>
      </c>
      <c r="D683" s="242" t="s">
        <v>487</v>
      </c>
      <c r="E683" s="141">
        <v>1700000</v>
      </c>
      <c r="F683" s="148">
        <v>0.1</v>
      </c>
      <c r="G683" s="335">
        <f t="shared" si="20"/>
        <v>170000</v>
      </c>
      <c r="H683" s="147" t="s">
        <v>286</v>
      </c>
      <c r="I683" s="147" t="s">
        <v>128</v>
      </c>
      <c r="J683" s="528"/>
      <c r="K683" s="9"/>
      <c r="L683" s="17"/>
      <c r="M683" s="43"/>
      <c r="N683" s="370"/>
      <c r="O683" s="14"/>
    </row>
    <row r="684" spans="1:15" ht="15" customHeight="1">
      <c r="A684" s="1552"/>
      <c r="B684" s="346">
        <v>12188</v>
      </c>
      <c r="C684" s="704">
        <v>0.1</v>
      </c>
      <c r="D684" s="574" t="s">
        <v>488</v>
      </c>
      <c r="E684" s="141">
        <v>800000</v>
      </c>
      <c r="F684" s="148">
        <v>0.1</v>
      </c>
      <c r="G684" s="335">
        <f t="shared" si="20"/>
        <v>80000</v>
      </c>
      <c r="H684" s="147" t="s">
        <v>286</v>
      </c>
      <c r="I684" s="147" t="s">
        <v>333</v>
      </c>
      <c r="J684" s="528"/>
      <c r="K684" s="9"/>
      <c r="L684" s="17"/>
      <c r="M684" s="43"/>
      <c r="N684" s="370"/>
      <c r="O684" s="14"/>
    </row>
    <row r="685" spans="1:15" ht="18.75">
      <c r="A685" s="1542"/>
      <c r="B685" s="7"/>
      <c r="C685" s="7"/>
      <c r="D685" s="42"/>
      <c r="E685" s="332">
        <f>SUM(E670:E684)</f>
        <v>16100000</v>
      </c>
      <c r="F685" s="42"/>
      <c r="G685" s="281">
        <f>SUM(G670:G684)</f>
        <v>1191000</v>
      </c>
      <c r="H685" s="42"/>
      <c r="I685" s="42"/>
      <c r="J685" s="42"/>
      <c r="K685" s="11"/>
      <c r="L685" s="11"/>
      <c r="M685" s="668" t="s">
        <v>34</v>
      </c>
      <c r="N685" s="601"/>
      <c r="O685" s="669">
        <f>G685+O670</f>
        <v>1233500</v>
      </c>
    </row>
    <row r="689" spans="1:15" ht="23.25">
      <c r="A689" s="1548" t="s">
        <v>56</v>
      </c>
      <c r="B689" s="1532"/>
      <c r="C689" s="1532"/>
      <c r="D689" s="1532"/>
      <c r="E689" s="1532"/>
      <c r="F689" s="1532"/>
      <c r="G689" s="1532"/>
      <c r="H689" s="1532"/>
      <c r="I689" s="1532"/>
      <c r="J689" s="1549"/>
      <c r="K689" s="1558" t="s">
        <v>2</v>
      </c>
      <c r="L689" s="1559"/>
      <c r="M689" s="1559"/>
      <c r="N689" s="1559"/>
      <c r="O689" s="1560"/>
    </row>
    <row r="690" spans="1:15" ht="30">
      <c r="A690" s="3" t="s">
        <v>3</v>
      </c>
      <c r="B690" s="361" t="s">
        <v>120</v>
      </c>
      <c r="C690" s="367" t="s">
        <v>4</v>
      </c>
      <c r="D690" s="1" t="s">
        <v>5</v>
      </c>
      <c r="E690" s="1" t="s">
        <v>6</v>
      </c>
      <c r="F690" s="1" t="s">
        <v>7</v>
      </c>
      <c r="G690" s="1" t="s">
        <v>8</v>
      </c>
      <c r="H690" s="361" t="s">
        <v>9</v>
      </c>
      <c r="I690" s="1" t="s">
        <v>10</v>
      </c>
      <c r="J690" s="126" t="s">
        <v>11</v>
      </c>
      <c r="K690" s="3" t="s">
        <v>12</v>
      </c>
      <c r="L690" s="3" t="s">
        <v>5</v>
      </c>
      <c r="M690" s="3" t="s">
        <v>13</v>
      </c>
      <c r="N690" s="3" t="s">
        <v>7</v>
      </c>
      <c r="O690" s="3" t="s">
        <v>14</v>
      </c>
    </row>
    <row r="691" spans="1:15" ht="15.75">
      <c r="A691" s="1552" t="s">
        <v>440</v>
      </c>
      <c r="B691" s="135">
        <v>11993</v>
      </c>
      <c r="C691" s="233">
        <v>0.1</v>
      </c>
      <c r="D691" s="136" t="s">
        <v>489</v>
      </c>
      <c r="E691" s="143">
        <v>1380000</v>
      </c>
      <c r="F691" s="138">
        <v>0.1</v>
      </c>
      <c r="G691" s="278">
        <f>E691*F691</f>
        <v>138000</v>
      </c>
      <c r="H691" s="135" t="s">
        <v>318</v>
      </c>
      <c r="I691" s="135" t="s">
        <v>333</v>
      </c>
      <c r="J691" s="136"/>
      <c r="K691" s="135">
        <v>11990</v>
      </c>
      <c r="L691" s="661" t="s">
        <v>490</v>
      </c>
      <c r="M691" s="143">
        <v>1100000</v>
      </c>
      <c r="N691" s="231">
        <v>0.05</v>
      </c>
      <c r="O691" s="673">
        <f>M691*N691</f>
        <v>55000</v>
      </c>
    </row>
    <row r="692" spans="1:15" ht="15.75">
      <c r="A692" s="1552"/>
      <c r="B692" s="135">
        <v>11963</v>
      </c>
      <c r="C692" s="233">
        <v>0.1</v>
      </c>
      <c r="D692" s="136" t="s">
        <v>491</v>
      </c>
      <c r="E692" s="143">
        <v>900000</v>
      </c>
      <c r="F692" s="138">
        <v>0.1</v>
      </c>
      <c r="G692" s="278">
        <f t="shared" ref="G692:G698" si="21">E692*F692</f>
        <v>90000</v>
      </c>
      <c r="H692" s="135" t="s">
        <v>318</v>
      </c>
      <c r="I692" s="135" t="s">
        <v>333</v>
      </c>
      <c r="J692" s="136"/>
      <c r="K692" s="701">
        <v>11972</v>
      </c>
      <c r="L692" s="136" t="s">
        <v>476</v>
      </c>
      <c r="M692" s="699">
        <v>900000</v>
      </c>
      <c r="N692" s="231">
        <v>0.05</v>
      </c>
      <c r="O692" s="673">
        <f t="shared" ref="O692:O693" si="22">M692*N692</f>
        <v>45000</v>
      </c>
    </row>
    <row r="693" spans="1:15" ht="15.75">
      <c r="A693" s="1552"/>
      <c r="B693" s="135">
        <v>11991</v>
      </c>
      <c r="C693" s="233">
        <v>0.1</v>
      </c>
      <c r="D693" s="136" t="s">
        <v>492</v>
      </c>
      <c r="E693" s="143">
        <v>1300000</v>
      </c>
      <c r="F693" s="138">
        <v>0.1</v>
      </c>
      <c r="G693" s="278">
        <f t="shared" si="21"/>
        <v>130000</v>
      </c>
      <c r="H693" s="135" t="s">
        <v>318</v>
      </c>
      <c r="I693" s="135" t="s">
        <v>333</v>
      </c>
      <c r="J693" s="136"/>
      <c r="K693" s="701">
        <v>12048</v>
      </c>
      <c r="L693" s="652" t="s">
        <v>483</v>
      </c>
      <c r="M693" s="699">
        <v>950000</v>
      </c>
      <c r="N693" s="231">
        <v>0.05</v>
      </c>
      <c r="O693" s="673">
        <f t="shared" si="22"/>
        <v>47500</v>
      </c>
    </row>
    <row r="694" spans="1:15" ht="15.75">
      <c r="A694" s="1552"/>
      <c r="B694" s="135">
        <v>12063</v>
      </c>
      <c r="C694" s="233">
        <v>0.1</v>
      </c>
      <c r="D694" s="651" t="s">
        <v>493</v>
      </c>
      <c r="E694" s="143">
        <v>1300000</v>
      </c>
      <c r="F694" s="138">
        <v>0.1</v>
      </c>
      <c r="G694" s="278">
        <f t="shared" si="21"/>
        <v>130000</v>
      </c>
      <c r="H694" s="135" t="s">
        <v>318</v>
      </c>
      <c r="I694" s="135" t="s">
        <v>128</v>
      </c>
      <c r="J694" s="136"/>
      <c r="K694" s="161"/>
      <c r="L694" s="374"/>
      <c r="M694" s="372"/>
      <c r="N694" s="319"/>
      <c r="O694" s="14"/>
    </row>
    <row r="695" spans="1:15" ht="15.75">
      <c r="A695" s="1552"/>
      <c r="B695" s="135">
        <v>12067</v>
      </c>
      <c r="C695" s="233">
        <v>0.1</v>
      </c>
      <c r="D695" s="136" t="s">
        <v>494</v>
      </c>
      <c r="E695" s="143">
        <v>900000</v>
      </c>
      <c r="F695" s="138">
        <v>0.1</v>
      </c>
      <c r="G695" s="278">
        <f t="shared" si="21"/>
        <v>90000</v>
      </c>
      <c r="H695" s="135" t="s">
        <v>318</v>
      </c>
      <c r="I695" s="135" t="s">
        <v>333</v>
      </c>
      <c r="J695" s="136"/>
      <c r="K695" s="161"/>
      <c r="L695" s="270"/>
      <c r="M695" s="372"/>
      <c r="N695" s="319"/>
      <c r="O695" s="14"/>
    </row>
    <row r="696" spans="1:15" ht="15.75">
      <c r="A696" s="1552"/>
      <c r="B696" s="135">
        <v>12109</v>
      </c>
      <c r="C696" s="233">
        <v>0.1</v>
      </c>
      <c r="D696" s="136" t="s">
        <v>495</v>
      </c>
      <c r="E696" s="143">
        <v>800000</v>
      </c>
      <c r="F696" s="138">
        <v>0.06</v>
      </c>
      <c r="G696" s="278">
        <f t="shared" si="21"/>
        <v>48000</v>
      </c>
      <c r="H696" s="135" t="s">
        <v>30</v>
      </c>
      <c r="I696" s="135" t="s">
        <v>333</v>
      </c>
      <c r="J696" s="136"/>
      <c r="K696" s="161"/>
      <c r="L696" s="270"/>
      <c r="M696" s="372"/>
      <c r="N696" s="319"/>
      <c r="O696" s="14"/>
    </row>
    <row r="697" spans="1:15" ht="15.75">
      <c r="A697" s="1552"/>
      <c r="B697" s="135">
        <v>12118</v>
      </c>
      <c r="C697" s="233">
        <v>0.1</v>
      </c>
      <c r="D697" s="136" t="s">
        <v>496</v>
      </c>
      <c r="E697" s="143">
        <v>1000000</v>
      </c>
      <c r="F697" s="138">
        <v>0.1</v>
      </c>
      <c r="G697" s="278">
        <f t="shared" si="21"/>
        <v>100000</v>
      </c>
      <c r="H697" s="135" t="s">
        <v>318</v>
      </c>
      <c r="I697" s="135" t="s">
        <v>128</v>
      </c>
      <c r="J697" s="136"/>
      <c r="K697" s="161"/>
      <c r="L697" s="270"/>
      <c r="M697" s="372"/>
      <c r="N697" s="319"/>
      <c r="O697" s="14"/>
    </row>
    <row r="698" spans="1:15" ht="15.75">
      <c r="A698" s="1552"/>
      <c r="B698" s="135">
        <v>12134</v>
      </c>
      <c r="C698" s="233">
        <v>0.1</v>
      </c>
      <c r="D698" s="136" t="s">
        <v>497</v>
      </c>
      <c r="E698" s="143">
        <v>1250000</v>
      </c>
      <c r="F698" s="138">
        <v>0.05</v>
      </c>
      <c r="G698" s="278">
        <f t="shared" si="21"/>
        <v>62500</v>
      </c>
      <c r="H698" s="135" t="s">
        <v>498</v>
      </c>
      <c r="I698" s="135" t="s">
        <v>333</v>
      </c>
      <c r="J698" s="136"/>
      <c r="K698" s="161"/>
      <c r="L698" s="270"/>
      <c r="M698" s="372"/>
      <c r="N698" s="319"/>
      <c r="O698" s="14"/>
    </row>
    <row r="699" spans="1:15" ht="15.75">
      <c r="A699" s="1552"/>
      <c r="B699" s="211" t="s">
        <v>257</v>
      </c>
      <c r="C699" s="267"/>
      <c r="D699" s="277" t="s">
        <v>499</v>
      </c>
      <c r="E699" s="308"/>
      <c r="F699" s="220"/>
      <c r="G699" s="268"/>
      <c r="H699" s="211"/>
      <c r="I699" s="211" t="s">
        <v>333</v>
      </c>
      <c r="J699" s="284" t="s">
        <v>257</v>
      </c>
      <c r="K699" s="161"/>
      <c r="L699" s="270"/>
      <c r="M699" s="372"/>
      <c r="N699" s="319"/>
      <c r="O699" s="14"/>
    </row>
    <row r="700" spans="1:15" ht="15.75">
      <c r="A700" s="1552"/>
      <c r="B700" s="211" t="s">
        <v>245</v>
      </c>
      <c r="C700" s="267"/>
      <c r="D700" s="277" t="s">
        <v>500</v>
      </c>
      <c r="E700" s="308"/>
      <c r="F700" s="220"/>
      <c r="G700" s="268"/>
      <c r="H700" s="211"/>
      <c r="I700" s="211" t="s">
        <v>234</v>
      </c>
      <c r="J700" s="567" t="s">
        <v>501</v>
      </c>
      <c r="K700" s="161"/>
      <c r="L700" s="270"/>
      <c r="M700" s="372"/>
      <c r="N700" s="319"/>
      <c r="O700" s="14"/>
    </row>
    <row r="701" spans="1:15" ht="15.75">
      <c r="A701" s="1552"/>
      <c r="B701" s="211" t="s">
        <v>245</v>
      </c>
      <c r="C701" s="267"/>
      <c r="D701" s="277" t="s">
        <v>502</v>
      </c>
      <c r="E701" s="308"/>
      <c r="F701" s="220"/>
      <c r="G701" s="268"/>
      <c r="H701" s="211"/>
      <c r="I701" s="211" t="s">
        <v>333</v>
      </c>
      <c r="J701" s="284" t="s">
        <v>501</v>
      </c>
      <c r="K701" s="161"/>
      <c r="L701" s="270"/>
      <c r="M701" s="372"/>
      <c r="N701" s="319"/>
      <c r="O701" s="14"/>
    </row>
    <row r="702" spans="1:15" ht="15.75">
      <c r="A702" s="1552"/>
      <c r="B702" s="163"/>
      <c r="C702" s="318"/>
      <c r="D702" s="262"/>
      <c r="E702" s="261"/>
      <c r="F702" s="659"/>
      <c r="G702" s="286"/>
      <c r="H702" s="163"/>
      <c r="I702" s="163"/>
      <c r="J702" s="262"/>
      <c r="K702" s="161"/>
      <c r="L702" s="270"/>
      <c r="M702" s="553" t="s">
        <v>34</v>
      </c>
      <c r="N702" s="319"/>
      <c r="O702" s="727">
        <f>SUM(O691:O701)</f>
        <v>147500</v>
      </c>
    </row>
    <row r="703" spans="1:15" ht="18.75">
      <c r="A703" s="1542"/>
      <c r="B703" s="213"/>
      <c r="C703" s="213"/>
      <c r="D703" s="223"/>
      <c r="E703" s="332">
        <f>SUM(E691:E702)</f>
        <v>8830000</v>
      </c>
      <c r="F703" s="223"/>
      <c r="G703" s="281">
        <f>SUM(G691:G702)</f>
        <v>788500</v>
      </c>
      <c r="H703" s="223"/>
      <c r="I703" s="223"/>
      <c r="J703" s="223"/>
      <c r="K703" s="275"/>
      <c r="L703" s="275"/>
      <c r="M703" s="676" t="s">
        <v>34</v>
      </c>
      <c r="N703" s="464"/>
      <c r="O703" s="669">
        <f>G703+O702</f>
        <v>936000</v>
      </c>
    </row>
    <row r="706" spans="1:15" ht="23.25">
      <c r="A706" s="1530" t="s">
        <v>465</v>
      </c>
      <c r="B706" s="1532"/>
      <c r="C706" s="1532"/>
      <c r="D706" s="1532"/>
      <c r="E706" s="1532"/>
      <c r="F706" s="1532"/>
      <c r="G706" s="1532"/>
      <c r="H706" s="1532"/>
      <c r="I706" s="1532"/>
      <c r="J706" s="1549"/>
      <c r="K706" s="1558" t="s">
        <v>2</v>
      </c>
      <c r="L706" s="1559"/>
      <c r="M706" s="1559"/>
      <c r="N706" s="1559"/>
      <c r="O706" s="1560"/>
    </row>
    <row r="707" spans="1:15" ht="30">
      <c r="A707" s="126" t="s">
        <v>3</v>
      </c>
      <c r="B707" s="1" t="s">
        <v>120</v>
      </c>
      <c r="C707" s="367" t="s">
        <v>4</v>
      </c>
      <c r="D707" s="1" t="s">
        <v>5</v>
      </c>
      <c r="E707" s="1" t="s">
        <v>6</v>
      </c>
      <c r="F707" s="1" t="s">
        <v>7</v>
      </c>
      <c r="G707" s="1" t="s">
        <v>8</v>
      </c>
      <c r="H707" s="361" t="s">
        <v>9</v>
      </c>
      <c r="I707" s="1" t="s">
        <v>10</v>
      </c>
      <c r="J707" s="126" t="s">
        <v>11</v>
      </c>
      <c r="K707" s="3" t="s">
        <v>12</v>
      </c>
      <c r="L707" s="3" t="s">
        <v>5</v>
      </c>
      <c r="M707" s="3" t="s">
        <v>13</v>
      </c>
      <c r="N707" s="3" t="s">
        <v>7</v>
      </c>
      <c r="O707" s="3" t="s">
        <v>14</v>
      </c>
    </row>
    <row r="708" spans="1:15" ht="15.75">
      <c r="A708" s="1574" t="s">
        <v>440</v>
      </c>
      <c r="B708" s="741">
        <v>12031</v>
      </c>
      <c r="C708" s="138">
        <v>0.1</v>
      </c>
      <c r="D708" s="137" t="s">
        <v>503</v>
      </c>
      <c r="E708" s="139">
        <v>1300000</v>
      </c>
      <c r="F708" s="138">
        <v>0.1</v>
      </c>
      <c r="G708" s="619">
        <f>E708*F708</f>
        <v>130000</v>
      </c>
      <c r="H708" s="741" t="s">
        <v>482</v>
      </c>
      <c r="I708" s="741" t="s">
        <v>128</v>
      </c>
      <c r="J708" s="137"/>
      <c r="K708" s="701">
        <v>12028</v>
      </c>
      <c r="L708" s="705" t="s">
        <v>481</v>
      </c>
      <c r="M708" s="699">
        <v>820000</v>
      </c>
      <c r="N708" s="683">
        <v>0.05</v>
      </c>
      <c r="O708" s="673">
        <f>M708*N708</f>
        <v>41000</v>
      </c>
    </row>
    <row r="709" spans="1:15" ht="15.75">
      <c r="A709" s="1574"/>
      <c r="B709" s="741">
        <v>12006</v>
      </c>
      <c r="C709" s="138">
        <v>0.1</v>
      </c>
      <c r="D709" s="137" t="s">
        <v>504</v>
      </c>
      <c r="E709" s="139">
        <v>950000</v>
      </c>
      <c r="F709" s="138">
        <v>0.1</v>
      </c>
      <c r="G709" s="619">
        <f t="shared" ref="G709:G714" si="23">E709*F709</f>
        <v>95000</v>
      </c>
      <c r="H709" s="741" t="s">
        <v>482</v>
      </c>
      <c r="I709" s="741" t="s">
        <v>100</v>
      </c>
      <c r="J709" s="137"/>
      <c r="K709" s="14"/>
      <c r="L709" s="14"/>
      <c r="M709" s="14"/>
      <c r="N709" s="14"/>
      <c r="O709" s="14"/>
    </row>
    <row r="710" spans="1:15" ht="15.75">
      <c r="A710" s="1574"/>
      <c r="B710" s="741">
        <v>12029</v>
      </c>
      <c r="C710" s="138">
        <v>0.1</v>
      </c>
      <c r="D710" s="137" t="s">
        <v>505</v>
      </c>
      <c r="E710" s="139">
        <v>1200000</v>
      </c>
      <c r="F710" s="138">
        <v>0.06</v>
      </c>
      <c r="G710" s="619">
        <f t="shared" si="23"/>
        <v>72000</v>
      </c>
      <c r="H710" s="741" t="s">
        <v>30</v>
      </c>
      <c r="I710" s="741" t="s">
        <v>128</v>
      </c>
      <c r="J710" s="137"/>
      <c r="K710" s="14"/>
      <c r="L710" s="14"/>
      <c r="M710" s="14"/>
      <c r="N710" s="14"/>
      <c r="O710" s="14"/>
    </row>
    <row r="711" spans="1:15" ht="15.75">
      <c r="A711" s="1574"/>
      <c r="B711" s="741">
        <v>12012</v>
      </c>
      <c r="C711" s="140">
        <v>0.08</v>
      </c>
      <c r="D711" s="137" t="s">
        <v>506</v>
      </c>
      <c r="E711" s="139">
        <v>1400000</v>
      </c>
      <c r="F711" s="140">
        <v>0.08</v>
      </c>
      <c r="G711" s="619">
        <f t="shared" si="23"/>
        <v>112000</v>
      </c>
      <c r="H711" s="741" t="s">
        <v>482</v>
      </c>
      <c r="I711" s="741" t="s">
        <v>333</v>
      </c>
      <c r="J711" s="137"/>
      <c r="K711" s="14"/>
      <c r="L711" s="14"/>
      <c r="M711" s="14"/>
      <c r="N711" s="14"/>
      <c r="O711" s="14"/>
    </row>
    <row r="712" spans="1:15" ht="15.75">
      <c r="A712" s="1574"/>
      <c r="B712" s="741">
        <v>12034</v>
      </c>
      <c r="C712" s="138">
        <v>0.1</v>
      </c>
      <c r="D712" s="137" t="s">
        <v>507</v>
      </c>
      <c r="E712" s="139">
        <v>1200000</v>
      </c>
      <c r="F712" s="138">
        <v>0.06</v>
      </c>
      <c r="G712" s="619">
        <f t="shared" si="23"/>
        <v>72000</v>
      </c>
      <c r="H712" s="741" t="s">
        <v>30</v>
      </c>
      <c r="I712" s="741" t="s">
        <v>128</v>
      </c>
      <c r="J712" s="137"/>
      <c r="K712" s="14"/>
      <c r="L712" s="14"/>
      <c r="M712" s="14"/>
      <c r="N712" s="14"/>
      <c r="O712" s="14"/>
    </row>
    <row r="713" spans="1:15" ht="15.75">
      <c r="A713" s="1574"/>
      <c r="B713" s="741">
        <v>12124</v>
      </c>
      <c r="C713" s="138">
        <v>0.1</v>
      </c>
      <c r="D713" s="137" t="s">
        <v>508</v>
      </c>
      <c r="E713" s="139">
        <v>2500000</v>
      </c>
      <c r="F713" s="138">
        <v>0.1</v>
      </c>
      <c r="G713" s="619">
        <f t="shared" si="23"/>
        <v>250000</v>
      </c>
      <c r="H713" s="741" t="s">
        <v>482</v>
      </c>
      <c r="I713" s="741" t="s">
        <v>333</v>
      </c>
      <c r="J713" s="137"/>
      <c r="K713" s="14"/>
      <c r="L713" s="14"/>
      <c r="M713" s="14"/>
      <c r="N713" s="14"/>
      <c r="O713" s="14"/>
    </row>
    <row r="714" spans="1:15" ht="15.75">
      <c r="A714" s="1574"/>
      <c r="B714" s="741">
        <v>12178</v>
      </c>
      <c r="C714" s="138">
        <v>0.1</v>
      </c>
      <c r="D714" s="137" t="s">
        <v>509</v>
      </c>
      <c r="E714" s="139">
        <v>1300000</v>
      </c>
      <c r="F714" s="138">
        <v>0.1</v>
      </c>
      <c r="G714" s="619">
        <f t="shared" si="23"/>
        <v>130000</v>
      </c>
      <c r="H714" s="741" t="s">
        <v>482</v>
      </c>
      <c r="I714" s="741" t="s">
        <v>128</v>
      </c>
      <c r="J714" s="137"/>
      <c r="K714" s="14"/>
      <c r="L714" s="14"/>
      <c r="M714" s="14"/>
      <c r="N714" s="14"/>
      <c r="O714" s="14"/>
    </row>
    <row r="715" spans="1:15" ht="15.75">
      <c r="A715" s="1574"/>
      <c r="B715" s="219" t="s">
        <v>245</v>
      </c>
      <c r="C715" s="220"/>
      <c r="D715" s="225" t="s">
        <v>510</v>
      </c>
      <c r="E715" s="221"/>
      <c r="F715" s="225"/>
      <c r="G715" s="219"/>
      <c r="H715" s="219"/>
      <c r="I715" s="219" t="s">
        <v>128</v>
      </c>
      <c r="J715" s="529" t="s">
        <v>511</v>
      </c>
      <c r="K715" s="14"/>
      <c r="L715" s="14"/>
      <c r="M715" s="14"/>
      <c r="N715" s="14"/>
      <c r="O715" s="14"/>
    </row>
    <row r="716" spans="1:15" ht="15.75">
      <c r="A716" s="1574"/>
      <c r="B716" s="211" t="s">
        <v>257</v>
      </c>
      <c r="C716" s="267"/>
      <c r="D716" s="277" t="s">
        <v>512</v>
      </c>
      <c r="E716" s="221"/>
      <c r="F716" s="225"/>
      <c r="G716" s="219"/>
      <c r="H716" s="219"/>
      <c r="I716" s="219" t="s">
        <v>333</v>
      </c>
      <c r="J716" s="728" t="s">
        <v>257</v>
      </c>
      <c r="K716" s="14"/>
      <c r="L716" s="14"/>
      <c r="M716" s="14"/>
      <c r="N716" s="14"/>
      <c r="O716" s="14"/>
    </row>
    <row r="717" spans="1:15" ht="18.75">
      <c r="A717" s="1575"/>
      <c r="B717" s="71"/>
      <c r="C717" s="71"/>
      <c r="D717" s="14"/>
      <c r="E717" s="154">
        <f>SUM(E708:E716)</f>
        <v>9850000</v>
      </c>
      <c r="F717" s="14"/>
      <c r="G717" s="293">
        <f>SUM(G708:G716)</f>
        <v>861000</v>
      </c>
      <c r="H717" s="14"/>
      <c r="I717" s="14"/>
      <c r="J717" s="14"/>
      <c r="K717" s="14"/>
      <c r="L717" s="14"/>
      <c r="M717" s="670" t="s">
        <v>34</v>
      </c>
      <c r="N717" s="621"/>
      <c r="O717" s="671">
        <f>G717+O708</f>
        <v>902000</v>
      </c>
    </row>
    <row r="720" spans="1:15" ht="23.25">
      <c r="A720" s="1530" t="s">
        <v>274</v>
      </c>
      <c r="B720" s="1531"/>
      <c r="C720" s="1532"/>
      <c r="D720" s="1531"/>
      <c r="E720" s="1531"/>
      <c r="F720" s="1531"/>
      <c r="G720" s="1531"/>
      <c r="H720" s="1532"/>
      <c r="I720" s="1532"/>
      <c r="J720" s="1532"/>
      <c r="K720" s="1571" t="s">
        <v>2</v>
      </c>
      <c r="L720" s="1572"/>
      <c r="M720" s="1572"/>
      <c r="N720" s="1572"/>
      <c r="O720" s="1572"/>
    </row>
    <row r="721" spans="1:15" ht="30">
      <c r="A721" s="126" t="s">
        <v>3</v>
      </c>
      <c r="B721" s="1" t="s">
        <v>120</v>
      </c>
      <c r="C721" s="367" t="s">
        <v>4</v>
      </c>
      <c r="D721" s="1" t="s">
        <v>5</v>
      </c>
      <c r="E721" s="1" t="s">
        <v>6</v>
      </c>
      <c r="F721" s="1" t="s">
        <v>7</v>
      </c>
      <c r="G721" s="1" t="s">
        <v>8</v>
      </c>
      <c r="H721" s="361" t="s">
        <v>9</v>
      </c>
      <c r="I721" s="1" t="s">
        <v>10</v>
      </c>
      <c r="J721" s="126" t="s">
        <v>11</v>
      </c>
      <c r="K721" s="1" t="s">
        <v>12</v>
      </c>
      <c r="L721" s="1" t="s">
        <v>5</v>
      </c>
      <c r="M721" s="1" t="s">
        <v>13</v>
      </c>
      <c r="N721" s="1" t="s">
        <v>7</v>
      </c>
      <c r="O721" s="3" t="s">
        <v>14</v>
      </c>
    </row>
    <row r="722" spans="1:15" ht="15.75">
      <c r="A722" s="1553">
        <v>7</v>
      </c>
      <c r="B722" s="135">
        <v>11990</v>
      </c>
      <c r="C722" s="233">
        <v>0.1</v>
      </c>
      <c r="D722" s="136" t="s">
        <v>490</v>
      </c>
      <c r="E722" s="143">
        <v>1100000</v>
      </c>
      <c r="F722" s="497"/>
      <c r="G722" s="498"/>
      <c r="H722" s="135" t="s">
        <v>318</v>
      </c>
      <c r="I722" s="135" t="s">
        <v>100</v>
      </c>
      <c r="J722" s="136"/>
      <c r="K722" s="346">
        <v>12079</v>
      </c>
      <c r="L722" s="652" t="s">
        <v>478</v>
      </c>
      <c r="M722" s="699">
        <v>1200000</v>
      </c>
      <c r="N722" s="543"/>
      <c r="O722" s="535"/>
    </row>
    <row r="723" spans="1:15" ht="15.75">
      <c r="A723" s="1552"/>
      <c r="B723" s="205"/>
      <c r="C723" s="508"/>
      <c r="D723" s="287"/>
      <c r="E723" s="509"/>
      <c r="F723" s="510"/>
      <c r="G723" s="511"/>
      <c r="H723" s="205"/>
      <c r="I723" s="205"/>
      <c r="J723" s="262"/>
      <c r="K723" s="346">
        <v>12087</v>
      </c>
      <c r="L723" s="574" t="s">
        <v>484</v>
      </c>
      <c r="M723" s="141">
        <v>900000</v>
      </c>
      <c r="N723" s="544"/>
      <c r="O723" s="278"/>
    </row>
    <row r="724" spans="1:15" ht="15.75">
      <c r="A724" s="1552"/>
      <c r="B724" s="523"/>
      <c r="C724" s="524"/>
      <c r="D724" s="525"/>
      <c r="E724" s="526"/>
      <c r="F724" s="527"/>
      <c r="G724" s="522"/>
      <c r="H724" s="523"/>
      <c r="I724" s="523"/>
      <c r="J724" s="262"/>
      <c r="K724" s="346">
        <v>12100</v>
      </c>
      <c r="L724" s="242" t="s">
        <v>485</v>
      </c>
      <c r="M724" s="141">
        <v>1250000</v>
      </c>
      <c r="N724" s="544"/>
      <c r="O724" s="545"/>
    </row>
    <row r="725" spans="1:15" ht="15.75">
      <c r="A725" s="1552"/>
      <c r="B725" s="364"/>
      <c r="C725" s="316"/>
      <c r="D725" s="270"/>
      <c r="E725" s="295"/>
      <c r="F725" s="159"/>
      <c r="G725" s="288"/>
      <c r="H725" s="161"/>
      <c r="I725" s="161"/>
      <c r="J725" s="262"/>
      <c r="K725" s="135">
        <v>12109</v>
      </c>
      <c r="L725" s="136" t="s">
        <v>495</v>
      </c>
      <c r="M725" s="143">
        <v>800000</v>
      </c>
      <c r="N725" s="544"/>
      <c r="O725" s="545"/>
    </row>
    <row r="726" spans="1:15" ht="15.75">
      <c r="A726" s="1552"/>
      <c r="B726" s="364"/>
      <c r="C726" s="316"/>
      <c r="D726" s="270"/>
      <c r="E726" s="295"/>
      <c r="F726" s="159"/>
      <c r="G726" s="288"/>
      <c r="H726" s="161"/>
      <c r="I726" s="161"/>
      <c r="J726" s="262"/>
      <c r="K726" s="741">
        <v>12029</v>
      </c>
      <c r="L726" s="137" t="s">
        <v>505</v>
      </c>
      <c r="M726" s="139">
        <v>1200000</v>
      </c>
      <c r="N726" s="544"/>
      <c r="O726" s="666"/>
    </row>
    <row r="727" spans="1:15" ht="15.75">
      <c r="A727" s="1552"/>
      <c r="B727" s="368"/>
      <c r="C727" s="316"/>
      <c r="D727" s="270"/>
      <c r="E727" s="295"/>
      <c r="F727" s="159"/>
      <c r="G727" s="288"/>
      <c r="H727" s="161"/>
      <c r="I727" s="161"/>
      <c r="J727" s="368"/>
      <c r="K727" s="741">
        <v>12034</v>
      </c>
      <c r="L727" s="137" t="s">
        <v>507</v>
      </c>
      <c r="M727" s="139">
        <v>1200000</v>
      </c>
      <c r="N727" s="544"/>
      <c r="O727" s="666"/>
    </row>
    <row r="728" spans="1:15" ht="18">
      <c r="A728" s="1542"/>
      <c r="B728" s="215"/>
      <c r="C728" s="215"/>
      <c r="D728" s="214"/>
      <c r="E728" s="332">
        <f>SUM(E722:E727)</f>
        <v>1100000</v>
      </c>
      <c r="F728" s="214"/>
      <c r="G728" s="281">
        <f>SUM(G722:G727)</f>
        <v>0</v>
      </c>
      <c r="H728" s="214"/>
      <c r="I728" s="214"/>
      <c r="J728" s="214"/>
      <c r="K728" s="275"/>
      <c r="L728" s="275"/>
      <c r="M728" s="628">
        <f>SUM(M722:M727)</f>
        <v>6550000</v>
      </c>
      <c r="N728" s="304"/>
      <c r="O728" s="14"/>
    </row>
    <row r="731" spans="1:15" ht="18">
      <c r="A731" s="1535" t="s">
        <v>68</v>
      </c>
      <c r="B731" s="1535"/>
      <c r="C731" s="365"/>
      <c r="D731" s="341">
        <f>E664+E685+E703+E717+E728</f>
        <v>38030000</v>
      </c>
    </row>
    <row r="732" spans="1:15">
      <c r="A732" s="1536" t="s">
        <v>69</v>
      </c>
      <c r="B732" s="1536"/>
      <c r="C732" s="22"/>
      <c r="D732" s="20"/>
    </row>
    <row r="733" spans="1:15">
      <c r="A733" s="1537" t="s">
        <v>70</v>
      </c>
      <c r="B733" s="1537"/>
      <c r="C733" s="101"/>
      <c r="D733" s="21"/>
    </row>
    <row r="737" spans="1:15" ht="31.5">
      <c r="A737" s="1561" t="s">
        <v>513</v>
      </c>
      <c r="B737" s="1562"/>
      <c r="C737" s="1562"/>
      <c r="D737" s="1562"/>
      <c r="E737" s="1562"/>
      <c r="F737" s="1562"/>
      <c r="G737" s="1562"/>
      <c r="H737" s="1562"/>
      <c r="I737" s="1562"/>
      <c r="J737" s="1562"/>
      <c r="K737" s="1562"/>
      <c r="L737" s="1562"/>
      <c r="M737" s="1562"/>
      <c r="N737" s="1562"/>
      <c r="O737" s="1562"/>
    </row>
    <row r="738" spans="1:15" ht="23.25">
      <c r="A738" s="1548" t="s">
        <v>1</v>
      </c>
      <c r="B738" s="1532"/>
      <c r="C738" s="1532"/>
      <c r="D738" s="1531"/>
      <c r="E738" s="1532"/>
      <c r="F738" s="1532"/>
      <c r="G738" s="1532"/>
      <c r="H738" s="1532"/>
      <c r="I738" s="1532"/>
      <c r="J738" s="1532"/>
      <c r="K738" s="1533" t="s">
        <v>2</v>
      </c>
      <c r="L738" s="1533"/>
      <c r="M738" s="1533"/>
      <c r="N738" s="1533"/>
      <c r="O738" s="1533"/>
    </row>
    <row r="739" spans="1:15" ht="30">
      <c r="A739" s="3" t="s">
        <v>3</v>
      </c>
      <c r="B739" s="361" t="s">
        <v>120</v>
      </c>
      <c r="C739" s="360" t="s">
        <v>4</v>
      </c>
      <c r="D739" s="3" t="s">
        <v>5</v>
      </c>
      <c r="E739" s="361" t="s">
        <v>6</v>
      </c>
      <c r="F739" s="1" t="s">
        <v>7</v>
      </c>
      <c r="G739" s="1" t="s">
        <v>8</v>
      </c>
      <c r="H739" s="1" t="s">
        <v>9</v>
      </c>
      <c r="I739" s="1" t="s">
        <v>10</v>
      </c>
      <c r="J739" s="3" t="s">
        <v>11</v>
      </c>
      <c r="K739" s="40" t="s">
        <v>12</v>
      </c>
      <c r="L739" s="40" t="s">
        <v>5</v>
      </c>
      <c r="M739" s="40" t="s">
        <v>13</v>
      </c>
      <c r="N739" s="129" t="s">
        <v>7</v>
      </c>
      <c r="O739" s="68" t="s">
        <v>14</v>
      </c>
    </row>
    <row r="740" spans="1:15" ht="15.75">
      <c r="A740" s="1552" t="s">
        <v>514</v>
      </c>
      <c r="B740" s="135">
        <v>12203</v>
      </c>
      <c r="C740" s="233">
        <v>0.1</v>
      </c>
      <c r="D740" s="729" t="s">
        <v>515</v>
      </c>
      <c r="E740" s="143">
        <v>1450000</v>
      </c>
      <c r="F740" s="478">
        <v>0.1</v>
      </c>
      <c r="G740" s="278">
        <f>E740*F740</f>
        <v>145000</v>
      </c>
      <c r="H740" s="135" t="s">
        <v>288</v>
      </c>
      <c r="I740" s="135" t="s">
        <v>333</v>
      </c>
      <c r="J740" s="541"/>
      <c r="K740" s="346">
        <v>12335</v>
      </c>
      <c r="L740" s="661" t="s">
        <v>516</v>
      </c>
      <c r="M740" s="699">
        <v>1500000</v>
      </c>
      <c r="N740" s="534">
        <v>0.05</v>
      </c>
      <c r="O740" s="673">
        <f>M740*N740</f>
        <v>75000</v>
      </c>
    </row>
    <row r="741" spans="1:15" ht="15.75">
      <c r="A741" s="1552"/>
      <c r="B741" s="135">
        <v>12209</v>
      </c>
      <c r="C741" s="557">
        <v>0.1</v>
      </c>
      <c r="D741" s="137" t="s">
        <v>517</v>
      </c>
      <c r="E741" s="558">
        <v>1300000</v>
      </c>
      <c r="F741" s="478">
        <v>0.05</v>
      </c>
      <c r="G741" s="278">
        <f t="shared" ref="G741:G754" si="24">E741*F741</f>
        <v>65000</v>
      </c>
      <c r="H741" s="135" t="s">
        <v>286</v>
      </c>
      <c r="I741" s="135" t="s">
        <v>234</v>
      </c>
      <c r="J741" s="541"/>
      <c r="K741" s="741">
        <v>12388</v>
      </c>
      <c r="L741" s="137" t="s">
        <v>518</v>
      </c>
      <c r="M741" s="139">
        <v>1500000</v>
      </c>
      <c r="N741" s="534">
        <v>0.05</v>
      </c>
      <c r="O741" s="673">
        <f>M741*N741</f>
        <v>75000</v>
      </c>
    </row>
    <row r="742" spans="1:15" ht="15.75">
      <c r="A742" s="1552"/>
      <c r="B742" s="135">
        <v>12223</v>
      </c>
      <c r="C742" s="233">
        <v>0.1</v>
      </c>
      <c r="D742" s="242" t="s">
        <v>519</v>
      </c>
      <c r="E742" s="143">
        <v>1300000</v>
      </c>
      <c r="F742" s="138">
        <v>0.05</v>
      </c>
      <c r="G742" s="278">
        <f t="shared" si="24"/>
        <v>65000</v>
      </c>
      <c r="H742" s="135" t="s">
        <v>520</v>
      </c>
      <c r="I742" s="135" t="s">
        <v>333</v>
      </c>
      <c r="J742" s="541"/>
      <c r="K742" s="16"/>
      <c r="L742" s="10"/>
      <c r="M742" s="57"/>
      <c r="N742" s="10"/>
      <c r="O742" s="773"/>
    </row>
    <row r="743" spans="1:15" ht="15.75">
      <c r="A743" s="1552"/>
      <c r="B743" s="135">
        <v>12217</v>
      </c>
      <c r="C743" s="233">
        <v>0.1</v>
      </c>
      <c r="D743" s="136" t="s">
        <v>521</v>
      </c>
      <c r="E743" s="143">
        <v>800000</v>
      </c>
      <c r="F743" s="138">
        <v>0.06</v>
      </c>
      <c r="G743" s="278">
        <f t="shared" si="24"/>
        <v>48000</v>
      </c>
      <c r="H743" s="135" t="s">
        <v>30</v>
      </c>
      <c r="I743" s="135" t="s">
        <v>242</v>
      </c>
      <c r="J743" s="541"/>
      <c r="K743" s="16"/>
      <c r="L743" s="10"/>
      <c r="M743" s="57"/>
      <c r="N743" s="10"/>
      <c r="O743" s="27"/>
    </row>
    <row r="744" spans="1:15" ht="15.75">
      <c r="A744" s="1552"/>
      <c r="B744" s="135">
        <v>12235</v>
      </c>
      <c r="C744" s="233">
        <v>0.1</v>
      </c>
      <c r="D744" s="136" t="s">
        <v>522</v>
      </c>
      <c r="E744" s="143">
        <v>1400000</v>
      </c>
      <c r="F744" s="138">
        <v>0.05</v>
      </c>
      <c r="G744" s="278">
        <f t="shared" si="24"/>
        <v>70000</v>
      </c>
      <c r="H744" s="135" t="s">
        <v>311</v>
      </c>
      <c r="I744" s="135" t="s">
        <v>333</v>
      </c>
      <c r="J744" s="541"/>
      <c r="K744" s="16"/>
      <c r="L744" s="10"/>
      <c r="M744" s="57"/>
      <c r="N744" s="10"/>
      <c r="O744" s="27"/>
    </row>
    <row r="745" spans="1:15" ht="15.75">
      <c r="A745" s="1552"/>
      <c r="B745" s="135">
        <v>12245</v>
      </c>
      <c r="C745" s="233">
        <v>0.1</v>
      </c>
      <c r="D745" s="136" t="s">
        <v>523</v>
      </c>
      <c r="E745" s="143">
        <v>1250000</v>
      </c>
      <c r="F745" s="138">
        <v>0.05</v>
      </c>
      <c r="G745" s="278">
        <f t="shared" si="24"/>
        <v>62500</v>
      </c>
      <c r="H745" s="135" t="s">
        <v>524</v>
      </c>
      <c r="I745" s="135" t="s">
        <v>333</v>
      </c>
      <c r="J745" s="541"/>
      <c r="K745" s="16"/>
      <c r="L745" s="10"/>
      <c r="M745" s="57"/>
      <c r="N745" s="10"/>
      <c r="O745" s="27"/>
    </row>
    <row r="746" spans="1:15" ht="15.75">
      <c r="A746" s="1552"/>
      <c r="B746" s="135" t="s">
        <v>525</v>
      </c>
      <c r="C746" s="233">
        <v>0.1</v>
      </c>
      <c r="D746" s="136" t="s">
        <v>526</v>
      </c>
      <c r="E746" s="143">
        <v>1600000</v>
      </c>
      <c r="F746" s="138">
        <v>0.1</v>
      </c>
      <c r="G746" s="278">
        <f t="shared" si="24"/>
        <v>160000</v>
      </c>
      <c r="H746" s="135" t="s">
        <v>288</v>
      </c>
      <c r="I746" s="135" t="s">
        <v>333</v>
      </c>
      <c r="J746" s="541"/>
      <c r="K746" s="16"/>
      <c r="L746" s="10"/>
      <c r="M746" s="57"/>
      <c r="N746" s="10"/>
      <c r="O746" s="27"/>
    </row>
    <row r="747" spans="1:15" ht="15.75">
      <c r="A747" s="1552"/>
      <c r="B747" s="135">
        <v>12263</v>
      </c>
      <c r="C747" s="233">
        <v>0.1</v>
      </c>
      <c r="D747" s="136" t="s">
        <v>527</v>
      </c>
      <c r="E747" s="143">
        <v>1250000</v>
      </c>
      <c r="F747" s="478">
        <v>0.1</v>
      </c>
      <c r="G747" s="278">
        <f t="shared" si="24"/>
        <v>125000</v>
      </c>
      <c r="H747" s="144" t="s">
        <v>288</v>
      </c>
      <c r="I747" s="135" t="s">
        <v>242</v>
      </c>
      <c r="J747" s="746"/>
      <c r="K747" s="518"/>
      <c r="L747" s="57"/>
      <c r="M747" s="57"/>
      <c r="N747" s="57"/>
      <c r="O747" s="27"/>
    </row>
    <row r="748" spans="1:15" ht="15.75">
      <c r="A748" s="1552"/>
      <c r="B748" s="135">
        <v>12271</v>
      </c>
      <c r="C748" s="233">
        <v>0.1</v>
      </c>
      <c r="D748" s="136" t="s">
        <v>528</v>
      </c>
      <c r="E748" s="143">
        <v>750000</v>
      </c>
      <c r="F748" s="478">
        <v>0.06</v>
      </c>
      <c r="G748" s="278">
        <f t="shared" si="24"/>
        <v>45000</v>
      </c>
      <c r="H748" s="144" t="s">
        <v>30</v>
      </c>
      <c r="I748" s="135" t="s">
        <v>242</v>
      </c>
      <c r="J748" s="746"/>
      <c r="K748" s="518"/>
      <c r="L748" s="57"/>
      <c r="M748" s="57"/>
      <c r="N748" s="57"/>
      <c r="O748" s="27"/>
    </row>
    <row r="749" spans="1:15" ht="15.75">
      <c r="A749" s="1552"/>
      <c r="B749" s="135">
        <v>12299</v>
      </c>
      <c r="C749" s="233">
        <v>0.1</v>
      </c>
      <c r="D749" s="136" t="s">
        <v>529</v>
      </c>
      <c r="E749" s="143">
        <v>950000</v>
      </c>
      <c r="F749" s="478">
        <v>0.1</v>
      </c>
      <c r="G749" s="278">
        <f t="shared" si="24"/>
        <v>95000</v>
      </c>
      <c r="H749" s="144" t="s">
        <v>288</v>
      </c>
      <c r="I749" s="135" t="s">
        <v>234</v>
      </c>
      <c r="J749" s="746"/>
      <c r="K749" s="518"/>
      <c r="L749" s="57"/>
      <c r="M749" s="57"/>
      <c r="N749" s="57"/>
      <c r="O749" s="27"/>
    </row>
    <row r="750" spans="1:15" ht="15.75">
      <c r="A750" s="1552"/>
      <c r="B750" s="135">
        <v>12356</v>
      </c>
      <c r="C750" s="233">
        <v>0.1</v>
      </c>
      <c r="D750" s="136" t="s">
        <v>530</v>
      </c>
      <c r="E750" s="143">
        <v>950000</v>
      </c>
      <c r="F750" s="478">
        <v>0.05</v>
      </c>
      <c r="G750" s="278">
        <f t="shared" si="24"/>
        <v>47500</v>
      </c>
      <c r="H750" s="144" t="s">
        <v>482</v>
      </c>
      <c r="I750" s="135" t="s">
        <v>333</v>
      </c>
      <c r="J750" s="746"/>
      <c r="K750" s="518"/>
      <c r="L750" s="57"/>
      <c r="M750" s="57"/>
      <c r="N750" s="57"/>
      <c r="O750" s="27"/>
    </row>
    <row r="751" spans="1:15" ht="15.75">
      <c r="A751" s="1552"/>
      <c r="B751" s="135">
        <v>12387</v>
      </c>
      <c r="C751" s="233">
        <v>0.1</v>
      </c>
      <c r="D751" s="136" t="s">
        <v>531</v>
      </c>
      <c r="E751" s="143">
        <v>1100000</v>
      </c>
      <c r="F751" s="478">
        <v>0.1</v>
      </c>
      <c r="G751" s="278">
        <f t="shared" si="24"/>
        <v>110000</v>
      </c>
      <c r="H751" s="144" t="s">
        <v>288</v>
      </c>
      <c r="I751" s="135" t="s">
        <v>242</v>
      </c>
      <c r="J751" s="746"/>
      <c r="K751" s="518"/>
      <c r="L751" s="57"/>
      <c r="M751" s="57"/>
      <c r="N751" s="57"/>
      <c r="O751" s="27"/>
    </row>
    <row r="752" spans="1:15" ht="15.75">
      <c r="A752" s="1552"/>
      <c r="B752" s="135">
        <v>12394</v>
      </c>
      <c r="C752" s="233">
        <v>0.1</v>
      </c>
      <c r="D752" s="136" t="s">
        <v>532</v>
      </c>
      <c r="E752" s="143">
        <v>1000000</v>
      </c>
      <c r="F752" s="478">
        <v>0.1</v>
      </c>
      <c r="G752" s="278">
        <f t="shared" si="24"/>
        <v>100000</v>
      </c>
      <c r="H752" s="144" t="s">
        <v>288</v>
      </c>
      <c r="I752" s="135" t="s">
        <v>242</v>
      </c>
      <c r="J752" s="746"/>
      <c r="K752" s="518"/>
      <c r="L752" s="57"/>
      <c r="M752" s="57"/>
      <c r="N752" s="57"/>
      <c r="O752" s="27"/>
    </row>
    <row r="753" spans="1:15" ht="15.75">
      <c r="A753" s="1552"/>
      <c r="B753" s="135">
        <v>12410</v>
      </c>
      <c r="C753" s="233">
        <v>0.1</v>
      </c>
      <c r="D753" s="136" t="s">
        <v>533</v>
      </c>
      <c r="E753" s="143">
        <v>1350000</v>
      </c>
      <c r="F753" s="478">
        <v>0.05</v>
      </c>
      <c r="G753" s="278">
        <f t="shared" si="24"/>
        <v>67500</v>
      </c>
      <c r="H753" s="144" t="s">
        <v>520</v>
      </c>
      <c r="I753" s="135" t="s">
        <v>242</v>
      </c>
      <c r="J753" s="746"/>
      <c r="K753" s="518"/>
      <c r="L753" s="57"/>
      <c r="M753" s="57"/>
      <c r="N753" s="57"/>
      <c r="O753" s="27"/>
    </row>
    <row r="754" spans="1:15" ht="15.75">
      <c r="A754" s="1552"/>
      <c r="B754" s="135">
        <v>12415</v>
      </c>
      <c r="C754" s="233">
        <v>0.1</v>
      </c>
      <c r="D754" s="136" t="s">
        <v>534</v>
      </c>
      <c r="E754" s="143">
        <v>850000</v>
      </c>
      <c r="F754" s="478">
        <v>0.06</v>
      </c>
      <c r="G754" s="278">
        <f t="shared" si="24"/>
        <v>51000</v>
      </c>
      <c r="H754" s="144" t="s">
        <v>30</v>
      </c>
      <c r="I754" s="135" t="s">
        <v>242</v>
      </c>
      <c r="J754" s="746"/>
      <c r="K754" s="518"/>
      <c r="L754" s="57"/>
      <c r="M754" s="57"/>
      <c r="N754" s="57"/>
      <c r="O754" s="27"/>
    </row>
    <row r="755" spans="1:15" ht="15.75">
      <c r="A755" s="1552"/>
      <c r="B755" s="211" t="s">
        <v>245</v>
      </c>
      <c r="C755" s="267"/>
      <c r="D755" s="277" t="s">
        <v>535</v>
      </c>
      <c r="E755" s="308"/>
      <c r="F755" s="220"/>
      <c r="G755" s="268"/>
      <c r="H755" s="503"/>
      <c r="I755" s="211" t="s">
        <v>242</v>
      </c>
      <c r="J755" s="573" t="s">
        <v>536</v>
      </c>
      <c r="K755" s="518"/>
      <c r="L755" s="57"/>
      <c r="M755" s="57"/>
      <c r="N755" s="57"/>
      <c r="O755" s="27"/>
    </row>
    <row r="756" spans="1:15" ht="15.75">
      <c r="A756" s="1552"/>
      <c r="B756" s="211" t="s">
        <v>373</v>
      </c>
      <c r="C756" s="267"/>
      <c r="D756" s="277" t="s">
        <v>537</v>
      </c>
      <c r="E756" s="308"/>
      <c r="F756" s="220"/>
      <c r="G756" s="268"/>
      <c r="H756" s="503"/>
      <c r="I756" s="211" t="s">
        <v>234</v>
      </c>
      <c r="J756" s="573" t="s">
        <v>538</v>
      </c>
      <c r="K756" s="518"/>
      <c r="L756" s="57"/>
      <c r="M756" s="57"/>
      <c r="N756" s="57"/>
      <c r="O756" s="27"/>
    </row>
    <row r="757" spans="1:15" ht="15.75">
      <c r="A757" s="1552"/>
      <c r="B757" s="211" t="s">
        <v>538</v>
      </c>
      <c r="C757" s="267"/>
      <c r="D757" s="277" t="s">
        <v>539</v>
      </c>
      <c r="E757" s="308"/>
      <c r="F757" s="220"/>
      <c r="G757" s="268"/>
      <c r="H757" s="503"/>
      <c r="I757" s="211" t="s">
        <v>242</v>
      </c>
      <c r="J757" s="573" t="s">
        <v>538</v>
      </c>
      <c r="K757" s="518"/>
      <c r="L757" s="57"/>
      <c r="M757" s="57"/>
      <c r="N757" s="57"/>
      <c r="O757" s="27"/>
    </row>
    <row r="758" spans="1:15" ht="15.75">
      <c r="A758" s="1552"/>
      <c r="B758" s="211" t="s">
        <v>245</v>
      </c>
      <c r="C758" s="267"/>
      <c r="D758" s="277" t="s">
        <v>540</v>
      </c>
      <c r="E758" s="308"/>
      <c r="F758" s="220"/>
      <c r="G758" s="268"/>
      <c r="H758" s="503"/>
      <c r="I758" s="211" t="s">
        <v>333</v>
      </c>
      <c r="J758" s="573" t="s">
        <v>541</v>
      </c>
      <c r="K758" s="518"/>
      <c r="L758" s="57"/>
      <c r="M758" s="809" t="s">
        <v>80</v>
      </c>
      <c r="N758" s="810"/>
      <c r="O758" s="550">
        <f>O740+O741</f>
        <v>150000</v>
      </c>
    </row>
    <row r="759" spans="1:15" ht="15.75">
      <c r="A759" s="1552"/>
      <c r="B759" s="211" t="s">
        <v>245</v>
      </c>
      <c r="C759" s="267"/>
      <c r="D759" s="277" t="s">
        <v>542</v>
      </c>
      <c r="E759" s="500"/>
      <c r="F759" s="501"/>
      <c r="G759" s="502"/>
      <c r="H759" s="503"/>
      <c r="I759" s="211" t="s">
        <v>333</v>
      </c>
      <c r="J759" s="529" t="s">
        <v>543</v>
      </c>
      <c r="K759" s="518"/>
      <c r="L759" s="36"/>
      <c r="M759" s="810"/>
      <c r="N759" s="810"/>
      <c r="O759" s="811"/>
    </row>
    <row r="760" spans="1:15" ht="18.75">
      <c r="A760" s="1542"/>
      <c r="B760" s="7"/>
      <c r="C760" s="7"/>
      <c r="D760" s="42"/>
      <c r="E760" s="332">
        <f>SUM(E740:E759)</f>
        <v>17300000</v>
      </c>
      <c r="F760" s="42"/>
      <c r="G760" s="281">
        <f>SUM(G740:G759)</f>
        <v>1256500</v>
      </c>
      <c r="H760" s="42"/>
      <c r="I760" s="519"/>
      <c r="J760" s="520"/>
      <c r="K760" s="11"/>
      <c r="L760" s="11"/>
      <c r="M760" s="668" t="s">
        <v>80</v>
      </c>
      <c r="N760" s="601"/>
      <c r="O760" s="669">
        <f>G760+O758</f>
        <v>1406500</v>
      </c>
    </row>
    <row r="763" spans="1:15" ht="23.25">
      <c r="A763" s="1563" t="s">
        <v>138</v>
      </c>
      <c r="B763" s="1564"/>
      <c r="C763" s="1564"/>
      <c r="D763" s="1564"/>
      <c r="E763" s="1564"/>
      <c r="F763" s="1564"/>
      <c r="G763" s="1564"/>
      <c r="H763" s="1564"/>
      <c r="I763" s="1564"/>
      <c r="J763" s="1565"/>
      <c r="K763" s="1557" t="s">
        <v>2</v>
      </c>
      <c r="L763" s="1557"/>
      <c r="M763" s="1557"/>
      <c r="N763" s="1557"/>
      <c r="O763" s="1557"/>
    </row>
    <row r="764" spans="1:15" ht="30">
      <c r="A764" s="3" t="s">
        <v>3</v>
      </c>
      <c r="B764" s="657" t="s">
        <v>120</v>
      </c>
      <c r="C764" s="125" t="s">
        <v>4</v>
      </c>
      <c r="D764" s="68" t="s">
        <v>5</v>
      </c>
      <c r="E764" s="68" t="s">
        <v>6</v>
      </c>
      <c r="F764" s="68" t="s">
        <v>7</v>
      </c>
      <c r="G764" s="68" t="s">
        <v>8</v>
      </c>
      <c r="H764" s="68" t="s">
        <v>9</v>
      </c>
      <c r="I764" s="68" t="s">
        <v>10</v>
      </c>
      <c r="J764" s="68" t="s">
        <v>11</v>
      </c>
      <c r="K764" s="68" t="s">
        <v>12</v>
      </c>
      <c r="L764" s="68" t="s">
        <v>5</v>
      </c>
      <c r="M764" s="68" t="s">
        <v>13</v>
      </c>
      <c r="N764" s="129" t="s">
        <v>7</v>
      </c>
      <c r="O764" s="40" t="s">
        <v>14</v>
      </c>
    </row>
    <row r="765" spans="1:15" ht="15.75">
      <c r="A765" s="1552" t="s">
        <v>248</v>
      </c>
      <c r="B765" s="346">
        <v>12238</v>
      </c>
      <c r="C765" s="148">
        <v>0.1</v>
      </c>
      <c r="D765" s="136" t="s">
        <v>544</v>
      </c>
      <c r="E765" s="141">
        <v>1300000</v>
      </c>
      <c r="F765" s="148">
        <v>0.1</v>
      </c>
      <c r="G765" s="335">
        <f>E765*F765</f>
        <v>130000</v>
      </c>
      <c r="H765" s="147" t="s">
        <v>286</v>
      </c>
      <c r="I765" s="147" t="s">
        <v>100</v>
      </c>
      <c r="J765" s="528"/>
      <c r="K765" s="135">
        <v>12209</v>
      </c>
      <c r="L765" s="137" t="s">
        <v>517</v>
      </c>
      <c r="M765" s="558">
        <v>1300000</v>
      </c>
      <c r="N765" s="672">
        <v>0.05</v>
      </c>
      <c r="O765" s="673">
        <f>M765*N765</f>
        <v>65000</v>
      </c>
    </row>
    <row r="766" spans="1:15" ht="15.75">
      <c r="A766" s="1552"/>
      <c r="B766" s="346">
        <v>12279</v>
      </c>
      <c r="C766" s="148">
        <v>0.1</v>
      </c>
      <c r="D766" s="136" t="s">
        <v>545</v>
      </c>
      <c r="E766" s="141">
        <v>1700000</v>
      </c>
      <c r="F766" s="148">
        <v>0.1</v>
      </c>
      <c r="G766" s="335">
        <f t="shared" ref="G766:G772" si="25">E766*F766</f>
        <v>170000</v>
      </c>
      <c r="H766" s="147" t="s">
        <v>286</v>
      </c>
      <c r="I766" s="147" t="s">
        <v>234</v>
      </c>
      <c r="J766" s="528"/>
      <c r="K766" s="135">
        <v>12227</v>
      </c>
      <c r="L766" s="136" t="s">
        <v>546</v>
      </c>
      <c r="M766" s="143">
        <v>1280000</v>
      </c>
      <c r="N766" s="672">
        <v>0.05</v>
      </c>
      <c r="O766" s="673">
        <f t="shared" ref="O766:O769" si="26">M766*N766</f>
        <v>64000</v>
      </c>
    </row>
    <row r="767" spans="1:15" ht="15.75">
      <c r="A767" s="1552"/>
      <c r="B767" s="346">
        <v>12295</v>
      </c>
      <c r="C767" s="148">
        <v>0.1</v>
      </c>
      <c r="D767" s="136" t="s">
        <v>547</v>
      </c>
      <c r="E767" s="141">
        <v>950000</v>
      </c>
      <c r="F767" s="148">
        <v>0.06</v>
      </c>
      <c r="G767" s="335">
        <f t="shared" si="25"/>
        <v>57000</v>
      </c>
      <c r="H767" s="147" t="s">
        <v>30</v>
      </c>
      <c r="I767" s="147" t="s">
        <v>234</v>
      </c>
      <c r="J767" s="528"/>
      <c r="K767" s="135">
        <v>12278</v>
      </c>
      <c r="L767" s="136" t="s">
        <v>548</v>
      </c>
      <c r="M767" s="143">
        <v>1350000</v>
      </c>
      <c r="N767" s="672">
        <v>0.05</v>
      </c>
      <c r="O767" s="673">
        <f t="shared" si="26"/>
        <v>67500</v>
      </c>
    </row>
    <row r="768" spans="1:15" ht="15.75">
      <c r="A768" s="1552"/>
      <c r="B768" s="346">
        <v>12324</v>
      </c>
      <c r="C768" s="148">
        <v>0.1</v>
      </c>
      <c r="D768" s="136" t="s">
        <v>549</v>
      </c>
      <c r="E768" s="141">
        <v>1400000</v>
      </c>
      <c r="F768" s="148">
        <v>0.1</v>
      </c>
      <c r="G768" s="335">
        <f t="shared" si="25"/>
        <v>140000</v>
      </c>
      <c r="H768" s="147" t="s">
        <v>286</v>
      </c>
      <c r="I768" s="147" t="s">
        <v>242</v>
      </c>
      <c r="J768" s="528"/>
      <c r="K768" s="135">
        <v>12307</v>
      </c>
      <c r="L768" s="136" t="s">
        <v>550</v>
      </c>
      <c r="M768" s="143">
        <v>1550000</v>
      </c>
      <c r="N768" s="672">
        <v>0.05</v>
      </c>
      <c r="O768" s="673">
        <f t="shared" si="26"/>
        <v>77500</v>
      </c>
    </row>
    <row r="769" spans="1:15" ht="15.75">
      <c r="A769" s="1552"/>
      <c r="B769" s="346">
        <v>12334</v>
      </c>
      <c r="C769" s="698">
        <v>0.1</v>
      </c>
      <c r="D769" s="136" t="s">
        <v>551</v>
      </c>
      <c r="E769" s="699">
        <v>1450000</v>
      </c>
      <c r="F769" s="148">
        <v>0.1</v>
      </c>
      <c r="G769" s="335">
        <f t="shared" si="25"/>
        <v>145000</v>
      </c>
      <c r="H769" s="147" t="s">
        <v>286</v>
      </c>
      <c r="I769" s="147" t="s">
        <v>242</v>
      </c>
      <c r="J769" s="528"/>
      <c r="K769" s="135">
        <v>12408</v>
      </c>
      <c r="L769" s="136" t="s">
        <v>552</v>
      </c>
      <c r="M769" s="143">
        <v>2200000</v>
      </c>
      <c r="N769" s="775">
        <v>0.04</v>
      </c>
      <c r="O769" s="673">
        <f t="shared" si="26"/>
        <v>88000</v>
      </c>
    </row>
    <row r="770" spans="1:15" ht="15.75">
      <c r="A770" s="1552"/>
      <c r="B770" s="346">
        <v>12335</v>
      </c>
      <c r="C770" s="698">
        <v>0.1</v>
      </c>
      <c r="D770" s="661" t="s">
        <v>516</v>
      </c>
      <c r="E770" s="699">
        <v>1500000</v>
      </c>
      <c r="F770" s="148">
        <v>0.05</v>
      </c>
      <c r="G770" s="335">
        <f t="shared" si="25"/>
        <v>75000</v>
      </c>
      <c r="H770" s="147" t="s">
        <v>288</v>
      </c>
      <c r="I770" s="147" t="s">
        <v>234</v>
      </c>
      <c r="J770" s="528"/>
      <c r="K770" s="9"/>
      <c r="L770" s="643"/>
      <c r="M770" s="261"/>
      <c r="N770" s="813"/>
      <c r="O770" s="686"/>
    </row>
    <row r="771" spans="1:15" ht="15.75">
      <c r="A771" s="1552"/>
      <c r="B771" s="346">
        <v>12358</v>
      </c>
      <c r="C771" s="698">
        <v>0.1</v>
      </c>
      <c r="D771" s="661" t="s">
        <v>553</v>
      </c>
      <c r="E771" s="699">
        <v>2100000</v>
      </c>
      <c r="F771" s="148">
        <v>0.06</v>
      </c>
      <c r="G771" s="335">
        <f t="shared" si="25"/>
        <v>126000</v>
      </c>
      <c r="H771" s="147" t="s">
        <v>30</v>
      </c>
      <c r="I771" s="147" t="s">
        <v>242</v>
      </c>
      <c r="J771" s="528"/>
      <c r="K771" s="9"/>
      <c r="L771" s="643"/>
      <c r="M771" s="261"/>
      <c r="N771" s="813"/>
      <c r="O771" s="686"/>
    </row>
    <row r="772" spans="1:15" ht="15.75">
      <c r="A772" s="1552"/>
      <c r="B772" s="346">
        <v>12431</v>
      </c>
      <c r="C772" s="703">
        <v>0.1</v>
      </c>
      <c r="D772" s="652" t="s">
        <v>554</v>
      </c>
      <c r="E772" s="699">
        <v>1070000</v>
      </c>
      <c r="F772" s="148">
        <v>0.06</v>
      </c>
      <c r="G772" s="335">
        <f t="shared" si="25"/>
        <v>64200</v>
      </c>
      <c r="H772" s="147" t="s">
        <v>30</v>
      </c>
      <c r="I772" s="147" t="s">
        <v>234</v>
      </c>
      <c r="J772" s="528"/>
      <c r="K772" s="9"/>
      <c r="L772" s="643"/>
      <c r="M772" s="261"/>
      <c r="N772" s="370"/>
      <c r="O772" s="14"/>
    </row>
    <row r="773" spans="1:15" ht="15.75">
      <c r="A773" s="1552"/>
      <c r="B773" s="747" t="s">
        <v>245</v>
      </c>
      <c r="C773" s="761"/>
      <c r="D773" s="762" t="s">
        <v>555</v>
      </c>
      <c r="E773" s="749"/>
      <c r="F773" s="285"/>
      <c r="G773" s="328"/>
      <c r="H773" s="289"/>
      <c r="I773" s="289" t="s">
        <v>242</v>
      </c>
      <c r="J773" s="529" t="s">
        <v>556</v>
      </c>
      <c r="K773" s="9"/>
      <c r="L773" s="643"/>
      <c r="M773" s="261"/>
      <c r="N773" s="370"/>
      <c r="O773" s="14"/>
    </row>
    <row r="774" spans="1:15" ht="15.75">
      <c r="A774" s="1552"/>
      <c r="B774" s="747" t="s">
        <v>257</v>
      </c>
      <c r="C774" s="285"/>
      <c r="D774" s="748" t="s">
        <v>557</v>
      </c>
      <c r="E774" s="749"/>
      <c r="F774" s="285"/>
      <c r="G774" s="328"/>
      <c r="H774" s="289"/>
      <c r="I774" s="289" t="s">
        <v>100</v>
      </c>
      <c r="J774" s="529" t="s">
        <v>538</v>
      </c>
      <c r="K774" s="9"/>
      <c r="L774" s="643"/>
      <c r="M774" s="261" t="s">
        <v>80</v>
      </c>
      <c r="N774" s="370"/>
      <c r="O774" s="727">
        <f>SUM(O765:O773)</f>
        <v>362000</v>
      </c>
    </row>
    <row r="775" spans="1:15" ht="15.75">
      <c r="A775" s="1552"/>
      <c r="B775" s="710"/>
      <c r="C775" s="708"/>
      <c r="D775" s="711"/>
      <c r="E775" s="709"/>
      <c r="F775" s="290"/>
      <c r="G775" s="307"/>
      <c r="H775" s="73"/>
      <c r="I775" s="73"/>
      <c r="J775" s="616"/>
      <c r="K775" s="9"/>
      <c r="L775" s="643"/>
      <c r="M775" s="261"/>
      <c r="N775" s="370"/>
      <c r="O775" s="14"/>
    </row>
    <row r="776" spans="1:15" ht="18.75">
      <c r="A776" s="1542"/>
      <c r="B776" s="7"/>
      <c r="C776" s="7"/>
      <c r="D776" s="42"/>
      <c r="E776" s="332">
        <f>SUM(E765:E775)</f>
        <v>11470000</v>
      </c>
      <c r="F776" s="42"/>
      <c r="G776" s="281">
        <f>SUM(G765:G775)</f>
        <v>907200</v>
      </c>
      <c r="H776" s="42"/>
      <c r="I776" s="42"/>
      <c r="J776" s="42"/>
      <c r="K776" s="11"/>
      <c r="L776" s="11"/>
      <c r="M776" s="668" t="s">
        <v>80</v>
      </c>
      <c r="N776" s="601"/>
      <c r="O776" s="669">
        <f>G776+O774</f>
        <v>1269200</v>
      </c>
    </row>
    <row r="777" spans="1:15" ht="18.75">
      <c r="O777" s="776"/>
    </row>
    <row r="780" spans="1:15" ht="23.25">
      <c r="A780" s="1548" t="s">
        <v>56</v>
      </c>
      <c r="B780" s="1532"/>
      <c r="C780" s="1532"/>
      <c r="D780" s="1532"/>
      <c r="E780" s="1532"/>
      <c r="F780" s="1532"/>
      <c r="G780" s="1532"/>
      <c r="H780" s="1532"/>
      <c r="I780" s="1532"/>
      <c r="J780" s="1549"/>
      <c r="K780" s="1558" t="s">
        <v>2</v>
      </c>
      <c r="L780" s="1559"/>
      <c r="M780" s="1559"/>
      <c r="N780" s="1559"/>
      <c r="O780" s="1560"/>
    </row>
    <row r="781" spans="1:15" ht="30">
      <c r="A781" s="3" t="s">
        <v>3</v>
      </c>
      <c r="B781" s="361" t="s">
        <v>120</v>
      </c>
      <c r="C781" s="367" t="s">
        <v>4</v>
      </c>
      <c r="D781" s="1" t="s">
        <v>5</v>
      </c>
      <c r="E781" s="1" t="s">
        <v>6</v>
      </c>
      <c r="F781" s="1" t="s">
        <v>7</v>
      </c>
      <c r="G781" s="1" t="s">
        <v>8</v>
      </c>
      <c r="H781" s="361" t="s">
        <v>9</v>
      </c>
      <c r="I781" s="1" t="s">
        <v>10</v>
      </c>
      <c r="J781" s="126" t="s">
        <v>11</v>
      </c>
      <c r="K781" s="3" t="s">
        <v>12</v>
      </c>
      <c r="L781" s="3" t="s">
        <v>5</v>
      </c>
      <c r="M781" s="3" t="s">
        <v>13</v>
      </c>
      <c r="N781" s="3" t="s">
        <v>7</v>
      </c>
      <c r="O781" s="3" t="s">
        <v>14</v>
      </c>
    </row>
    <row r="782" spans="1:15" ht="15.75">
      <c r="A782" s="1552" t="s">
        <v>95</v>
      </c>
      <c r="B782" s="135">
        <v>12197</v>
      </c>
      <c r="C782" s="233">
        <v>0.1</v>
      </c>
      <c r="D782" s="136" t="s">
        <v>558</v>
      </c>
      <c r="E782" s="143">
        <v>900000</v>
      </c>
      <c r="F782" s="138">
        <v>0.1</v>
      </c>
      <c r="G782" s="278">
        <f>E782*F782</f>
        <v>90000</v>
      </c>
      <c r="H782" s="135" t="s">
        <v>311</v>
      </c>
      <c r="I782" s="135" t="s">
        <v>234</v>
      </c>
      <c r="J782" s="136"/>
      <c r="K782" s="135">
        <v>12235</v>
      </c>
      <c r="L782" s="136" t="s">
        <v>522</v>
      </c>
      <c r="M782" s="143">
        <v>1400000</v>
      </c>
      <c r="N782" s="231">
        <v>0.05</v>
      </c>
      <c r="O782" s="673">
        <f>M782*N782</f>
        <v>70000</v>
      </c>
    </row>
    <row r="783" spans="1:15" ht="15.75">
      <c r="A783" s="1552"/>
      <c r="B783" s="135">
        <v>12200</v>
      </c>
      <c r="C783" s="233">
        <v>0.1</v>
      </c>
      <c r="D783" s="136" t="s">
        <v>559</v>
      </c>
      <c r="E783" s="143">
        <v>1300000</v>
      </c>
      <c r="F783" s="138">
        <v>0.1</v>
      </c>
      <c r="G783" s="278">
        <f t="shared" ref="G783:G803" si="27">E783*F783</f>
        <v>130000</v>
      </c>
      <c r="H783" s="135" t="s">
        <v>311</v>
      </c>
      <c r="I783" s="135" t="s">
        <v>333</v>
      </c>
      <c r="J783" s="136"/>
      <c r="K783" s="161"/>
      <c r="L783" s="270"/>
      <c r="M783" s="372"/>
      <c r="N783" s="319"/>
      <c r="O783" s="14"/>
    </row>
    <row r="784" spans="1:15" ht="15.75">
      <c r="A784" s="1552"/>
      <c r="B784" s="135">
        <v>12179</v>
      </c>
      <c r="C784" s="233">
        <v>0.1</v>
      </c>
      <c r="D784" s="136" t="s">
        <v>560</v>
      </c>
      <c r="E784" s="143">
        <v>1350000</v>
      </c>
      <c r="F784" s="138">
        <v>0.1</v>
      </c>
      <c r="G784" s="278">
        <f t="shared" si="27"/>
        <v>135000</v>
      </c>
      <c r="H784" s="135" t="s">
        <v>311</v>
      </c>
      <c r="I784" s="135" t="s">
        <v>234</v>
      </c>
      <c r="J784" s="136"/>
      <c r="K784" s="161"/>
      <c r="L784" s="270"/>
      <c r="M784" s="372"/>
      <c r="N784" s="319"/>
      <c r="O784" s="14"/>
    </row>
    <row r="785" spans="1:15" ht="15.75">
      <c r="A785" s="1552"/>
      <c r="B785" s="135">
        <v>12222</v>
      </c>
      <c r="C785" s="233">
        <v>0.1</v>
      </c>
      <c r="D785" s="136" t="s">
        <v>561</v>
      </c>
      <c r="E785" s="143">
        <v>750000</v>
      </c>
      <c r="F785" s="138">
        <v>0.1</v>
      </c>
      <c r="G785" s="278">
        <f t="shared" si="27"/>
        <v>75000</v>
      </c>
      <c r="H785" s="135" t="s">
        <v>311</v>
      </c>
      <c r="I785" s="135" t="s">
        <v>432</v>
      </c>
      <c r="J785" s="136"/>
      <c r="K785" s="161"/>
      <c r="L785" s="270"/>
      <c r="M785" s="372"/>
      <c r="N785" s="319"/>
      <c r="O785" s="14"/>
    </row>
    <row r="786" spans="1:15" ht="15.75">
      <c r="A786" s="1552"/>
      <c r="B786" s="135">
        <v>12225</v>
      </c>
      <c r="C786" s="233">
        <v>0.1</v>
      </c>
      <c r="D786" s="136" t="s">
        <v>562</v>
      </c>
      <c r="E786" s="143">
        <v>1350000</v>
      </c>
      <c r="F786" s="138">
        <v>0.1</v>
      </c>
      <c r="G786" s="278">
        <f t="shared" si="27"/>
        <v>135000</v>
      </c>
      <c r="H786" s="135" t="s">
        <v>311</v>
      </c>
      <c r="I786" s="135" t="s">
        <v>234</v>
      </c>
      <c r="J786" s="136"/>
      <c r="K786" s="161"/>
      <c r="L786" s="270"/>
      <c r="M786" s="372"/>
      <c r="N786" s="319"/>
      <c r="O786" s="14"/>
    </row>
    <row r="787" spans="1:15" ht="15.75">
      <c r="A787" s="1552"/>
      <c r="B787" s="135">
        <v>12227</v>
      </c>
      <c r="C787" s="233">
        <v>0.1</v>
      </c>
      <c r="D787" s="136" t="s">
        <v>546</v>
      </c>
      <c r="E787" s="143">
        <v>1280000</v>
      </c>
      <c r="F787" s="138">
        <v>0.05</v>
      </c>
      <c r="G787" s="278">
        <f t="shared" si="27"/>
        <v>64000</v>
      </c>
      <c r="H787" s="135" t="s">
        <v>286</v>
      </c>
      <c r="I787" s="135" t="s">
        <v>234</v>
      </c>
      <c r="J787" s="136"/>
      <c r="K787" s="161"/>
      <c r="L787" s="270"/>
      <c r="M787" s="372"/>
      <c r="N787" s="319"/>
      <c r="O787" s="14"/>
    </row>
    <row r="788" spans="1:15" ht="15.75">
      <c r="A788" s="1552"/>
      <c r="B788" s="135">
        <v>12232</v>
      </c>
      <c r="C788" s="233">
        <v>0.1</v>
      </c>
      <c r="D788" s="136" t="s">
        <v>563</v>
      </c>
      <c r="E788" s="143">
        <v>750000</v>
      </c>
      <c r="F788" s="138">
        <v>0.1</v>
      </c>
      <c r="G788" s="278">
        <f t="shared" si="27"/>
        <v>75000</v>
      </c>
      <c r="H788" s="135" t="s">
        <v>311</v>
      </c>
      <c r="I788" s="135" t="s">
        <v>234</v>
      </c>
      <c r="J788" s="136"/>
      <c r="K788" s="161"/>
      <c r="L788" s="270"/>
      <c r="M788" s="372"/>
      <c r="N788" s="319"/>
      <c r="O788" s="14"/>
    </row>
    <row r="789" spans="1:15" ht="15.75">
      <c r="A789" s="1552"/>
      <c r="B789" s="135">
        <v>12248</v>
      </c>
      <c r="C789" s="233">
        <v>0.1</v>
      </c>
      <c r="D789" s="136" t="s">
        <v>564</v>
      </c>
      <c r="E789" s="143">
        <v>1100000</v>
      </c>
      <c r="F789" s="138">
        <v>0.05</v>
      </c>
      <c r="G789" s="278">
        <f t="shared" si="27"/>
        <v>55000</v>
      </c>
      <c r="H789" s="135" t="s">
        <v>498</v>
      </c>
      <c r="I789" s="135" t="s">
        <v>234</v>
      </c>
      <c r="J789" s="136"/>
      <c r="K789" s="161"/>
      <c r="L789" s="270"/>
      <c r="M789" s="372"/>
      <c r="N789" s="319"/>
      <c r="O789" s="14"/>
    </row>
    <row r="790" spans="1:15" ht="15.75">
      <c r="A790" s="1552"/>
      <c r="B790" s="135">
        <v>12255</v>
      </c>
      <c r="C790" s="233">
        <v>0.1</v>
      </c>
      <c r="D790" s="136" t="s">
        <v>565</v>
      </c>
      <c r="E790" s="143">
        <v>1400000</v>
      </c>
      <c r="F790" s="138">
        <v>0.1</v>
      </c>
      <c r="G790" s="278">
        <f t="shared" si="27"/>
        <v>140000</v>
      </c>
      <c r="H790" s="135" t="s">
        <v>311</v>
      </c>
      <c r="I790" s="135" t="s">
        <v>333</v>
      </c>
      <c r="J790" s="136"/>
      <c r="K790" s="161"/>
      <c r="L790" s="270"/>
      <c r="M790" s="372"/>
      <c r="N790" s="319"/>
      <c r="O790" s="14"/>
    </row>
    <row r="791" spans="1:15" ht="15.75">
      <c r="A791" s="1552"/>
      <c r="B791" s="135">
        <v>12254</v>
      </c>
      <c r="C791" s="233">
        <v>0.1</v>
      </c>
      <c r="D791" s="136" t="s">
        <v>566</v>
      </c>
      <c r="E791" s="143">
        <v>1350000</v>
      </c>
      <c r="F791" s="138">
        <v>0.05</v>
      </c>
      <c r="G791" s="278">
        <f t="shared" si="27"/>
        <v>67500</v>
      </c>
      <c r="H791" s="135" t="s">
        <v>520</v>
      </c>
      <c r="I791" s="135" t="s">
        <v>333</v>
      </c>
      <c r="J791" s="136"/>
      <c r="K791" s="161"/>
      <c r="L791" s="270"/>
      <c r="M791" s="372"/>
      <c r="N791" s="319"/>
      <c r="O791" s="14"/>
    </row>
    <row r="792" spans="1:15" ht="15.75">
      <c r="A792" s="1552"/>
      <c r="B792" s="135">
        <v>12257</v>
      </c>
      <c r="C792" s="233">
        <v>0.1</v>
      </c>
      <c r="D792" s="136" t="s">
        <v>567</v>
      </c>
      <c r="E792" s="143">
        <v>1250000</v>
      </c>
      <c r="F792" s="138">
        <v>0.1</v>
      </c>
      <c r="G792" s="278">
        <f t="shared" si="27"/>
        <v>125000</v>
      </c>
      <c r="H792" s="135" t="s">
        <v>311</v>
      </c>
      <c r="I792" s="135" t="s">
        <v>234</v>
      </c>
      <c r="J792" s="136"/>
      <c r="K792" s="161"/>
      <c r="L792" s="270"/>
      <c r="M792" s="372"/>
      <c r="N792" s="319"/>
      <c r="O792" s="14"/>
    </row>
    <row r="793" spans="1:15" ht="15.75">
      <c r="A793" s="1552"/>
      <c r="B793" s="135">
        <v>12259</v>
      </c>
      <c r="C793" s="331">
        <v>0.09</v>
      </c>
      <c r="D793" s="136" t="s">
        <v>568</v>
      </c>
      <c r="E793" s="143">
        <v>1350000</v>
      </c>
      <c r="F793" s="140">
        <v>0.08</v>
      </c>
      <c r="G793" s="278">
        <f t="shared" si="27"/>
        <v>108000</v>
      </c>
      <c r="H793" s="135" t="s">
        <v>311</v>
      </c>
      <c r="I793" s="135" t="s">
        <v>242</v>
      </c>
      <c r="J793" s="136"/>
      <c r="K793" s="161"/>
      <c r="L793" s="270"/>
      <c r="M793" s="372"/>
      <c r="N793" s="319"/>
      <c r="O793" s="14"/>
    </row>
    <row r="794" spans="1:15" ht="15.75">
      <c r="A794" s="1552"/>
      <c r="B794" s="135">
        <v>12260</v>
      </c>
      <c r="C794" s="233">
        <v>0.1</v>
      </c>
      <c r="D794" s="136" t="s">
        <v>569</v>
      </c>
      <c r="E794" s="143">
        <v>1400000</v>
      </c>
      <c r="F794" s="138">
        <v>0.1</v>
      </c>
      <c r="G794" s="278">
        <f t="shared" si="27"/>
        <v>140000</v>
      </c>
      <c r="H794" s="135" t="s">
        <v>311</v>
      </c>
      <c r="I794" s="135" t="s">
        <v>234</v>
      </c>
      <c r="J794" s="136"/>
      <c r="K794" s="161"/>
      <c r="L794" s="270"/>
      <c r="M794" s="372"/>
      <c r="N794" s="319"/>
      <c r="O794" s="14"/>
    </row>
    <row r="795" spans="1:15" ht="15.75">
      <c r="A795" s="1552"/>
      <c r="B795" s="135">
        <v>12261</v>
      </c>
      <c r="C795" s="233">
        <v>0.1</v>
      </c>
      <c r="D795" s="136" t="s">
        <v>570</v>
      </c>
      <c r="E795" s="143">
        <v>900000</v>
      </c>
      <c r="F795" s="138">
        <v>0.05</v>
      </c>
      <c r="G795" s="278">
        <f t="shared" si="27"/>
        <v>45000</v>
      </c>
      <c r="H795" s="135" t="s">
        <v>498</v>
      </c>
      <c r="I795" s="135" t="s">
        <v>333</v>
      </c>
      <c r="J795" s="136"/>
      <c r="K795" s="161"/>
      <c r="L795" s="270"/>
      <c r="M795" s="372"/>
      <c r="N795" s="319"/>
      <c r="O795" s="14"/>
    </row>
    <row r="796" spans="1:15" ht="15.75">
      <c r="A796" s="1552"/>
      <c r="B796" s="135">
        <v>12278</v>
      </c>
      <c r="C796" s="233">
        <v>0.1</v>
      </c>
      <c r="D796" s="136" t="s">
        <v>548</v>
      </c>
      <c r="E796" s="143">
        <v>1350000</v>
      </c>
      <c r="F796" s="138">
        <v>0.05</v>
      </c>
      <c r="G796" s="278">
        <f t="shared" si="27"/>
        <v>67500</v>
      </c>
      <c r="H796" s="135" t="s">
        <v>286</v>
      </c>
      <c r="I796" s="135" t="s">
        <v>242</v>
      </c>
      <c r="J796" s="136"/>
      <c r="K796" s="161"/>
      <c r="L796" s="270"/>
      <c r="M796" s="372"/>
      <c r="N796" s="319"/>
      <c r="O796" s="14"/>
    </row>
    <row r="797" spans="1:15" ht="15.75">
      <c r="A797" s="1552"/>
      <c r="B797" s="135">
        <v>12307</v>
      </c>
      <c r="C797" s="233">
        <v>0.1</v>
      </c>
      <c r="D797" s="136" t="s">
        <v>550</v>
      </c>
      <c r="E797" s="143">
        <v>1550000</v>
      </c>
      <c r="F797" s="138">
        <v>0.05</v>
      </c>
      <c r="G797" s="278">
        <f t="shared" si="27"/>
        <v>77500</v>
      </c>
      <c r="H797" s="135" t="s">
        <v>286</v>
      </c>
      <c r="I797" s="135" t="s">
        <v>242</v>
      </c>
      <c r="J797" s="136"/>
      <c r="K797" s="161"/>
      <c r="L797" s="270"/>
      <c r="M797" s="372"/>
      <c r="N797" s="319"/>
      <c r="O797" s="14"/>
    </row>
    <row r="798" spans="1:15" ht="15.75">
      <c r="A798" s="1552"/>
      <c r="B798" s="135">
        <v>12345</v>
      </c>
      <c r="C798" s="233">
        <v>0.1</v>
      </c>
      <c r="D798" s="136" t="s">
        <v>571</v>
      </c>
      <c r="E798" s="143">
        <v>1350000</v>
      </c>
      <c r="F798" s="138">
        <v>0.1</v>
      </c>
      <c r="G798" s="278">
        <f t="shared" si="27"/>
        <v>135000</v>
      </c>
      <c r="H798" s="135" t="s">
        <v>311</v>
      </c>
      <c r="I798" s="135" t="s">
        <v>234</v>
      </c>
      <c r="J798" s="136"/>
      <c r="K798" s="161"/>
      <c r="L798" s="270"/>
      <c r="M798" s="372"/>
      <c r="N798" s="319"/>
      <c r="O798" s="14"/>
    </row>
    <row r="799" spans="1:15" ht="15.75">
      <c r="A799" s="1552"/>
      <c r="B799" s="135">
        <v>12344</v>
      </c>
      <c r="C799" s="233">
        <v>0.1</v>
      </c>
      <c r="D799" s="136" t="s">
        <v>572</v>
      </c>
      <c r="E799" s="143">
        <v>1550000</v>
      </c>
      <c r="F799" s="138">
        <v>0.1</v>
      </c>
      <c r="G799" s="278">
        <f t="shared" si="27"/>
        <v>155000</v>
      </c>
      <c r="H799" s="135" t="s">
        <v>311</v>
      </c>
      <c r="I799" s="135" t="s">
        <v>333</v>
      </c>
      <c r="J799" s="136"/>
      <c r="K799" s="161"/>
      <c r="L799" s="270"/>
      <c r="M799" s="372"/>
      <c r="N799" s="319"/>
      <c r="O799" s="14"/>
    </row>
    <row r="800" spans="1:15" ht="15.75">
      <c r="A800" s="1552"/>
      <c r="B800" s="741">
        <v>12357</v>
      </c>
      <c r="C800" s="138">
        <v>0.1</v>
      </c>
      <c r="D800" s="137" t="s">
        <v>573</v>
      </c>
      <c r="E800" s="139">
        <v>750000</v>
      </c>
      <c r="F800" s="138">
        <v>0.1</v>
      </c>
      <c r="G800" s="278">
        <f t="shared" si="27"/>
        <v>75000</v>
      </c>
      <c r="H800" s="741" t="s">
        <v>311</v>
      </c>
      <c r="I800" s="741" t="s">
        <v>333</v>
      </c>
      <c r="J800" s="137"/>
      <c r="K800" s="14"/>
      <c r="L800" s="14"/>
      <c r="M800" s="14"/>
      <c r="N800" s="14"/>
      <c r="O800" s="14"/>
    </row>
    <row r="801" spans="1:15" ht="15.75">
      <c r="A801" s="1552"/>
      <c r="B801" s="741">
        <v>12404</v>
      </c>
      <c r="C801" s="233">
        <v>0.1</v>
      </c>
      <c r="D801" s="136" t="s">
        <v>574</v>
      </c>
      <c r="E801" s="143">
        <v>1400000</v>
      </c>
      <c r="F801" s="138">
        <v>0.1</v>
      </c>
      <c r="G801" s="278">
        <f t="shared" si="27"/>
        <v>140000</v>
      </c>
      <c r="H801" s="135" t="s">
        <v>311</v>
      </c>
      <c r="I801" s="135" t="s">
        <v>234</v>
      </c>
      <c r="J801" s="136"/>
      <c r="K801" s="161"/>
      <c r="L801" s="270"/>
      <c r="M801" s="372"/>
      <c r="N801" s="319"/>
      <c r="O801" s="14"/>
    </row>
    <row r="802" spans="1:15" ht="15.75">
      <c r="A802" s="1552"/>
      <c r="B802" s="741">
        <v>12384</v>
      </c>
      <c r="C802" s="233">
        <v>0.1</v>
      </c>
      <c r="D802" s="136" t="s">
        <v>575</v>
      </c>
      <c r="E802" s="143">
        <v>700000</v>
      </c>
      <c r="F802" s="138">
        <v>0.06</v>
      </c>
      <c r="G802" s="278">
        <f t="shared" si="27"/>
        <v>42000</v>
      </c>
      <c r="H802" s="135" t="s">
        <v>30</v>
      </c>
      <c r="I802" s="135" t="s">
        <v>242</v>
      </c>
      <c r="J802" s="136"/>
      <c r="K802" s="161"/>
      <c r="L802" s="270"/>
      <c r="M802" s="372"/>
      <c r="N802" s="319"/>
      <c r="O802" s="14"/>
    </row>
    <row r="803" spans="1:15" ht="15.75">
      <c r="A803" s="1552"/>
      <c r="B803" s="135">
        <v>12411</v>
      </c>
      <c r="C803" s="233">
        <v>0.1</v>
      </c>
      <c r="D803" s="781" t="s">
        <v>576</v>
      </c>
      <c r="E803" s="143">
        <v>900000</v>
      </c>
      <c r="F803" s="138">
        <v>0.1</v>
      </c>
      <c r="G803" s="278">
        <f t="shared" si="27"/>
        <v>90000</v>
      </c>
      <c r="H803" s="135" t="s">
        <v>305</v>
      </c>
      <c r="I803" s="135" t="s">
        <v>242</v>
      </c>
      <c r="J803" s="136"/>
      <c r="K803" s="161"/>
      <c r="L803" s="270"/>
      <c r="M803" s="372"/>
      <c r="N803" s="319"/>
      <c r="O803" s="14"/>
    </row>
    <row r="804" spans="1:15" ht="15.75">
      <c r="A804" s="1552"/>
      <c r="B804" s="211" t="s">
        <v>257</v>
      </c>
      <c r="C804" s="267"/>
      <c r="D804" s="751" t="s">
        <v>577</v>
      </c>
      <c r="E804" s="308"/>
      <c r="F804" s="220"/>
      <c r="G804" s="268"/>
      <c r="H804" s="211"/>
      <c r="I804" s="211" t="s">
        <v>333</v>
      </c>
      <c r="J804" s="277" t="s">
        <v>538</v>
      </c>
      <c r="K804" s="161"/>
      <c r="L804" s="270"/>
      <c r="M804" s="372"/>
      <c r="N804" s="319"/>
      <c r="O804" s="14"/>
    </row>
    <row r="805" spans="1:15" ht="15.75">
      <c r="A805" s="1552"/>
      <c r="B805" s="211" t="s">
        <v>245</v>
      </c>
      <c r="C805" s="267"/>
      <c r="D805" s="277" t="s">
        <v>578</v>
      </c>
      <c r="E805" s="308"/>
      <c r="F805" s="220"/>
      <c r="G805" s="268"/>
      <c r="H805" s="211"/>
      <c r="I805" s="211" t="s">
        <v>242</v>
      </c>
      <c r="J805" s="284" t="s">
        <v>579</v>
      </c>
      <c r="K805" s="161"/>
      <c r="L805" s="270"/>
      <c r="M805" s="372"/>
      <c r="N805" s="319"/>
      <c r="O805" s="14"/>
    </row>
    <row r="806" spans="1:15" ht="15.75">
      <c r="A806" s="1552"/>
      <c r="B806" s="211" t="s">
        <v>257</v>
      </c>
      <c r="C806" s="645"/>
      <c r="D806" s="277" t="s">
        <v>580</v>
      </c>
      <c r="E806" s="308"/>
      <c r="F806" s="220"/>
      <c r="G806" s="268"/>
      <c r="H806" s="211"/>
      <c r="I806" s="211" t="s">
        <v>242</v>
      </c>
      <c r="J806" s="277" t="s">
        <v>538</v>
      </c>
      <c r="K806" s="161"/>
      <c r="L806" s="270"/>
      <c r="M806" s="626" t="s">
        <v>80</v>
      </c>
      <c r="N806" s="260"/>
      <c r="O806" s="154">
        <f>O782</f>
        <v>70000</v>
      </c>
    </row>
    <row r="807" spans="1:15" ht="15.75">
      <c r="A807" s="1552"/>
      <c r="B807" s="211" t="s">
        <v>245</v>
      </c>
      <c r="C807" s="645"/>
      <c r="D807" s="277" t="s">
        <v>581</v>
      </c>
      <c r="E807" s="308"/>
      <c r="F807" s="220"/>
      <c r="G807" s="268"/>
      <c r="H807" s="211"/>
      <c r="I807" s="211" t="s">
        <v>333</v>
      </c>
      <c r="J807" s="783" t="s">
        <v>582</v>
      </c>
      <c r="K807" s="161"/>
      <c r="L807" s="270"/>
      <c r="M807" s="626"/>
      <c r="N807" s="260"/>
      <c r="O807" s="774"/>
    </row>
    <row r="808" spans="1:15" ht="15.75">
      <c r="A808" s="1552"/>
      <c r="B808" s="211" t="s">
        <v>245</v>
      </c>
      <c r="C808" s="645"/>
      <c r="D808" s="277" t="s">
        <v>583</v>
      </c>
      <c r="E808" s="308"/>
      <c r="F808" s="220"/>
      <c r="G808" s="268"/>
      <c r="H808" s="211"/>
      <c r="I808" s="211" t="s">
        <v>333</v>
      </c>
      <c r="J808" s="277" t="s">
        <v>584</v>
      </c>
      <c r="K808" s="161"/>
      <c r="L808" s="270"/>
      <c r="M808" s="626"/>
      <c r="N808" s="260"/>
      <c r="O808" s="774"/>
    </row>
    <row r="809" spans="1:15" ht="15.75">
      <c r="A809" s="1552"/>
      <c r="B809" s="163"/>
      <c r="C809" s="658"/>
      <c r="D809" s="262"/>
      <c r="E809" s="261"/>
      <c r="F809" s="162"/>
      <c r="G809" s="286"/>
      <c r="H809" s="163"/>
      <c r="I809" s="163"/>
      <c r="J809" s="262"/>
      <c r="K809" s="161"/>
      <c r="L809" s="270"/>
      <c r="M809" s="372"/>
      <c r="N809" s="319"/>
      <c r="O809" s="14"/>
    </row>
    <row r="810" spans="1:15" ht="18.75">
      <c r="A810" s="1542"/>
      <c r="B810" s="213"/>
      <c r="C810" s="213"/>
      <c r="D810" s="223"/>
      <c r="E810" s="332">
        <f>SUM(E782:E809)</f>
        <v>25980000</v>
      </c>
      <c r="F810" s="223"/>
      <c r="G810" s="281">
        <f>SUM(G782:G809)</f>
        <v>2166500</v>
      </c>
      <c r="H810" s="223"/>
      <c r="I810" s="223"/>
      <c r="J810" s="223"/>
      <c r="K810" s="275"/>
      <c r="L810" s="275"/>
      <c r="M810" s="777" t="s">
        <v>80</v>
      </c>
      <c r="N810" s="778"/>
      <c r="O810" s="671">
        <f>G810+O806</f>
        <v>2236500</v>
      </c>
    </row>
    <row r="813" spans="1:15" ht="23.25">
      <c r="A813" s="1530" t="s">
        <v>465</v>
      </c>
      <c r="B813" s="1532"/>
      <c r="C813" s="1532"/>
      <c r="D813" s="1532"/>
      <c r="E813" s="1532"/>
      <c r="F813" s="1532"/>
      <c r="G813" s="1532"/>
      <c r="H813" s="1532"/>
      <c r="I813" s="1532"/>
      <c r="J813" s="1549"/>
      <c r="K813" s="1558" t="s">
        <v>2</v>
      </c>
      <c r="L813" s="1559"/>
      <c r="M813" s="1559"/>
      <c r="N813" s="1559"/>
      <c r="O813" s="1560"/>
    </row>
    <row r="814" spans="1:15" ht="30">
      <c r="A814" s="126" t="s">
        <v>3</v>
      </c>
      <c r="B814" s="1" t="s">
        <v>120</v>
      </c>
      <c r="C814" s="367" t="s">
        <v>4</v>
      </c>
      <c r="D814" s="1" t="s">
        <v>5</v>
      </c>
      <c r="E814" s="1" t="s">
        <v>6</v>
      </c>
      <c r="F814" s="1" t="s">
        <v>7</v>
      </c>
      <c r="G814" s="1" t="s">
        <v>8</v>
      </c>
      <c r="H814" s="361" t="s">
        <v>9</v>
      </c>
      <c r="I814" s="1" t="s">
        <v>10</v>
      </c>
      <c r="J814" s="126" t="s">
        <v>11</v>
      </c>
      <c r="K814" s="3" t="s">
        <v>12</v>
      </c>
      <c r="L814" s="3" t="s">
        <v>5</v>
      </c>
      <c r="M814" s="3" t="s">
        <v>13</v>
      </c>
      <c r="N814" s="3" t="s">
        <v>7</v>
      </c>
      <c r="O814" s="3" t="s">
        <v>14</v>
      </c>
    </row>
    <row r="815" spans="1:15" ht="15.75">
      <c r="A815" s="1574" t="s">
        <v>585</v>
      </c>
      <c r="B815" s="741">
        <v>12199</v>
      </c>
      <c r="C815" s="138">
        <v>0.1</v>
      </c>
      <c r="D815" s="137" t="s">
        <v>586</v>
      </c>
      <c r="E815" s="139">
        <v>1350000</v>
      </c>
      <c r="F815" s="779">
        <v>0.05</v>
      </c>
      <c r="G815" s="619">
        <f>E815*F815</f>
        <v>67500</v>
      </c>
      <c r="H815" s="741" t="s">
        <v>359</v>
      </c>
      <c r="I815" s="741" t="s">
        <v>333</v>
      </c>
      <c r="J815" s="137"/>
      <c r="K815" s="135">
        <v>12223</v>
      </c>
      <c r="L815" s="242" t="s">
        <v>519</v>
      </c>
      <c r="M815" s="143">
        <v>1300000</v>
      </c>
      <c r="N815" s="683">
        <v>0.05</v>
      </c>
      <c r="O815" s="673">
        <f>M815*N815</f>
        <v>65000</v>
      </c>
    </row>
    <row r="816" spans="1:15" ht="15.75">
      <c r="A816" s="1574"/>
      <c r="B816" s="741">
        <v>12231</v>
      </c>
      <c r="C816" s="138">
        <v>0.1</v>
      </c>
      <c r="D816" s="137" t="s">
        <v>587</v>
      </c>
      <c r="E816" s="139">
        <v>1400000</v>
      </c>
      <c r="F816" s="779">
        <v>0.1</v>
      </c>
      <c r="G816" s="619">
        <f t="shared" ref="G816:G821" si="28">E816*F816</f>
        <v>140000</v>
      </c>
      <c r="H816" s="741" t="s">
        <v>520</v>
      </c>
      <c r="I816" s="741" t="s">
        <v>333</v>
      </c>
      <c r="J816" s="137"/>
      <c r="K816" s="135">
        <v>12356</v>
      </c>
      <c r="L816" s="136" t="s">
        <v>530</v>
      </c>
      <c r="M816" s="143">
        <v>950000</v>
      </c>
      <c r="N816" s="683">
        <v>0.05</v>
      </c>
      <c r="O816" s="673">
        <f t="shared" ref="O816:O819" si="29">M816*N816</f>
        <v>47500</v>
      </c>
    </row>
    <row r="817" spans="1:15" ht="15.75">
      <c r="A817" s="1574"/>
      <c r="B817" s="741">
        <v>12346</v>
      </c>
      <c r="C817" s="138">
        <v>0.1</v>
      </c>
      <c r="D817" s="137" t="s">
        <v>588</v>
      </c>
      <c r="E817" s="139">
        <v>1750000</v>
      </c>
      <c r="F817" s="779">
        <v>0.1</v>
      </c>
      <c r="G817" s="619">
        <f t="shared" si="28"/>
        <v>175000</v>
      </c>
      <c r="H817" s="741" t="s">
        <v>520</v>
      </c>
      <c r="I817" s="741" t="s">
        <v>234</v>
      </c>
      <c r="J817" s="137"/>
      <c r="K817" s="135">
        <v>12254</v>
      </c>
      <c r="L817" s="136" t="s">
        <v>566</v>
      </c>
      <c r="M817" s="143">
        <v>1350000</v>
      </c>
      <c r="N817" s="683">
        <v>0.05</v>
      </c>
      <c r="O817" s="673">
        <f t="shared" si="29"/>
        <v>67500</v>
      </c>
    </row>
    <row r="818" spans="1:15" ht="15.75">
      <c r="A818" s="1574"/>
      <c r="B818" s="741">
        <v>12368</v>
      </c>
      <c r="C818" s="138">
        <v>0.1</v>
      </c>
      <c r="D818" s="137" t="s">
        <v>589</v>
      </c>
      <c r="E818" s="139">
        <v>1300000</v>
      </c>
      <c r="F818" s="779">
        <v>0.05</v>
      </c>
      <c r="G818" s="619">
        <f t="shared" si="28"/>
        <v>65000</v>
      </c>
      <c r="H818" s="741" t="s">
        <v>590</v>
      </c>
      <c r="I818" s="741" t="s">
        <v>333</v>
      </c>
      <c r="J818" s="137"/>
      <c r="K818" s="135">
        <v>12338</v>
      </c>
      <c r="L818" s="136" t="s">
        <v>591</v>
      </c>
      <c r="M818" s="143">
        <v>1350000</v>
      </c>
      <c r="N818" s="812">
        <v>0.04</v>
      </c>
      <c r="O818" s="673">
        <f t="shared" si="29"/>
        <v>54000</v>
      </c>
    </row>
    <row r="819" spans="1:15" ht="15.75">
      <c r="A819" s="1574"/>
      <c r="B819" s="741">
        <v>12374</v>
      </c>
      <c r="C819" s="138">
        <v>0.1</v>
      </c>
      <c r="D819" s="137" t="s">
        <v>592</v>
      </c>
      <c r="E819" s="139">
        <v>700000</v>
      </c>
      <c r="F819" s="779">
        <v>0.1</v>
      </c>
      <c r="G819" s="619">
        <f t="shared" si="28"/>
        <v>70000</v>
      </c>
      <c r="H819" s="741" t="s">
        <v>520</v>
      </c>
      <c r="I819" s="741" t="s">
        <v>234</v>
      </c>
      <c r="J819" s="137"/>
      <c r="K819" s="135">
        <v>12410</v>
      </c>
      <c r="L819" s="136" t="s">
        <v>533</v>
      </c>
      <c r="M819" s="143">
        <v>1350000</v>
      </c>
      <c r="N819" s="683">
        <v>0.05</v>
      </c>
      <c r="O819" s="673">
        <f t="shared" si="29"/>
        <v>67500</v>
      </c>
    </row>
    <row r="820" spans="1:15" ht="15.75">
      <c r="A820" s="1574"/>
      <c r="B820" s="741">
        <v>12388</v>
      </c>
      <c r="C820" s="138">
        <v>0.1</v>
      </c>
      <c r="D820" s="137" t="s">
        <v>518</v>
      </c>
      <c r="E820" s="139">
        <v>1500000</v>
      </c>
      <c r="F820" s="779">
        <v>0.05</v>
      </c>
      <c r="G820" s="619">
        <f t="shared" si="28"/>
        <v>75000</v>
      </c>
      <c r="H820" s="741" t="s">
        <v>288</v>
      </c>
      <c r="I820" s="741" t="s">
        <v>234</v>
      </c>
      <c r="J820" s="137" t="s">
        <v>593</v>
      </c>
      <c r="K820" s="14"/>
      <c r="L820" s="14"/>
      <c r="M820" s="14"/>
      <c r="N820" s="686"/>
      <c r="O820" s="686"/>
    </row>
    <row r="821" spans="1:15" ht="15.75">
      <c r="A821" s="1574"/>
      <c r="B821" s="677">
        <v>12408</v>
      </c>
      <c r="C821" s="140">
        <v>0.08</v>
      </c>
      <c r="D821" s="136" t="s">
        <v>594</v>
      </c>
      <c r="E821" s="139">
        <v>2200000</v>
      </c>
      <c r="F821" s="234">
        <v>0.04</v>
      </c>
      <c r="G821" s="619">
        <f t="shared" si="28"/>
        <v>88000</v>
      </c>
      <c r="H821" s="741" t="s">
        <v>286</v>
      </c>
      <c r="I821" s="741" t="s">
        <v>333</v>
      </c>
      <c r="J821" s="137"/>
      <c r="K821" s="14"/>
      <c r="L821" s="14"/>
      <c r="M821" s="14"/>
      <c r="N821" s="686"/>
      <c r="O821" s="686"/>
    </row>
    <row r="822" spans="1:15" ht="15.75">
      <c r="A822" s="1574"/>
      <c r="B822" s="219" t="s">
        <v>257</v>
      </c>
      <c r="C822" s="220"/>
      <c r="D822" s="225" t="s">
        <v>595</v>
      </c>
      <c r="E822" s="221"/>
      <c r="F822" s="225"/>
      <c r="G822" s="219"/>
      <c r="H822" s="219"/>
      <c r="I822" s="219" t="s">
        <v>234</v>
      </c>
      <c r="J822" s="225" t="s">
        <v>538</v>
      </c>
      <c r="K822" s="14"/>
      <c r="L822" s="14"/>
      <c r="M822" s="14"/>
      <c r="N822" s="14"/>
      <c r="O822" s="14"/>
    </row>
    <row r="823" spans="1:15" ht="15.75">
      <c r="A823" s="1574"/>
      <c r="B823" s="219" t="s">
        <v>257</v>
      </c>
      <c r="C823" s="220"/>
      <c r="D823" s="225" t="s">
        <v>596</v>
      </c>
      <c r="E823" s="221"/>
      <c r="F823" s="225"/>
      <c r="G823" s="219"/>
      <c r="H823" s="219"/>
      <c r="I823" s="219" t="s">
        <v>234</v>
      </c>
      <c r="J823" s="225" t="s">
        <v>536</v>
      </c>
      <c r="K823" s="14"/>
      <c r="L823" s="14"/>
      <c r="M823" s="14"/>
      <c r="N823" s="14"/>
      <c r="O823" s="14"/>
    </row>
    <row r="824" spans="1:15" ht="15.75">
      <c r="A824" s="1574"/>
      <c r="B824" s="489" t="s">
        <v>245</v>
      </c>
      <c r="C824" s="348"/>
      <c r="D824" s="277" t="s">
        <v>597</v>
      </c>
      <c r="E824" s="756"/>
      <c r="F824" s="757"/>
      <c r="G824" s="489"/>
      <c r="H824" s="489"/>
      <c r="I824" s="489" t="s">
        <v>333</v>
      </c>
      <c r="J824" s="757" t="s">
        <v>584</v>
      </c>
      <c r="K824" s="14"/>
      <c r="L824" s="14"/>
      <c r="M824" s="780" t="s">
        <v>80</v>
      </c>
      <c r="N824" s="780"/>
      <c r="O824" s="727">
        <f>SUM(O815:O823)</f>
        <v>301500</v>
      </c>
    </row>
    <row r="825" spans="1:15" ht="15.75">
      <c r="A825" s="1574"/>
      <c r="B825" s="157"/>
      <c r="C825" s="510"/>
      <c r="D825" s="156"/>
      <c r="E825" s="154"/>
      <c r="F825" s="156"/>
      <c r="G825" s="157"/>
      <c r="H825" s="157"/>
      <c r="I825" s="157"/>
      <c r="J825" s="165"/>
      <c r="K825" s="14"/>
      <c r="L825" s="14"/>
      <c r="M825" s="780"/>
      <c r="N825" s="780"/>
      <c r="O825" s="780"/>
    </row>
    <row r="826" spans="1:15" ht="18.75">
      <c r="A826" s="1575"/>
      <c r="B826" s="71"/>
      <c r="C826" s="71"/>
      <c r="D826" s="14"/>
      <c r="E826" s="154">
        <f>SUM(E815:E825)</f>
        <v>10200000</v>
      </c>
      <c r="F826" s="14"/>
      <c r="G826" s="293">
        <f>SUM(G815:G825)</f>
        <v>680500</v>
      </c>
      <c r="H826" s="14"/>
      <c r="I826" s="14"/>
      <c r="J826" s="14"/>
      <c r="K826" s="14"/>
      <c r="L826" s="14"/>
      <c r="M826" s="670" t="s">
        <v>80</v>
      </c>
      <c r="N826" s="670"/>
      <c r="O826" s="671">
        <f>G826+O824</f>
        <v>982000</v>
      </c>
    </row>
    <row r="829" spans="1:15" ht="23.25">
      <c r="A829" s="1530" t="s">
        <v>274</v>
      </c>
      <c r="B829" s="1531"/>
      <c r="C829" s="1532"/>
      <c r="D829" s="1531"/>
      <c r="E829" s="1531"/>
      <c r="F829" s="1531"/>
      <c r="G829" s="1531"/>
      <c r="H829" s="1532"/>
      <c r="I829" s="1532"/>
      <c r="J829" s="1532"/>
      <c r="K829" s="1571" t="s">
        <v>2</v>
      </c>
      <c r="L829" s="1572"/>
      <c r="M829" s="1572"/>
      <c r="N829" s="1572"/>
      <c r="O829" s="1572"/>
    </row>
    <row r="830" spans="1:15" ht="30">
      <c r="A830" s="126" t="s">
        <v>3</v>
      </c>
      <c r="B830" s="1" t="s">
        <v>120</v>
      </c>
      <c r="C830" s="367" t="s">
        <v>4</v>
      </c>
      <c r="D830" s="1" t="s">
        <v>5</v>
      </c>
      <c r="E830" s="1" t="s">
        <v>6</v>
      </c>
      <c r="F830" s="1" t="s">
        <v>7</v>
      </c>
      <c r="G830" s="1" t="s">
        <v>8</v>
      </c>
      <c r="H830" s="361" t="s">
        <v>9</v>
      </c>
      <c r="I830" s="1" t="s">
        <v>10</v>
      </c>
      <c r="J830" s="126" t="s">
        <v>11</v>
      </c>
      <c r="K830" s="1" t="s">
        <v>12</v>
      </c>
      <c r="L830" s="1" t="s">
        <v>5</v>
      </c>
      <c r="M830" s="1" t="s">
        <v>13</v>
      </c>
      <c r="N830" s="1" t="s">
        <v>7</v>
      </c>
      <c r="O830" s="3" t="s">
        <v>14</v>
      </c>
    </row>
    <row r="831" spans="1:15" ht="15.75">
      <c r="A831" s="1553"/>
      <c r="B831" s="163"/>
      <c r="C831" s="318"/>
      <c r="D831" s="262"/>
      <c r="E831" s="261"/>
      <c r="F831" s="592"/>
      <c r="G831" s="288"/>
      <c r="H831" s="163"/>
      <c r="I831" s="163"/>
      <c r="J831" s="262"/>
      <c r="K831" s="135">
        <v>12217</v>
      </c>
      <c r="L831" s="136" t="s">
        <v>521</v>
      </c>
      <c r="M831" s="143">
        <v>800000</v>
      </c>
      <c r="N831" s="543"/>
      <c r="O831" s="535"/>
    </row>
    <row r="832" spans="1:15" ht="15.75">
      <c r="A832" s="1552"/>
      <c r="B832" s="163"/>
      <c r="C832" s="318"/>
      <c r="D832" s="262"/>
      <c r="E832" s="261"/>
      <c r="F832" s="162"/>
      <c r="G832" s="286"/>
      <c r="H832" s="163"/>
      <c r="I832" s="163"/>
      <c r="J832" s="262"/>
      <c r="K832" s="135">
        <v>12271</v>
      </c>
      <c r="L832" s="136" t="s">
        <v>528</v>
      </c>
      <c r="M832" s="143">
        <v>750000</v>
      </c>
      <c r="N832" s="544"/>
      <c r="O832" s="278"/>
    </row>
    <row r="833" spans="1:16" ht="15.75">
      <c r="A833" s="1552"/>
      <c r="B833" s="523"/>
      <c r="C833" s="524"/>
      <c r="D833" s="525"/>
      <c r="E833" s="526"/>
      <c r="F833" s="527"/>
      <c r="G833" s="522"/>
      <c r="H833" s="523"/>
      <c r="I833" s="523"/>
      <c r="J833" s="262"/>
      <c r="K833" s="346">
        <v>12295</v>
      </c>
      <c r="L833" s="136" t="s">
        <v>547</v>
      </c>
      <c r="M833" s="141">
        <v>950000</v>
      </c>
      <c r="N833" s="544"/>
      <c r="O833" s="545"/>
    </row>
    <row r="834" spans="1:16" ht="15.75">
      <c r="A834" s="1552"/>
      <c r="B834" s="364"/>
      <c r="C834" s="316"/>
      <c r="D834" s="270"/>
      <c r="E834" s="295"/>
      <c r="F834" s="159"/>
      <c r="G834" s="288"/>
      <c r="H834" s="161"/>
      <c r="I834" s="161"/>
      <c r="J834" s="262"/>
      <c r="K834" s="346">
        <v>12358</v>
      </c>
      <c r="L834" s="661" t="s">
        <v>553</v>
      </c>
      <c r="M834" s="699">
        <v>2100000</v>
      </c>
      <c r="N834" s="544"/>
      <c r="O834" s="545"/>
    </row>
    <row r="835" spans="1:16" ht="15.75">
      <c r="A835" s="1552"/>
      <c r="B835" s="368"/>
      <c r="C835" s="316"/>
      <c r="D835" s="270"/>
      <c r="E835" s="295"/>
      <c r="F835" s="159"/>
      <c r="G835" s="288"/>
      <c r="H835" s="161"/>
      <c r="I835" s="161"/>
      <c r="J835" s="368"/>
      <c r="K835" s="741">
        <v>12384</v>
      </c>
      <c r="L835" s="136" t="s">
        <v>575</v>
      </c>
      <c r="M835" s="143">
        <v>700000</v>
      </c>
      <c r="N835" s="544"/>
      <c r="O835" s="666"/>
    </row>
    <row r="836" spans="1:16" ht="15.75">
      <c r="A836" s="1552"/>
      <c r="B836" s="368"/>
      <c r="C836" s="316"/>
      <c r="D836" s="270"/>
      <c r="E836" s="295"/>
      <c r="F836" s="159"/>
      <c r="G836" s="288"/>
      <c r="H836" s="161"/>
      <c r="I836" s="161"/>
      <c r="J836" s="368"/>
      <c r="K836" s="135">
        <v>12431</v>
      </c>
      <c r="L836" s="652" t="s">
        <v>598</v>
      </c>
      <c r="M836" s="143">
        <v>1070000</v>
      </c>
      <c r="N836" s="667"/>
      <c r="O836" s="666"/>
    </row>
    <row r="837" spans="1:16" ht="18">
      <c r="A837" s="1542"/>
      <c r="B837" s="215"/>
      <c r="C837" s="215"/>
      <c r="D837" s="214"/>
      <c r="E837" s="332">
        <f>SUM(E831:E835)</f>
        <v>0</v>
      </c>
      <c r="F837" s="214"/>
      <c r="G837" s="281">
        <f>SUM(G831:G835)</f>
        <v>0</v>
      </c>
      <c r="H837" s="214"/>
      <c r="I837" s="214"/>
      <c r="J837" s="214"/>
      <c r="K837" s="275"/>
      <c r="L837" s="600" t="s">
        <v>80</v>
      </c>
      <c r="M837" s="799">
        <f>SUM(M831:M836)</f>
        <v>6370000</v>
      </c>
      <c r="N837" s="304"/>
      <c r="O837" s="14"/>
    </row>
    <row r="840" spans="1:16" ht="18">
      <c r="A840" s="1535" t="s">
        <v>68</v>
      </c>
      <c r="B840" s="1535"/>
      <c r="C840" s="365"/>
      <c r="D840" s="341">
        <f>E760+E776+E810+E826+E837</f>
        <v>64950000</v>
      </c>
    </row>
    <row r="841" spans="1:16" ht="15.75">
      <c r="A841" s="1536" t="s">
        <v>69</v>
      </c>
      <c r="B841" s="1536"/>
      <c r="C841" s="22"/>
      <c r="D841" s="800"/>
    </row>
    <row r="842" spans="1:16" ht="15.75">
      <c r="A842" s="1537" t="s">
        <v>70</v>
      </c>
      <c r="B842" s="1537"/>
      <c r="C842" s="101"/>
      <c r="D842" s="801">
        <v>18500000</v>
      </c>
      <c r="E842" s="802"/>
    </row>
    <row r="847" spans="1:16" ht="31.5">
      <c r="A847" s="1561" t="s">
        <v>599</v>
      </c>
      <c r="B847" s="1562"/>
      <c r="C847" s="1562"/>
      <c r="D847" s="1562"/>
      <c r="E847" s="1562"/>
      <c r="F847" s="1562"/>
      <c r="G847" s="1562"/>
      <c r="H847" s="1562"/>
      <c r="I847" s="1562"/>
      <c r="J847" s="1562"/>
      <c r="K847" s="1562"/>
      <c r="L847" s="1562"/>
      <c r="M847" s="1562"/>
      <c r="N847" s="1562"/>
      <c r="O847" s="1562"/>
      <c r="P847">
        <v>0</v>
      </c>
    </row>
    <row r="848" spans="1:16" ht="23.25">
      <c r="A848" s="1548" t="s">
        <v>1</v>
      </c>
      <c r="B848" s="1532"/>
      <c r="C848" s="1532"/>
      <c r="D848" s="1531"/>
      <c r="E848" s="1532"/>
      <c r="F848" s="1532"/>
      <c r="G848" s="1532"/>
      <c r="H848" s="1532"/>
      <c r="I848" s="1532"/>
      <c r="J848" s="1532"/>
      <c r="K848" s="1533" t="s">
        <v>2</v>
      </c>
      <c r="L848" s="1533"/>
      <c r="M848" s="1533"/>
      <c r="N848" s="1533"/>
      <c r="O848" s="1533"/>
    </row>
    <row r="849" spans="1:15" ht="30">
      <c r="A849" s="3" t="s">
        <v>3</v>
      </c>
      <c r="B849" s="361" t="s">
        <v>120</v>
      </c>
      <c r="C849" s="360" t="s">
        <v>4</v>
      </c>
      <c r="D849" s="3" t="s">
        <v>5</v>
      </c>
      <c r="E849" s="361" t="s">
        <v>6</v>
      </c>
      <c r="F849" s="1" t="s">
        <v>7</v>
      </c>
      <c r="G849" s="1" t="s">
        <v>8</v>
      </c>
      <c r="H849" s="1" t="s">
        <v>9</v>
      </c>
      <c r="I849" s="1" t="s">
        <v>10</v>
      </c>
      <c r="J849" s="3" t="s">
        <v>11</v>
      </c>
      <c r="K849" s="40" t="s">
        <v>12</v>
      </c>
      <c r="L849" s="40" t="s">
        <v>5</v>
      </c>
      <c r="M849" s="40" t="s">
        <v>13</v>
      </c>
      <c r="N849" s="129" t="s">
        <v>7</v>
      </c>
      <c r="O849" s="68" t="s">
        <v>14</v>
      </c>
    </row>
    <row r="850" spans="1:15" ht="15.75">
      <c r="A850" s="1552" t="s">
        <v>363</v>
      </c>
      <c r="B850" s="135">
        <v>12440</v>
      </c>
      <c r="C850" s="233">
        <v>0.1</v>
      </c>
      <c r="D850" s="136" t="s">
        <v>600</v>
      </c>
      <c r="E850" s="558">
        <v>800000</v>
      </c>
      <c r="F850" s="478">
        <v>0.1</v>
      </c>
      <c r="G850" s="278">
        <f>E850*F850</f>
        <v>80000</v>
      </c>
      <c r="H850" s="135" t="s">
        <v>288</v>
      </c>
      <c r="I850" s="135" t="s">
        <v>333</v>
      </c>
      <c r="J850" s="541"/>
      <c r="K850" s="741">
        <v>12448</v>
      </c>
      <c r="L850" s="136" t="s">
        <v>601</v>
      </c>
      <c r="M850" s="143">
        <v>1400000</v>
      </c>
      <c r="N850" s="534">
        <v>0.05</v>
      </c>
      <c r="O850" s="139">
        <f>M850*N850</f>
        <v>70000</v>
      </c>
    </row>
    <row r="851" spans="1:15" ht="15.75">
      <c r="A851" s="1552"/>
      <c r="B851" s="135">
        <v>12441</v>
      </c>
      <c r="C851" s="233">
        <v>0.1</v>
      </c>
      <c r="D851" s="136" t="s">
        <v>602</v>
      </c>
      <c r="E851" s="558">
        <v>1400000</v>
      </c>
      <c r="F851" s="478">
        <v>0.1</v>
      </c>
      <c r="G851" s="278">
        <f t="shared" ref="G851:G863" si="30">E851*F851</f>
        <v>140000</v>
      </c>
      <c r="H851" s="135" t="s">
        <v>288</v>
      </c>
      <c r="I851" s="135" t="s">
        <v>234</v>
      </c>
      <c r="J851" s="541"/>
      <c r="K851" s="741">
        <v>12550</v>
      </c>
      <c r="L851" s="136" t="s">
        <v>603</v>
      </c>
      <c r="M851" s="143">
        <v>1400000</v>
      </c>
      <c r="N851" s="534">
        <v>0.05</v>
      </c>
      <c r="O851" s="139">
        <f>M851*N851</f>
        <v>70000</v>
      </c>
    </row>
    <row r="852" spans="1:15" ht="15.75">
      <c r="A852" s="1552"/>
      <c r="B852" s="135">
        <v>12442</v>
      </c>
      <c r="C852" s="233">
        <v>0.1</v>
      </c>
      <c r="D852" s="136" t="s">
        <v>604</v>
      </c>
      <c r="E852" s="143">
        <v>1400000</v>
      </c>
      <c r="F852" s="138">
        <v>0.1</v>
      </c>
      <c r="G852" s="278">
        <f t="shared" si="30"/>
        <v>140000</v>
      </c>
      <c r="H852" s="135" t="s">
        <v>288</v>
      </c>
      <c r="I852" s="135" t="s">
        <v>333</v>
      </c>
      <c r="J852" s="541"/>
      <c r="K852" s="741">
        <v>12650</v>
      </c>
      <c r="L852" s="136" t="s">
        <v>605</v>
      </c>
      <c r="M852" s="143">
        <v>3000000</v>
      </c>
      <c r="N852" s="534">
        <v>0.04</v>
      </c>
      <c r="O852" s="139">
        <f>M852*N852</f>
        <v>120000</v>
      </c>
    </row>
    <row r="853" spans="1:15" ht="15.75">
      <c r="A853" s="1552"/>
      <c r="B853" s="135">
        <v>12443</v>
      </c>
      <c r="C853" s="233">
        <v>0.1</v>
      </c>
      <c r="D853" s="136" t="s">
        <v>606</v>
      </c>
      <c r="E853" s="143">
        <v>1000000</v>
      </c>
      <c r="F853" s="138">
        <v>0.1</v>
      </c>
      <c r="G853" s="278">
        <f t="shared" si="30"/>
        <v>100000</v>
      </c>
      <c r="H853" s="144" t="s">
        <v>288</v>
      </c>
      <c r="I853" s="135" t="s">
        <v>242</v>
      </c>
      <c r="J853" s="541"/>
      <c r="K853" s="758"/>
      <c r="L853" s="57"/>
      <c r="M853" s="57"/>
      <c r="N853" s="57"/>
      <c r="O853" s="27"/>
    </row>
    <row r="854" spans="1:15" ht="15.75">
      <c r="A854" s="1552"/>
      <c r="B854" s="135">
        <v>12463</v>
      </c>
      <c r="C854" s="233">
        <v>0.1</v>
      </c>
      <c r="D854" s="136" t="s">
        <v>607</v>
      </c>
      <c r="E854" s="143">
        <v>900000</v>
      </c>
      <c r="F854" s="138">
        <v>0.06</v>
      </c>
      <c r="G854" s="278">
        <f t="shared" si="30"/>
        <v>54000</v>
      </c>
      <c r="H854" s="144" t="s">
        <v>30</v>
      </c>
      <c r="I854" s="135" t="s">
        <v>234</v>
      </c>
      <c r="J854" s="541"/>
      <c r="K854" s="758"/>
      <c r="L854" s="57"/>
      <c r="M854" s="57"/>
      <c r="N854" s="57"/>
      <c r="O854" s="27"/>
    </row>
    <row r="855" spans="1:15" ht="15.75">
      <c r="A855" s="1552"/>
      <c r="B855" s="135">
        <v>12453</v>
      </c>
      <c r="C855" s="233">
        <v>0.1</v>
      </c>
      <c r="D855" s="136" t="s">
        <v>608</v>
      </c>
      <c r="E855" s="143">
        <v>900000</v>
      </c>
      <c r="F855" s="138">
        <v>0.05</v>
      </c>
      <c r="G855" s="278">
        <f t="shared" si="30"/>
        <v>45000</v>
      </c>
      <c r="H855" s="144" t="s">
        <v>286</v>
      </c>
      <c r="I855" s="135" t="s">
        <v>242</v>
      </c>
      <c r="J855" s="541"/>
      <c r="K855" s="758"/>
      <c r="L855" s="57"/>
      <c r="M855" s="57"/>
      <c r="N855" s="57"/>
      <c r="O855" s="27"/>
    </row>
    <row r="856" spans="1:15" ht="15.75">
      <c r="A856" s="1552"/>
      <c r="B856" s="135">
        <v>12477</v>
      </c>
      <c r="C856" s="233">
        <v>0.1</v>
      </c>
      <c r="D856" s="136" t="s">
        <v>609</v>
      </c>
      <c r="E856" s="143">
        <v>1600000</v>
      </c>
      <c r="F856" s="138">
        <v>0.05</v>
      </c>
      <c r="G856" s="278">
        <f t="shared" si="30"/>
        <v>80000</v>
      </c>
      <c r="H856" s="144" t="s">
        <v>520</v>
      </c>
      <c r="I856" s="135" t="s">
        <v>242</v>
      </c>
      <c r="J856" s="541"/>
      <c r="K856" s="758"/>
      <c r="L856" s="57"/>
      <c r="M856" s="57"/>
      <c r="N856" s="57"/>
      <c r="O856" s="27"/>
    </row>
    <row r="857" spans="1:15" ht="15.75">
      <c r="A857" s="1552"/>
      <c r="B857" s="135">
        <v>12507</v>
      </c>
      <c r="C857" s="233">
        <v>0.1</v>
      </c>
      <c r="D857" s="137" t="s">
        <v>610</v>
      </c>
      <c r="E857" s="143">
        <v>1300000</v>
      </c>
      <c r="F857" s="478">
        <v>0.1</v>
      </c>
      <c r="G857" s="278">
        <f t="shared" si="30"/>
        <v>130000</v>
      </c>
      <c r="H857" s="144" t="s">
        <v>288</v>
      </c>
      <c r="I857" s="135" t="s">
        <v>242</v>
      </c>
      <c r="J857" s="746"/>
      <c r="K857" s="758"/>
      <c r="L857" s="57"/>
      <c r="M857" s="57"/>
      <c r="N857" s="57"/>
      <c r="O857" s="27"/>
    </row>
    <row r="858" spans="1:15" ht="15.75">
      <c r="A858" s="1552"/>
      <c r="B858" s="135">
        <v>12523</v>
      </c>
      <c r="C858" s="233">
        <v>0.1</v>
      </c>
      <c r="D858" s="137" t="s">
        <v>611</v>
      </c>
      <c r="E858" s="143">
        <v>850000</v>
      </c>
      <c r="F858" s="478">
        <v>0.06</v>
      </c>
      <c r="G858" s="278">
        <f t="shared" si="30"/>
        <v>51000</v>
      </c>
      <c r="H858" s="144" t="s">
        <v>30</v>
      </c>
      <c r="I858" s="135" t="s">
        <v>242</v>
      </c>
      <c r="J858" s="824"/>
      <c r="K858" s="758"/>
      <c r="L858" s="57"/>
      <c r="M858" s="57"/>
      <c r="N858" s="57"/>
      <c r="O858" s="27"/>
    </row>
    <row r="859" spans="1:15" ht="15.75">
      <c r="A859" s="1552"/>
      <c r="B859" s="135">
        <v>12537</v>
      </c>
      <c r="C859" s="233">
        <v>0.1</v>
      </c>
      <c r="D859" s="137" t="s">
        <v>612</v>
      </c>
      <c r="E859" s="143">
        <v>1500000</v>
      </c>
      <c r="F859" s="478">
        <v>0.06</v>
      </c>
      <c r="G859" s="278">
        <f t="shared" si="30"/>
        <v>90000</v>
      </c>
      <c r="H859" s="144" t="s">
        <v>30</v>
      </c>
      <c r="I859" s="135" t="s">
        <v>242</v>
      </c>
      <c r="J859" s="746"/>
      <c r="K859" s="758"/>
      <c r="L859" s="57"/>
      <c r="M859" s="57"/>
      <c r="N859" s="57"/>
      <c r="O859" s="27"/>
    </row>
    <row r="860" spans="1:15" ht="16.5" customHeight="1">
      <c r="A860" s="1552"/>
      <c r="B860" s="135">
        <v>12563</v>
      </c>
      <c r="C860" s="233">
        <v>0.1</v>
      </c>
      <c r="D860" s="137" t="s">
        <v>613</v>
      </c>
      <c r="E860" s="143">
        <v>1550000</v>
      </c>
      <c r="F860" s="478">
        <v>0.1</v>
      </c>
      <c r="G860" s="278">
        <f t="shared" si="30"/>
        <v>155000</v>
      </c>
      <c r="H860" s="144" t="s">
        <v>288</v>
      </c>
      <c r="I860" s="135" t="s">
        <v>234</v>
      </c>
      <c r="J860" s="746"/>
      <c r="K860" s="758"/>
      <c r="L860" s="57"/>
      <c r="M860" s="57"/>
      <c r="N860" s="57"/>
      <c r="O860" s="27"/>
    </row>
    <row r="861" spans="1:15" ht="16.5" customHeight="1">
      <c r="A861" s="1552"/>
      <c r="B861" s="135">
        <v>12564</v>
      </c>
      <c r="C861" s="233">
        <v>0.1</v>
      </c>
      <c r="D861" s="137" t="s">
        <v>614</v>
      </c>
      <c r="E861" s="143">
        <v>1400000</v>
      </c>
      <c r="F861" s="478">
        <v>0.05</v>
      </c>
      <c r="G861" s="278">
        <f t="shared" si="30"/>
        <v>70000</v>
      </c>
      <c r="H861" s="144" t="s">
        <v>520</v>
      </c>
      <c r="I861" s="135" t="s">
        <v>234</v>
      </c>
      <c r="J861" s="746"/>
      <c r="K861" s="758"/>
      <c r="L861" s="57"/>
      <c r="M861" s="57"/>
      <c r="N861" s="57"/>
      <c r="O861" s="27"/>
    </row>
    <row r="862" spans="1:15" ht="16.5" customHeight="1">
      <c r="A862" s="1552"/>
      <c r="B862" s="135">
        <v>12603</v>
      </c>
      <c r="C862" s="331">
        <v>0.08</v>
      </c>
      <c r="D862" s="137" t="s">
        <v>615</v>
      </c>
      <c r="E862" s="143">
        <v>1200000</v>
      </c>
      <c r="F862" s="478">
        <v>0.08</v>
      </c>
      <c r="G862" s="278">
        <f t="shared" si="30"/>
        <v>96000</v>
      </c>
      <c r="H862" s="144" t="s">
        <v>288</v>
      </c>
      <c r="I862" s="135" t="s">
        <v>242</v>
      </c>
      <c r="J862" s="541"/>
      <c r="K862" s="758"/>
      <c r="L862" s="57"/>
      <c r="M862" s="57"/>
      <c r="N862" s="57"/>
      <c r="O862" s="27"/>
    </row>
    <row r="863" spans="1:15" ht="16.5" customHeight="1">
      <c r="A863" s="1552"/>
      <c r="B863" s="135">
        <v>12653</v>
      </c>
      <c r="C863" s="331">
        <v>0.08</v>
      </c>
      <c r="D863" s="137" t="s">
        <v>616</v>
      </c>
      <c r="E863" s="143">
        <v>1250000</v>
      </c>
      <c r="F863" s="478">
        <v>0.08</v>
      </c>
      <c r="G863" s="278">
        <f t="shared" si="30"/>
        <v>100000</v>
      </c>
      <c r="H863" s="144" t="s">
        <v>288</v>
      </c>
      <c r="I863" s="135" t="s">
        <v>242</v>
      </c>
      <c r="J863" s="746"/>
      <c r="K863" s="758"/>
      <c r="L863" s="57"/>
      <c r="M863" s="57"/>
      <c r="N863" s="57"/>
      <c r="O863" s="27"/>
    </row>
    <row r="864" spans="1:15" ht="28.5" customHeight="1">
      <c r="A864" s="1552"/>
      <c r="B864" s="211" t="s">
        <v>245</v>
      </c>
      <c r="C864" s="267"/>
      <c r="D864" s="225" t="s">
        <v>617</v>
      </c>
      <c r="E864" s="308"/>
      <c r="F864" s="785"/>
      <c r="G864" s="815"/>
      <c r="H864" s="503"/>
      <c r="I864" s="211" t="s">
        <v>242</v>
      </c>
      <c r="J864" s="823" t="s">
        <v>618</v>
      </c>
      <c r="K864" s="758"/>
      <c r="L864" s="57"/>
      <c r="M864" s="57"/>
      <c r="N864" s="57"/>
      <c r="O864" s="27"/>
    </row>
    <row r="865" spans="1:15" ht="15.75">
      <c r="A865" s="1552"/>
      <c r="B865" s="211" t="s">
        <v>538</v>
      </c>
      <c r="C865" s="267"/>
      <c r="D865" s="277" t="s">
        <v>619</v>
      </c>
      <c r="E865" s="308"/>
      <c r="F865" s="785"/>
      <c r="G865" s="815"/>
      <c r="H865" s="816"/>
      <c r="I865" s="211" t="s">
        <v>242</v>
      </c>
      <c r="J865" s="573" t="s">
        <v>538</v>
      </c>
      <c r="K865" s="758"/>
      <c r="L865" s="57"/>
      <c r="M865" s="57"/>
      <c r="N865" s="57"/>
      <c r="O865" s="27"/>
    </row>
    <row r="866" spans="1:15" ht="15.75">
      <c r="A866" s="1552"/>
      <c r="B866" s="211" t="s">
        <v>297</v>
      </c>
      <c r="C866" s="645"/>
      <c r="D866" s="728" t="s">
        <v>620</v>
      </c>
      <c r="E866" s="308"/>
      <c r="F866" s="785"/>
      <c r="G866" s="815"/>
      <c r="H866" s="816"/>
      <c r="I866" s="211" t="s">
        <v>242</v>
      </c>
      <c r="J866" s="728" t="s">
        <v>621</v>
      </c>
      <c r="K866" s="758"/>
      <c r="L866" s="57"/>
      <c r="M866" s="57"/>
      <c r="N866" s="57"/>
      <c r="O866" s="27"/>
    </row>
    <row r="867" spans="1:15" ht="30">
      <c r="A867" s="1552"/>
      <c r="B867" s="211" t="s">
        <v>245</v>
      </c>
      <c r="C867" s="645"/>
      <c r="D867" s="277" t="s">
        <v>622</v>
      </c>
      <c r="E867" s="308"/>
      <c r="F867" s="785"/>
      <c r="G867" s="815"/>
      <c r="H867" s="816"/>
      <c r="I867" s="211" t="s">
        <v>623</v>
      </c>
      <c r="J867" s="823" t="s">
        <v>624</v>
      </c>
      <c r="K867" s="758"/>
      <c r="L867" s="57"/>
      <c r="M867" s="57"/>
      <c r="N867" s="57"/>
      <c r="O867" s="846"/>
    </row>
    <row r="868" spans="1:15" ht="18.75">
      <c r="A868" s="1552"/>
      <c r="B868" s="211" t="s">
        <v>625</v>
      </c>
      <c r="C868" s="267"/>
      <c r="D868" s="225" t="s">
        <v>626</v>
      </c>
      <c r="E868" s="308"/>
      <c r="F868" s="785"/>
      <c r="G868" s="815"/>
      <c r="H868" s="503"/>
      <c r="I868" s="211" t="s">
        <v>242</v>
      </c>
      <c r="J868" s="573" t="s">
        <v>627</v>
      </c>
      <c r="K868" s="758"/>
      <c r="L868" s="57"/>
      <c r="M868" s="848" t="s">
        <v>80</v>
      </c>
      <c r="N868" s="848"/>
      <c r="O868" s="849">
        <f>SUM(O850:O852)</f>
        <v>260000</v>
      </c>
    </row>
    <row r="869" spans="1:15" ht="15.75">
      <c r="A869" s="1552"/>
      <c r="B869" s="211" t="s">
        <v>625</v>
      </c>
      <c r="C869" s="267"/>
      <c r="D869" s="225" t="s">
        <v>628</v>
      </c>
      <c r="E869" s="308"/>
      <c r="F869" s="785"/>
      <c r="G869" s="815"/>
      <c r="H869" s="503"/>
      <c r="I869" s="211" t="s">
        <v>242</v>
      </c>
      <c r="J869" s="573" t="s">
        <v>627</v>
      </c>
      <c r="K869" s="758"/>
      <c r="L869" s="57"/>
      <c r="M869" s="57"/>
      <c r="N869" s="57"/>
      <c r="O869" s="27"/>
    </row>
    <row r="870" spans="1:15" ht="21">
      <c r="A870" s="1552"/>
      <c r="B870" s="205"/>
      <c r="C870" s="508"/>
      <c r="D870" s="287"/>
      <c r="E870" s="516"/>
      <c r="F870" s="513"/>
      <c r="G870" s="514"/>
      <c r="H870" s="517"/>
      <c r="I870" s="205"/>
      <c r="J870" s="616"/>
      <c r="K870" s="758"/>
      <c r="L870" s="36"/>
      <c r="M870" s="57"/>
      <c r="N870" s="57"/>
      <c r="O870" s="872">
        <f>SUM(O868+G871)</f>
        <v>1591000</v>
      </c>
    </row>
    <row r="871" spans="1:15" ht="21">
      <c r="A871" s="1542"/>
      <c r="B871" s="7"/>
      <c r="C871" s="7"/>
      <c r="D871" s="42"/>
      <c r="E871" s="854">
        <f>SUM(E850:E870)</f>
        <v>17050000</v>
      </c>
      <c r="F871" s="855"/>
      <c r="G871" s="856">
        <f>SUM(G850:G870)</f>
        <v>1331000</v>
      </c>
      <c r="H871" s="42"/>
      <c r="I871" s="519"/>
      <c r="J871" s="520"/>
      <c r="K871" s="11"/>
      <c r="L871" s="11"/>
      <c r="M871" s="857" t="s">
        <v>80</v>
      </c>
      <c r="N871" s="858"/>
      <c r="O871" s="873">
        <v>1540000</v>
      </c>
    </row>
    <row r="874" spans="1:15" ht="23.25">
      <c r="A874" s="1563" t="s">
        <v>138</v>
      </c>
      <c r="B874" s="1564"/>
      <c r="C874" s="1564"/>
      <c r="D874" s="1563"/>
      <c r="E874" s="1564"/>
      <c r="F874" s="1564"/>
      <c r="G874" s="1564"/>
      <c r="H874" s="1564"/>
      <c r="I874" s="1564"/>
      <c r="J874" s="1565"/>
      <c r="K874" s="1557" t="s">
        <v>2</v>
      </c>
      <c r="L874" s="1557"/>
      <c r="M874" s="1557"/>
      <c r="N874" s="1557"/>
      <c r="O874" s="1557"/>
    </row>
    <row r="875" spans="1:15" ht="30">
      <c r="A875" s="3" t="s">
        <v>3</v>
      </c>
      <c r="B875" s="657" t="s">
        <v>120</v>
      </c>
      <c r="C875" s="818" t="s">
        <v>4</v>
      </c>
      <c r="D875" s="3" t="s">
        <v>5</v>
      </c>
      <c r="E875" s="657" t="s">
        <v>6</v>
      </c>
      <c r="F875" s="68" t="s">
        <v>7</v>
      </c>
      <c r="G875" s="68" t="s">
        <v>8</v>
      </c>
      <c r="H875" s="68" t="s">
        <v>9</v>
      </c>
      <c r="I875" s="68" t="s">
        <v>10</v>
      </c>
      <c r="J875" s="68" t="s">
        <v>11</v>
      </c>
      <c r="K875" s="68" t="s">
        <v>12</v>
      </c>
      <c r="L875" s="68" t="s">
        <v>5</v>
      </c>
      <c r="M875" s="68" t="s">
        <v>13</v>
      </c>
      <c r="N875" s="129" t="s">
        <v>7</v>
      </c>
      <c r="O875" s="40" t="s">
        <v>14</v>
      </c>
    </row>
    <row r="876" spans="1:15" ht="15.75">
      <c r="A876" s="1552" t="s">
        <v>629</v>
      </c>
      <c r="B876" s="346">
        <v>12466</v>
      </c>
      <c r="C876" s="703">
        <v>0.1</v>
      </c>
      <c r="D876" s="136" t="s">
        <v>630</v>
      </c>
      <c r="E876" s="699">
        <v>1400000</v>
      </c>
      <c r="F876" s="148">
        <v>0.04</v>
      </c>
      <c r="G876" s="335">
        <f>E876*F876</f>
        <v>56000</v>
      </c>
      <c r="H876" s="147" t="s">
        <v>305</v>
      </c>
      <c r="I876" s="147" t="s">
        <v>234</v>
      </c>
      <c r="J876" s="528"/>
      <c r="K876" s="135">
        <v>12453</v>
      </c>
      <c r="L876" s="136" t="s">
        <v>608</v>
      </c>
      <c r="M876" s="143">
        <v>900000</v>
      </c>
      <c r="N876" s="534">
        <v>0.04</v>
      </c>
      <c r="O876" s="139">
        <f>M876*N876</f>
        <v>36000</v>
      </c>
    </row>
    <row r="877" spans="1:15" ht="15.75">
      <c r="A877" s="1552"/>
      <c r="B877" s="346">
        <v>12470</v>
      </c>
      <c r="C877" s="148">
        <v>0.1</v>
      </c>
      <c r="D877" s="242" t="s">
        <v>631</v>
      </c>
      <c r="E877" s="141">
        <v>1400000</v>
      </c>
      <c r="F877" s="148">
        <v>0.08</v>
      </c>
      <c r="G877" s="335">
        <f t="shared" ref="G877:G882" si="31">E877*F877</f>
        <v>112000</v>
      </c>
      <c r="H877" s="147" t="s">
        <v>286</v>
      </c>
      <c r="I877" s="147" t="s">
        <v>242</v>
      </c>
      <c r="J877" s="528"/>
      <c r="K877" s="850"/>
      <c r="L877" s="350" t="s">
        <v>632</v>
      </c>
      <c r="M877" s="143">
        <v>870000</v>
      </c>
      <c r="N877" s="534">
        <v>0.04</v>
      </c>
      <c r="O877" s="139">
        <f>M877*N877</f>
        <v>34800</v>
      </c>
    </row>
    <row r="878" spans="1:15" ht="15.75">
      <c r="A878" s="1552"/>
      <c r="B878" s="346">
        <v>12535</v>
      </c>
      <c r="C878" s="698">
        <v>0.1</v>
      </c>
      <c r="D878" s="661" t="s">
        <v>633</v>
      </c>
      <c r="E878" s="699">
        <v>1250000</v>
      </c>
      <c r="F878" s="148">
        <v>0.08</v>
      </c>
      <c r="G878" s="335">
        <f t="shared" si="31"/>
        <v>100000</v>
      </c>
      <c r="H878" s="147" t="s">
        <v>286</v>
      </c>
      <c r="I878" s="147" t="s">
        <v>234</v>
      </c>
      <c r="J878" s="528"/>
      <c r="K878" s="9"/>
      <c r="L878" s="643"/>
      <c r="M878" s="261"/>
      <c r="N878" s="370"/>
      <c r="O878" s="14"/>
    </row>
    <row r="879" spans="1:15" ht="15.75">
      <c r="A879" s="1552"/>
      <c r="B879" s="346">
        <v>12551</v>
      </c>
      <c r="C879" s="698">
        <v>0.1</v>
      </c>
      <c r="D879" s="661" t="s">
        <v>634</v>
      </c>
      <c r="E879" s="699">
        <v>800000</v>
      </c>
      <c r="F879" s="148">
        <v>0.08</v>
      </c>
      <c r="G879" s="335">
        <f t="shared" si="31"/>
        <v>64000</v>
      </c>
      <c r="H879" s="147" t="s">
        <v>286</v>
      </c>
      <c r="I879" s="147" t="s">
        <v>234</v>
      </c>
      <c r="J879" s="528"/>
      <c r="K879" s="9"/>
      <c r="L879" s="643"/>
      <c r="M879" s="261"/>
      <c r="N879" s="370"/>
      <c r="O879" s="14"/>
    </row>
    <row r="880" spans="1:15" ht="15.75">
      <c r="A880" s="1552"/>
      <c r="B880" s="346">
        <v>12596</v>
      </c>
      <c r="C880" s="703">
        <v>0.1</v>
      </c>
      <c r="D880" s="137" t="s">
        <v>635</v>
      </c>
      <c r="E880" s="699">
        <v>1400000</v>
      </c>
      <c r="F880" s="148">
        <v>0.04</v>
      </c>
      <c r="G880" s="335">
        <f t="shared" si="31"/>
        <v>56000</v>
      </c>
      <c r="H880" s="147" t="s">
        <v>520</v>
      </c>
      <c r="I880" s="147" t="s">
        <v>234</v>
      </c>
      <c r="J880" s="528"/>
      <c r="K880" s="9"/>
      <c r="L880" s="643"/>
      <c r="M880" s="261"/>
      <c r="N880" s="370"/>
      <c r="O880" s="14"/>
    </row>
    <row r="881" spans="1:15" ht="15" customHeight="1">
      <c r="A881" s="1552"/>
      <c r="B881" s="346">
        <v>12591</v>
      </c>
      <c r="C881" s="871">
        <v>0.08</v>
      </c>
      <c r="D881" s="137" t="s">
        <v>636</v>
      </c>
      <c r="E881" s="699">
        <v>1550000</v>
      </c>
      <c r="F881" s="148">
        <v>0.06</v>
      </c>
      <c r="G881" s="335">
        <f t="shared" si="31"/>
        <v>93000</v>
      </c>
      <c r="H881" s="147" t="s">
        <v>286</v>
      </c>
      <c r="I881" s="147" t="s">
        <v>333</v>
      </c>
      <c r="J881" s="528"/>
      <c r="K881" s="9"/>
      <c r="L881" s="643"/>
      <c r="M881" s="261"/>
      <c r="N881" s="370"/>
      <c r="O881" s="14"/>
    </row>
    <row r="882" spans="1:15" ht="15" customHeight="1">
      <c r="A882" s="1552"/>
      <c r="B882" s="346">
        <v>12658</v>
      </c>
      <c r="C882" s="703">
        <v>0.1</v>
      </c>
      <c r="D882" s="137" t="s">
        <v>637</v>
      </c>
      <c r="E882" s="699">
        <v>700000</v>
      </c>
      <c r="F882" s="148">
        <v>0.05</v>
      </c>
      <c r="G882" s="335">
        <f t="shared" si="31"/>
        <v>35000</v>
      </c>
      <c r="H882" s="147" t="s">
        <v>30</v>
      </c>
      <c r="I882" s="147" t="s">
        <v>234</v>
      </c>
      <c r="J882" s="528"/>
      <c r="K882" s="9"/>
      <c r="L882" s="643"/>
      <c r="M882" s="261"/>
      <c r="N882" s="370"/>
      <c r="O882" s="14"/>
    </row>
    <row r="883" spans="1:15" ht="15.75">
      <c r="A883" s="1552"/>
      <c r="B883" s="362" t="s">
        <v>638</v>
      </c>
      <c r="C883" s="761"/>
      <c r="D883" s="762" t="s">
        <v>639</v>
      </c>
      <c r="E883" s="749"/>
      <c r="F883" s="285"/>
      <c r="G883" s="328"/>
      <c r="H883" s="289"/>
      <c r="I883" s="289"/>
      <c r="J883" s="831" t="s">
        <v>640</v>
      </c>
      <c r="K883" s="9"/>
      <c r="L883" s="643"/>
      <c r="M883" s="261" t="s">
        <v>80</v>
      </c>
      <c r="N883" s="370"/>
      <c r="O883" s="261">
        <f>SUM(O876:O882)</f>
        <v>70800</v>
      </c>
    </row>
    <row r="884" spans="1:15" ht="15.75">
      <c r="A884" s="1552"/>
      <c r="B884" s="512"/>
      <c r="C884" s="708"/>
      <c r="D884" s="759"/>
      <c r="E884" s="291"/>
      <c r="F884" s="290"/>
      <c r="G884" s="307"/>
      <c r="H884" s="73"/>
      <c r="I884" s="73"/>
      <c r="J884" s="616"/>
      <c r="K884" s="9"/>
      <c r="L884" s="17"/>
      <c r="M884" s="43"/>
      <c r="N884" s="370"/>
      <c r="O884" s="14"/>
    </row>
    <row r="885" spans="1:15" ht="21">
      <c r="A885" s="1542"/>
      <c r="B885" s="7"/>
      <c r="C885" s="7"/>
      <c r="D885" s="42"/>
      <c r="E885" s="854">
        <f>SUM(E876:E884)</f>
        <v>8500000</v>
      </c>
      <c r="F885" s="855"/>
      <c r="G885" s="856">
        <f>SUM(G876:G884)</f>
        <v>516000</v>
      </c>
      <c r="H885" s="42"/>
      <c r="I885" s="42"/>
      <c r="J885" s="42"/>
      <c r="K885" s="11"/>
      <c r="L885" s="11"/>
      <c r="M885" s="870" t="s">
        <v>80</v>
      </c>
      <c r="N885" s="858"/>
      <c r="O885" s="859">
        <f>G885+O883</f>
        <v>586800</v>
      </c>
    </row>
    <row r="889" spans="1:15" ht="23.25">
      <c r="A889" s="1548" t="s">
        <v>56</v>
      </c>
      <c r="B889" s="1532"/>
      <c r="C889" s="1532"/>
      <c r="D889" s="1532"/>
      <c r="E889" s="1532"/>
      <c r="F889" s="1532"/>
      <c r="G889" s="1532"/>
      <c r="H889" s="1532"/>
      <c r="I889" s="1532"/>
      <c r="J889" s="1549"/>
      <c r="K889" s="1558" t="s">
        <v>2</v>
      </c>
      <c r="L889" s="1559"/>
      <c r="M889" s="1559"/>
      <c r="N889" s="1559"/>
      <c r="O889" s="1560"/>
    </row>
    <row r="890" spans="1:15" ht="30">
      <c r="A890" s="3" t="s">
        <v>3</v>
      </c>
      <c r="B890" s="361" t="s">
        <v>120</v>
      </c>
      <c r="C890" s="367" t="s">
        <v>4</v>
      </c>
      <c r="D890" s="1" t="s">
        <v>5</v>
      </c>
      <c r="E890" s="1" t="s">
        <v>6</v>
      </c>
      <c r="F890" s="1" t="s">
        <v>7</v>
      </c>
      <c r="G890" s="1" t="s">
        <v>8</v>
      </c>
      <c r="H890" s="361" t="s">
        <v>9</v>
      </c>
      <c r="I890" s="1" t="s">
        <v>10</v>
      </c>
      <c r="J890" s="126" t="s">
        <v>11</v>
      </c>
      <c r="K890" s="3" t="s">
        <v>12</v>
      </c>
      <c r="L890" s="3" t="s">
        <v>5</v>
      </c>
      <c r="M890" s="3" t="s">
        <v>13</v>
      </c>
      <c r="N890" s="3" t="s">
        <v>7</v>
      </c>
      <c r="O890" s="3" t="s">
        <v>14</v>
      </c>
    </row>
    <row r="891" spans="1:15" ht="15.75" customHeight="1">
      <c r="A891" s="1556" t="s">
        <v>440</v>
      </c>
      <c r="B891" s="135">
        <v>12493</v>
      </c>
      <c r="C891" s="233">
        <v>0.1</v>
      </c>
      <c r="D891" s="136" t="s">
        <v>641</v>
      </c>
      <c r="E891" s="143">
        <v>1100000</v>
      </c>
      <c r="F891" s="138">
        <v>0.06</v>
      </c>
      <c r="G891" s="278">
        <f>E891*F891</f>
        <v>66000</v>
      </c>
      <c r="H891" s="135" t="s">
        <v>30</v>
      </c>
      <c r="I891" s="135" t="s">
        <v>333</v>
      </c>
      <c r="J891" s="136"/>
      <c r="K891" s="135">
        <v>12094</v>
      </c>
      <c r="L891" s="136" t="s">
        <v>642</v>
      </c>
      <c r="M891" s="828">
        <v>1600000</v>
      </c>
      <c r="N891" s="231">
        <v>0.05</v>
      </c>
      <c r="O891" s="673">
        <f>N891*M891</f>
        <v>80000</v>
      </c>
    </row>
    <row r="892" spans="1:15" ht="15.75" customHeight="1">
      <c r="A892" s="1552"/>
      <c r="B892" s="135">
        <v>12500</v>
      </c>
      <c r="C892" s="233">
        <v>0.1</v>
      </c>
      <c r="D892" s="136" t="s">
        <v>643</v>
      </c>
      <c r="E892" s="143">
        <v>700000</v>
      </c>
      <c r="F892" s="138">
        <v>0.1</v>
      </c>
      <c r="G892" s="278">
        <f t="shared" ref="G892:G899" si="32">E892*F892</f>
        <v>70000</v>
      </c>
      <c r="H892" s="135" t="s">
        <v>305</v>
      </c>
      <c r="I892" s="135" t="s">
        <v>234</v>
      </c>
      <c r="J892" s="136"/>
      <c r="K892" s="346">
        <v>12466</v>
      </c>
      <c r="L892" s="136" t="s">
        <v>630</v>
      </c>
      <c r="M892" s="828">
        <v>1400000</v>
      </c>
      <c r="N892" s="231">
        <v>0.05</v>
      </c>
      <c r="O892" s="673">
        <f>N892*M892</f>
        <v>70000</v>
      </c>
    </row>
    <row r="893" spans="1:15" ht="15.75" customHeight="1">
      <c r="A893" s="1552"/>
      <c r="B893" s="135">
        <v>12522</v>
      </c>
      <c r="C893" s="233">
        <v>0.1</v>
      </c>
      <c r="D893" s="136" t="s">
        <v>644</v>
      </c>
      <c r="E893" s="143">
        <v>1300000</v>
      </c>
      <c r="F893" s="138">
        <v>0.1</v>
      </c>
      <c r="G893" s="278">
        <f t="shared" si="32"/>
        <v>130000</v>
      </c>
      <c r="H893" s="135" t="s">
        <v>305</v>
      </c>
      <c r="I893" s="135" t="s">
        <v>234</v>
      </c>
      <c r="J893" s="136"/>
      <c r="K893" s="161"/>
      <c r="L893" s="270"/>
      <c r="M893" s="372"/>
      <c r="N893" s="319"/>
      <c r="O893" s="14"/>
    </row>
    <row r="894" spans="1:15" ht="15.75" customHeight="1">
      <c r="A894" s="1552"/>
      <c r="B894" s="135">
        <v>12528</v>
      </c>
      <c r="C894" s="233">
        <v>0.1</v>
      </c>
      <c r="D894" s="136" t="s">
        <v>645</v>
      </c>
      <c r="E894" s="143">
        <v>1300000</v>
      </c>
      <c r="F894" s="138">
        <v>0.1</v>
      </c>
      <c r="G894" s="278">
        <f t="shared" si="32"/>
        <v>130000</v>
      </c>
      <c r="H894" s="135" t="s">
        <v>305</v>
      </c>
      <c r="I894" s="135" t="s">
        <v>234</v>
      </c>
      <c r="J894" s="136"/>
      <c r="K894" s="161"/>
      <c r="L894" s="270"/>
      <c r="M894" s="372"/>
      <c r="N894" s="319"/>
      <c r="O894" s="14"/>
    </row>
    <row r="895" spans="1:15" ht="15.75" customHeight="1">
      <c r="A895" s="1552"/>
      <c r="B895" s="135">
        <v>12531</v>
      </c>
      <c r="C895" s="233">
        <v>0.1</v>
      </c>
      <c r="D895" s="136" t="s">
        <v>646</v>
      </c>
      <c r="E895" s="143">
        <v>1350000</v>
      </c>
      <c r="F895" s="138">
        <v>0.1</v>
      </c>
      <c r="G895" s="278">
        <f t="shared" si="32"/>
        <v>135000</v>
      </c>
      <c r="H895" s="135" t="s">
        <v>305</v>
      </c>
      <c r="I895" s="135" t="s">
        <v>234</v>
      </c>
      <c r="J895" s="136"/>
      <c r="K895" s="161"/>
      <c r="L895" s="270"/>
      <c r="M895" s="372"/>
      <c r="N895" s="319"/>
      <c r="O895" s="14"/>
    </row>
    <row r="896" spans="1:15" ht="15.75" customHeight="1">
      <c r="A896" s="1552"/>
      <c r="B896" s="135">
        <v>12554</v>
      </c>
      <c r="C896" s="233">
        <v>0.1</v>
      </c>
      <c r="D896" s="136" t="s">
        <v>647</v>
      </c>
      <c r="E896" s="143">
        <v>1350000</v>
      </c>
      <c r="F896" s="138">
        <v>0.1</v>
      </c>
      <c r="G896" s="278">
        <f t="shared" si="32"/>
        <v>135000</v>
      </c>
      <c r="H896" s="135" t="s">
        <v>305</v>
      </c>
      <c r="I896" s="135" t="s">
        <v>234</v>
      </c>
      <c r="J896" s="136"/>
      <c r="K896" s="161"/>
      <c r="L896" s="270"/>
      <c r="M896" s="372"/>
      <c r="N896" s="319"/>
      <c r="O896" s="14"/>
    </row>
    <row r="897" spans="1:15" ht="15.75" customHeight="1">
      <c r="A897" s="1552"/>
      <c r="B897" s="135">
        <v>12612</v>
      </c>
      <c r="C897" s="233">
        <v>0.1</v>
      </c>
      <c r="D897" s="137" t="s">
        <v>648</v>
      </c>
      <c r="E897" s="143">
        <v>870000</v>
      </c>
      <c r="F897" s="138">
        <v>0.05</v>
      </c>
      <c r="G897" s="278">
        <f t="shared" si="32"/>
        <v>43500</v>
      </c>
      <c r="H897" s="135" t="s">
        <v>520</v>
      </c>
      <c r="I897" s="135" t="s">
        <v>234</v>
      </c>
      <c r="J897" s="136"/>
      <c r="K897" s="161"/>
      <c r="L897" s="270"/>
      <c r="M897" s="372"/>
      <c r="N897" s="319"/>
      <c r="O897" s="14"/>
    </row>
    <row r="898" spans="1:15" ht="15.75" customHeight="1">
      <c r="A898" s="1552"/>
      <c r="B898" s="135">
        <v>12647</v>
      </c>
      <c r="C898" s="233">
        <v>0.1</v>
      </c>
      <c r="D898" s="137" t="s">
        <v>649</v>
      </c>
      <c r="E898" s="143">
        <v>1100000</v>
      </c>
      <c r="F898" s="138">
        <v>0.1</v>
      </c>
      <c r="G898" s="278">
        <f t="shared" si="32"/>
        <v>110000</v>
      </c>
      <c r="H898" s="135" t="s">
        <v>305</v>
      </c>
      <c r="I898" s="135" t="s">
        <v>234</v>
      </c>
      <c r="J898" s="136"/>
      <c r="K898" s="161"/>
      <c r="L898" s="270"/>
      <c r="M898" s="372"/>
      <c r="N898" s="319"/>
      <c r="O898" s="14"/>
    </row>
    <row r="899" spans="1:15" ht="15.75" customHeight="1">
      <c r="A899" s="1552"/>
      <c r="B899" s="135">
        <v>12667</v>
      </c>
      <c r="C899" s="233">
        <v>0.1</v>
      </c>
      <c r="D899" s="136" t="s">
        <v>650</v>
      </c>
      <c r="E899" s="143">
        <v>1000000</v>
      </c>
      <c r="F899" s="138">
        <v>0.1</v>
      </c>
      <c r="G899" s="278">
        <f t="shared" si="32"/>
        <v>100000</v>
      </c>
      <c r="H899" s="135" t="s">
        <v>305</v>
      </c>
      <c r="I899" s="135" t="s">
        <v>242</v>
      </c>
      <c r="J899" s="136"/>
      <c r="K899" s="161"/>
      <c r="L899" s="270"/>
      <c r="M899" s="372"/>
      <c r="N899" s="319"/>
      <c r="O899" s="14"/>
    </row>
    <row r="900" spans="1:15" ht="15.75" customHeight="1">
      <c r="A900" s="1552"/>
      <c r="B900" s="211" t="s">
        <v>638</v>
      </c>
      <c r="C900" s="267"/>
      <c r="D900" s="277" t="s">
        <v>651</v>
      </c>
      <c r="E900" s="308"/>
      <c r="F900" s="220"/>
      <c r="G900" s="268"/>
      <c r="H900" s="211"/>
      <c r="I900" s="211" t="s">
        <v>242</v>
      </c>
      <c r="J900" s="277" t="s">
        <v>652</v>
      </c>
      <c r="K900" s="161"/>
      <c r="L900" s="270"/>
      <c r="M900" s="372"/>
      <c r="N900" s="319"/>
      <c r="O900" s="14"/>
    </row>
    <row r="901" spans="1:15" ht="15.75" customHeight="1">
      <c r="A901" s="1552"/>
      <c r="B901" s="211" t="s">
        <v>245</v>
      </c>
      <c r="C901" s="267"/>
      <c r="D901" s="277" t="s">
        <v>653</v>
      </c>
      <c r="E901" s="308"/>
      <c r="F901" s="220"/>
      <c r="G901" s="268"/>
      <c r="H901" s="211"/>
      <c r="I901" s="211" t="s">
        <v>242</v>
      </c>
      <c r="J901" s="277" t="s">
        <v>654</v>
      </c>
      <c r="K901" s="161"/>
      <c r="L901" s="270"/>
      <c r="M901" s="372"/>
      <c r="N901" s="319"/>
      <c r="O901" s="14"/>
    </row>
    <row r="902" spans="1:15" ht="15.75" customHeight="1">
      <c r="A902" s="1552"/>
      <c r="B902" s="211" t="s">
        <v>245</v>
      </c>
      <c r="C902" s="267"/>
      <c r="D902" s="277" t="s">
        <v>655</v>
      </c>
      <c r="E902" s="308"/>
      <c r="F902" s="220"/>
      <c r="G902" s="268"/>
      <c r="H902" s="211"/>
      <c r="I902" s="211" t="s">
        <v>234</v>
      </c>
      <c r="J902" s="277" t="s">
        <v>656</v>
      </c>
      <c r="K902" s="161"/>
      <c r="L902" s="270"/>
      <c r="M902" s="372"/>
      <c r="N902" s="319"/>
      <c r="O902" s="14"/>
    </row>
    <row r="903" spans="1:15" ht="27" customHeight="1">
      <c r="A903" s="1552"/>
      <c r="B903" s="211" t="s">
        <v>638</v>
      </c>
      <c r="C903" s="267"/>
      <c r="D903" s="277" t="s">
        <v>657</v>
      </c>
      <c r="E903" s="308"/>
      <c r="F903" s="220"/>
      <c r="G903" s="268"/>
      <c r="H903" s="211"/>
      <c r="I903" s="211" t="s">
        <v>333</v>
      </c>
      <c r="J903" s="825" t="s">
        <v>658</v>
      </c>
      <c r="K903" s="161"/>
      <c r="L903" s="270"/>
      <c r="M903" s="372"/>
      <c r="N903" s="319"/>
      <c r="O903" s="14"/>
    </row>
    <row r="904" spans="1:15" ht="15.75" customHeight="1">
      <c r="A904" s="1552"/>
      <c r="B904" s="211" t="s">
        <v>245</v>
      </c>
      <c r="C904" s="267"/>
      <c r="D904" s="277" t="s">
        <v>659</v>
      </c>
      <c r="E904" s="308"/>
      <c r="F904" s="220"/>
      <c r="G904" s="268"/>
      <c r="H904" s="211"/>
      <c r="I904" s="211" t="s">
        <v>234</v>
      </c>
      <c r="J904" s="277" t="s">
        <v>660</v>
      </c>
      <c r="K904" s="161"/>
      <c r="L904" s="270"/>
      <c r="M904" s="372"/>
      <c r="N904" s="319"/>
      <c r="O904" s="14"/>
    </row>
    <row r="905" spans="1:15" ht="18" customHeight="1">
      <c r="A905" s="1552"/>
      <c r="B905" s="211" t="s">
        <v>245</v>
      </c>
      <c r="C905" s="267"/>
      <c r="D905" s="225" t="s">
        <v>661</v>
      </c>
      <c r="E905" s="308"/>
      <c r="F905" s="220"/>
      <c r="G905" s="268"/>
      <c r="H905" s="211"/>
      <c r="I905" s="211"/>
      <c r="J905" s="277" t="s">
        <v>627</v>
      </c>
      <c r="K905" s="161"/>
      <c r="L905" s="270"/>
      <c r="M905" s="861" t="s">
        <v>80</v>
      </c>
      <c r="N905" s="862"/>
      <c r="O905" s="849">
        <f>SUM(O891:O892)</f>
        <v>150000</v>
      </c>
    </row>
    <row r="906" spans="1:15" ht="15.75" customHeight="1">
      <c r="A906" s="1552"/>
      <c r="B906" s="163"/>
      <c r="C906" s="318"/>
      <c r="D906" s="262"/>
      <c r="E906" s="261"/>
      <c r="F906" s="162"/>
      <c r="G906" s="286"/>
      <c r="H906" s="163"/>
      <c r="I906" s="163"/>
      <c r="J906" s="262"/>
      <c r="K906" s="161"/>
      <c r="L906" s="270"/>
      <c r="M906" s="372"/>
      <c r="N906" s="319"/>
      <c r="O906" s="14"/>
    </row>
    <row r="907" spans="1:15" ht="20.25" customHeight="1">
      <c r="A907" s="1542"/>
      <c r="B907" s="213"/>
      <c r="C907" s="213"/>
      <c r="D907" s="223"/>
      <c r="E907" s="854">
        <f>SUM(E891:E906)</f>
        <v>10070000</v>
      </c>
      <c r="F907" s="860"/>
      <c r="G907" s="856">
        <f>SUM(G891:G906)</f>
        <v>919500</v>
      </c>
      <c r="H907" s="223"/>
      <c r="I907" s="223"/>
      <c r="J907" s="223"/>
      <c r="K907" s="275"/>
      <c r="L907" s="275"/>
      <c r="M907" s="863" t="s">
        <v>80</v>
      </c>
      <c r="N907" s="864"/>
      <c r="O907" s="859">
        <f>G907+O905</f>
        <v>1069500</v>
      </c>
    </row>
    <row r="910" spans="1:15" ht="23.25">
      <c r="A910" s="1530" t="s">
        <v>465</v>
      </c>
      <c r="B910" s="1532"/>
      <c r="C910" s="1532"/>
      <c r="D910" s="1532"/>
      <c r="E910" s="1532"/>
      <c r="F910" s="1532"/>
      <c r="G910" s="1532"/>
      <c r="H910" s="1532"/>
      <c r="I910" s="1532"/>
      <c r="J910" s="1549"/>
      <c r="K910" s="1558" t="s">
        <v>2</v>
      </c>
      <c r="L910" s="1559"/>
      <c r="M910" s="1559"/>
      <c r="N910" s="1559"/>
      <c r="O910" s="1560"/>
    </row>
    <row r="911" spans="1:15" ht="30">
      <c r="A911" s="126" t="s">
        <v>3</v>
      </c>
      <c r="B911" s="1" t="s">
        <v>120</v>
      </c>
      <c r="C911" s="367" t="s">
        <v>4</v>
      </c>
      <c r="D911" s="1" t="s">
        <v>5</v>
      </c>
      <c r="E911" s="1" t="s">
        <v>6</v>
      </c>
      <c r="F911" s="1" t="s">
        <v>7</v>
      </c>
      <c r="G911" s="1" t="s">
        <v>8</v>
      </c>
      <c r="H911" s="361" t="s">
        <v>9</v>
      </c>
      <c r="I911" s="1" t="s">
        <v>10</v>
      </c>
      <c r="J911" s="126" t="s">
        <v>11</v>
      </c>
      <c r="K911" s="3" t="s">
        <v>12</v>
      </c>
      <c r="L911" s="3" t="s">
        <v>5</v>
      </c>
      <c r="M911" s="3" t="s">
        <v>13</v>
      </c>
      <c r="N911" s="3" t="s">
        <v>7</v>
      </c>
      <c r="O911" s="3" t="s">
        <v>14</v>
      </c>
    </row>
    <row r="912" spans="1:15" ht="15.75" customHeight="1">
      <c r="A912" s="1574" t="s">
        <v>363</v>
      </c>
      <c r="B912" s="741">
        <v>12448</v>
      </c>
      <c r="C912" s="478">
        <v>0.1</v>
      </c>
      <c r="D912" s="136" t="s">
        <v>601</v>
      </c>
      <c r="E912" s="139">
        <v>1400000</v>
      </c>
      <c r="F912" s="779">
        <v>0.05</v>
      </c>
      <c r="G912" s="619">
        <f>E912*F912</f>
        <v>70000</v>
      </c>
      <c r="H912" s="741" t="s">
        <v>288</v>
      </c>
      <c r="I912" s="741" t="s">
        <v>234</v>
      </c>
      <c r="J912" s="137"/>
      <c r="K912" s="135">
        <v>12477</v>
      </c>
      <c r="L912" s="136" t="s">
        <v>609</v>
      </c>
      <c r="M912" s="828">
        <v>1600000</v>
      </c>
      <c r="N912" s="231">
        <v>0.05</v>
      </c>
      <c r="O912" s="673">
        <f>M912*N912</f>
        <v>80000</v>
      </c>
    </row>
    <row r="913" spans="1:15" ht="15.75" customHeight="1">
      <c r="A913" s="1574"/>
      <c r="B913" s="741">
        <v>12499</v>
      </c>
      <c r="C913" s="138">
        <v>0.1</v>
      </c>
      <c r="D913" s="137" t="s">
        <v>662</v>
      </c>
      <c r="E913" s="139">
        <v>1000000</v>
      </c>
      <c r="F913" s="779">
        <v>0.1</v>
      </c>
      <c r="G913" s="619">
        <f t="shared" ref="G913:G916" si="33">E913*F913</f>
        <v>100000</v>
      </c>
      <c r="H913" s="741" t="s">
        <v>520</v>
      </c>
      <c r="I913" s="741" t="s">
        <v>234</v>
      </c>
      <c r="J913" s="137"/>
      <c r="K913" s="135">
        <v>12564</v>
      </c>
      <c r="L913" s="137" t="s">
        <v>614</v>
      </c>
      <c r="M913" s="828">
        <v>1400000</v>
      </c>
      <c r="N913" s="231">
        <v>0.05</v>
      </c>
      <c r="O913" s="673">
        <f t="shared" ref="O913:O915" si="34">M913*N913</f>
        <v>70000</v>
      </c>
    </row>
    <row r="914" spans="1:15" ht="15.75" customHeight="1">
      <c r="A914" s="1574"/>
      <c r="B914" s="741">
        <v>12550</v>
      </c>
      <c r="C914" s="138">
        <v>0.1</v>
      </c>
      <c r="D914" s="137" t="s">
        <v>603</v>
      </c>
      <c r="E914" s="139">
        <v>1400000</v>
      </c>
      <c r="F914" s="779">
        <v>0.05</v>
      </c>
      <c r="G914" s="619">
        <f t="shared" si="33"/>
        <v>70000</v>
      </c>
      <c r="H914" s="741" t="s">
        <v>288</v>
      </c>
      <c r="I914" s="741" t="s">
        <v>234</v>
      </c>
      <c r="J914" s="137"/>
      <c r="K914" s="346">
        <v>12596</v>
      </c>
      <c r="L914" s="137" t="s">
        <v>635</v>
      </c>
      <c r="M914" s="828">
        <v>1400000</v>
      </c>
      <c r="N914" s="231">
        <v>0.05</v>
      </c>
      <c r="O914" s="673">
        <f t="shared" si="34"/>
        <v>70000</v>
      </c>
    </row>
    <row r="915" spans="1:15" ht="15.75" customHeight="1">
      <c r="A915" s="1574"/>
      <c r="B915" s="741">
        <v>12625</v>
      </c>
      <c r="C915" s="138">
        <v>0.1</v>
      </c>
      <c r="D915" s="137" t="s">
        <v>663</v>
      </c>
      <c r="E915" s="139">
        <v>1450000</v>
      </c>
      <c r="F915" s="779">
        <v>0.06</v>
      </c>
      <c r="G915" s="619">
        <f t="shared" si="33"/>
        <v>87000</v>
      </c>
      <c r="H915" s="741" t="s">
        <v>30</v>
      </c>
      <c r="I915" s="741" t="s">
        <v>100</v>
      </c>
      <c r="J915" s="137"/>
      <c r="K915" s="135">
        <v>12612</v>
      </c>
      <c r="L915" s="137" t="s">
        <v>648</v>
      </c>
      <c r="M915" s="828">
        <v>870000</v>
      </c>
      <c r="N915" s="231">
        <v>0.05</v>
      </c>
      <c r="O915" s="673">
        <f t="shared" si="34"/>
        <v>43500</v>
      </c>
    </row>
    <row r="916" spans="1:15" ht="15.75" customHeight="1">
      <c r="A916" s="1574"/>
      <c r="B916" s="135">
        <v>12675</v>
      </c>
      <c r="C916" s="138">
        <v>0.1</v>
      </c>
      <c r="D916" s="137" t="s">
        <v>664</v>
      </c>
      <c r="E916" s="139">
        <v>870000</v>
      </c>
      <c r="F916" s="138">
        <v>0.05</v>
      </c>
      <c r="G916" s="619">
        <f t="shared" si="33"/>
        <v>43500</v>
      </c>
      <c r="H916" s="741" t="s">
        <v>286</v>
      </c>
      <c r="I916" s="741" t="s">
        <v>234</v>
      </c>
      <c r="J916" s="137"/>
      <c r="K916" s="14"/>
      <c r="L916" s="14"/>
      <c r="M916" s="14"/>
      <c r="N916" s="14"/>
      <c r="O916" s="14"/>
    </row>
    <row r="917" spans="1:15" ht="27" customHeight="1">
      <c r="A917" s="1574"/>
      <c r="B917" s="219" t="s">
        <v>245</v>
      </c>
      <c r="C917" s="220"/>
      <c r="D917" s="225" t="s">
        <v>665</v>
      </c>
      <c r="E917" s="221"/>
      <c r="F917" s="225"/>
      <c r="G917" s="219"/>
      <c r="H917" s="219"/>
      <c r="I917" s="219" t="s">
        <v>100</v>
      </c>
      <c r="J917" s="832" t="s">
        <v>666</v>
      </c>
      <c r="K917" s="14"/>
      <c r="L917" s="14"/>
      <c r="M917" s="14"/>
      <c r="N917" s="14"/>
      <c r="O917" s="14"/>
    </row>
    <row r="918" spans="1:15" ht="15.75" customHeight="1">
      <c r="A918" s="1574"/>
      <c r="B918" s="219" t="s">
        <v>245</v>
      </c>
      <c r="C918" s="220"/>
      <c r="D918" s="225" t="s">
        <v>667</v>
      </c>
      <c r="E918" s="221"/>
      <c r="F918" s="225"/>
      <c r="G918" s="219"/>
      <c r="H918" s="219"/>
      <c r="I918" s="219" t="s">
        <v>242</v>
      </c>
      <c r="J918" s="225" t="s">
        <v>668</v>
      </c>
      <c r="K918" s="14"/>
      <c r="L918" s="14"/>
      <c r="M918" s="14"/>
      <c r="N918" s="14"/>
      <c r="O918" s="14"/>
    </row>
    <row r="919" spans="1:15" ht="15.75" customHeight="1">
      <c r="A919" s="1574"/>
      <c r="B919" s="219" t="s">
        <v>245</v>
      </c>
      <c r="C919" s="220"/>
      <c r="D919" s="277" t="s">
        <v>669</v>
      </c>
      <c r="E919" s="221"/>
      <c r="F919" s="225"/>
      <c r="G919" s="219"/>
      <c r="H919" s="219"/>
      <c r="I919" s="219" t="s">
        <v>234</v>
      </c>
      <c r="J919" s="225" t="s">
        <v>668</v>
      </c>
      <c r="K919" s="14"/>
      <c r="L919" s="14"/>
      <c r="M919" s="663" t="s">
        <v>80</v>
      </c>
      <c r="N919" s="663"/>
      <c r="O919" s="674">
        <f>SUM(O912:O918)</f>
        <v>263500</v>
      </c>
    </row>
    <row r="920" spans="1:15" ht="15.75" customHeight="1">
      <c r="A920" s="1574"/>
      <c r="B920" s="157"/>
      <c r="C920" s="510"/>
      <c r="D920" s="156"/>
      <c r="E920" s="154"/>
      <c r="F920" s="156"/>
      <c r="G920" s="157"/>
      <c r="H920" s="157"/>
      <c r="I920" s="157"/>
      <c r="J920" s="156"/>
      <c r="K920" s="14"/>
      <c r="L920" s="14"/>
      <c r="M920" s="14"/>
      <c r="N920" s="14"/>
      <c r="O920" s="14"/>
    </row>
    <row r="921" spans="1:15" ht="21.75" customHeight="1">
      <c r="A921" s="1575"/>
      <c r="B921" s="71"/>
      <c r="C921" s="71"/>
      <c r="D921" s="14"/>
      <c r="E921" s="851">
        <f>SUM(E912:E920)</f>
        <v>6120000</v>
      </c>
      <c r="F921" s="14"/>
      <c r="G921" s="851">
        <f>SUM(G912:G916)</f>
        <v>370500</v>
      </c>
      <c r="H921" s="14"/>
      <c r="I921" s="14"/>
      <c r="J921" s="14"/>
      <c r="K921" s="14"/>
      <c r="L921" s="14"/>
      <c r="M921" s="852" t="s">
        <v>80</v>
      </c>
      <c r="N921" s="852"/>
      <c r="O921" s="853">
        <f>G921+O919</f>
        <v>634000</v>
      </c>
    </row>
    <row r="924" spans="1:15" ht="23.25">
      <c r="A924" s="1530" t="s">
        <v>274</v>
      </c>
      <c r="B924" s="1531"/>
      <c r="C924" s="1532"/>
      <c r="D924" s="1531"/>
      <c r="E924" s="1531"/>
      <c r="F924" s="1531"/>
      <c r="G924" s="1531"/>
      <c r="H924" s="1532"/>
      <c r="I924" s="1532"/>
      <c r="J924" s="1532"/>
      <c r="K924" s="1571" t="s">
        <v>2</v>
      </c>
      <c r="L924" s="1572"/>
      <c r="M924" s="1572"/>
      <c r="N924" s="1572"/>
      <c r="O924" s="1572"/>
    </row>
    <row r="925" spans="1:15" ht="30">
      <c r="A925" s="126" t="s">
        <v>3</v>
      </c>
      <c r="B925" s="1" t="s">
        <v>120</v>
      </c>
      <c r="C925" s="367" t="s">
        <v>4</v>
      </c>
      <c r="D925" s="1" t="s">
        <v>5</v>
      </c>
      <c r="E925" s="1" t="s">
        <v>6</v>
      </c>
      <c r="F925" s="1" t="s">
        <v>7</v>
      </c>
      <c r="G925" s="1" t="s">
        <v>8</v>
      </c>
      <c r="H925" s="361" t="s">
        <v>9</v>
      </c>
      <c r="I925" s="1" t="s">
        <v>10</v>
      </c>
      <c r="J925" s="126" t="s">
        <v>11</v>
      </c>
      <c r="K925" s="1" t="s">
        <v>12</v>
      </c>
      <c r="L925" s="1" t="s">
        <v>5</v>
      </c>
      <c r="M925" s="1" t="s">
        <v>13</v>
      </c>
      <c r="N925" s="1" t="s">
        <v>7</v>
      </c>
      <c r="O925" s="3" t="s">
        <v>14</v>
      </c>
    </row>
    <row r="926" spans="1:15" ht="15.75">
      <c r="A926" s="1553"/>
      <c r="B926" s="163"/>
      <c r="C926" s="318"/>
      <c r="D926" s="262"/>
      <c r="E926" s="261"/>
      <c r="F926" s="592"/>
      <c r="G926" s="288"/>
      <c r="H926" s="163"/>
      <c r="I926" s="163"/>
      <c r="J926" s="262"/>
      <c r="K926" s="135">
        <v>12463</v>
      </c>
      <c r="L926" s="136" t="s">
        <v>607</v>
      </c>
      <c r="M926" s="143">
        <v>900000</v>
      </c>
      <c r="N926" s="543"/>
      <c r="O926" s="535"/>
    </row>
    <row r="927" spans="1:15" ht="15.75">
      <c r="A927" s="1552"/>
      <c r="B927" s="205"/>
      <c r="C927" s="508"/>
      <c r="D927" s="287"/>
      <c r="E927" s="509"/>
      <c r="F927" s="510"/>
      <c r="G927" s="511"/>
      <c r="H927" s="205"/>
      <c r="I927" s="205"/>
      <c r="J927" s="287"/>
      <c r="K927" s="135">
        <v>12523</v>
      </c>
      <c r="L927" s="137" t="s">
        <v>611</v>
      </c>
      <c r="M927" s="143">
        <v>850000</v>
      </c>
      <c r="N927" s="544"/>
      <c r="O927" s="278"/>
    </row>
    <row r="928" spans="1:15" ht="15.75">
      <c r="A928" s="1552"/>
      <c r="B928" s="523"/>
      <c r="C928" s="524"/>
      <c r="D928" s="525"/>
      <c r="E928" s="526"/>
      <c r="F928" s="527"/>
      <c r="G928" s="522"/>
      <c r="H928" s="523"/>
      <c r="I928" s="523"/>
      <c r="J928" s="262"/>
      <c r="K928" s="135">
        <v>12537</v>
      </c>
      <c r="L928" s="137" t="s">
        <v>670</v>
      </c>
      <c r="M928" s="143">
        <v>1500000</v>
      </c>
      <c r="N928" s="544"/>
      <c r="O928" s="545"/>
    </row>
    <row r="929" spans="1:15" ht="15.75">
      <c r="A929" s="1552"/>
      <c r="B929" s="364"/>
      <c r="C929" s="316"/>
      <c r="D929" s="270"/>
      <c r="E929" s="295"/>
      <c r="F929" s="159"/>
      <c r="G929" s="288"/>
      <c r="H929" s="161"/>
      <c r="I929" s="161"/>
      <c r="J929" s="262"/>
      <c r="K929" s="135">
        <v>12493</v>
      </c>
      <c r="L929" s="136" t="s">
        <v>641</v>
      </c>
      <c r="M929" s="143">
        <v>1100000</v>
      </c>
      <c r="N929" s="544"/>
      <c r="O929" s="545"/>
    </row>
    <row r="930" spans="1:15" ht="15.75">
      <c r="A930" s="1552"/>
      <c r="B930" s="368"/>
      <c r="C930" s="316"/>
      <c r="D930" s="270"/>
      <c r="E930" s="295"/>
      <c r="F930" s="159"/>
      <c r="G930" s="288"/>
      <c r="H930" s="161"/>
      <c r="I930" s="161"/>
      <c r="J930" s="368"/>
      <c r="K930" s="163"/>
      <c r="L930" s="262"/>
      <c r="M930" s="261"/>
      <c r="N930" s="319"/>
      <c r="O930" s="31"/>
    </row>
    <row r="931" spans="1:15" ht="18">
      <c r="A931" s="1542"/>
      <c r="B931" s="215"/>
      <c r="C931" s="215"/>
      <c r="D931" s="214"/>
      <c r="E931" s="332">
        <f>SUM(E926:E930)</f>
        <v>0</v>
      </c>
      <c r="F931" s="214"/>
      <c r="G931" s="281">
        <f>SUM(G926:G930)</f>
        <v>0</v>
      </c>
      <c r="H931" s="214"/>
      <c r="I931" s="214"/>
      <c r="J931" s="214"/>
      <c r="K931" s="275"/>
      <c r="L931" s="275"/>
      <c r="M931" s="628">
        <f>SUM(M926:M930)</f>
        <v>4350000</v>
      </c>
      <c r="N931" s="304"/>
      <c r="O931" s="14"/>
    </row>
    <row r="935" spans="1:15" ht="18">
      <c r="A935" s="1535" t="s">
        <v>68</v>
      </c>
      <c r="B935" s="1535"/>
      <c r="C935" s="365"/>
      <c r="D935" s="341">
        <f>E871+E885+E907+E921+E931</f>
        <v>41740000</v>
      </c>
    </row>
    <row r="936" spans="1:15">
      <c r="A936" s="1536" t="s">
        <v>69</v>
      </c>
      <c r="B936" s="1536"/>
      <c r="C936" s="22"/>
      <c r="D936" s="20"/>
    </row>
    <row r="937" spans="1:15" ht="15.75">
      <c r="A937" s="1537" t="s">
        <v>70</v>
      </c>
      <c r="B937" s="1537"/>
      <c r="C937" s="101"/>
      <c r="D937" s="801">
        <v>20480000</v>
      </c>
    </row>
    <row r="942" spans="1:15" ht="31.5">
      <c r="A942" s="1561" t="s">
        <v>671</v>
      </c>
      <c r="B942" s="1562"/>
      <c r="C942" s="1562"/>
      <c r="D942" s="1562"/>
      <c r="E942" s="1562"/>
      <c r="F942" s="1562"/>
      <c r="G942" s="1562"/>
      <c r="H942" s="1562"/>
      <c r="I942" s="1562"/>
      <c r="J942" s="1562"/>
      <c r="K942" s="1562"/>
      <c r="L942" s="1562"/>
      <c r="M942" s="1562"/>
      <c r="N942" s="1562"/>
      <c r="O942" s="1562"/>
    </row>
    <row r="943" spans="1:15" ht="23.25">
      <c r="A943" s="1548" t="s">
        <v>1</v>
      </c>
      <c r="B943" s="1532"/>
      <c r="C943" s="1532"/>
      <c r="D943" s="1531"/>
      <c r="E943" s="1532"/>
      <c r="F943" s="1532"/>
      <c r="G943" s="1532"/>
      <c r="H943" s="1532"/>
      <c r="I943" s="1532"/>
      <c r="J943" s="1532"/>
      <c r="K943" s="1533" t="s">
        <v>2</v>
      </c>
      <c r="L943" s="1533"/>
      <c r="M943" s="1533"/>
      <c r="N943" s="1533"/>
      <c r="O943" s="1533"/>
    </row>
    <row r="944" spans="1:15" ht="30">
      <c r="A944" s="3" t="s">
        <v>3</v>
      </c>
      <c r="B944" s="361" t="s">
        <v>120</v>
      </c>
      <c r="C944" s="360" t="s">
        <v>4</v>
      </c>
      <c r="D944" s="3" t="s">
        <v>5</v>
      </c>
      <c r="E944" s="361" t="s">
        <v>6</v>
      </c>
      <c r="F944" s="1" t="s">
        <v>7</v>
      </c>
      <c r="G944" s="1" t="s">
        <v>8</v>
      </c>
      <c r="H944" s="1" t="s">
        <v>9</v>
      </c>
      <c r="I944" s="1" t="s">
        <v>10</v>
      </c>
      <c r="J944" s="3" t="s">
        <v>11</v>
      </c>
      <c r="K944" s="40" t="s">
        <v>12</v>
      </c>
      <c r="L944" s="40" t="s">
        <v>5</v>
      </c>
      <c r="M944" s="40" t="s">
        <v>13</v>
      </c>
      <c r="N944" s="129" t="s">
        <v>7</v>
      </c>
      <c r="O944" s="68" t="s">
        <v>14</v>
      </c>
    </row>
    <row r="945" spans="1:15" ht="15.75">
      <c r="A945" s="1552" t="s">
        <v>440</v>
      </c>
      <c r="B945" s="135">
        <v>12699</v>
      </c>
      <c r="C945" s="233">
        <v>0.1</v>
      </c>
      <c r="D945" s="136" t="s">
        <v>672</v>
      </c>
      <c r="E945" s="143">
        <v>1500000</v>
      </c>
      <c r="F945" s="478">
        <v>0.1</v>
      </c>
      <c r="G945" s="278">
        <f>E945*F945</f>
        <v>150000</v>
      </c>
      <c r="H945" s="144" t="s">
        <v>180</v>
      </c>
      <c r="I945" s="135" t="s">
        <v>128</v>
      </c>
      <c r="J945" s="746"/>
      <c r="K945" s="677">
        <v>12712</v>
      </c>
      <c r="L945" s="136" t="s">
        <v>673</v>
      </c>
      <c r="M945" s="143">
        <v>900000</v>
      </c>
      <c r="N945" s="534">
        <v>0.05</v>
      </c>
      <c r="O945" s="678">
        <f>M945*N945</f>
        <v>45000</v>
      </c>
    </row>
    <row r="946" spans="1:15" ht="15.75">
      <c r="A946" s="1552"/>
      <c r="B946" s="135">
        <v>12710</v>
      </c>
      <c r="C946" s="233">
        <v>0.1</v>
      </c>
      <c r="D946" s="136" t="s">
        <v>674</v>
      </c>
      <c r="E946" s="143">
        <v>1250000</v>
      </c>
      <c r="F946" s="478">
        <v>0.05</v>
      </c>
      <c r="G946" s="278">
        <f t="shared" ref="G946:G960" si="35">E946*F946</f>
        <v>62500</v>
      </c>
      <c r="H946" s="144" t="s">
        <v>520</v>
      </c>
      <c r="I946" s="135" t="s">
        <v>333</v>
      </c>
      <c r="J946" s="746"/>
      <c r="K946" s="135">
        <v>12858</v>
      </c>
      <c r="L946" s="661" t="s">
        <v>675</v>
      </c>
      <c r="M946" s="143">
        <v>1200000</v>
      </c>
      <c r="N946" s="534">
        <v>0.05</v>
      </c>
      <c r="O946" s="678">
        <f>M946*N946</f>
        <v>60000</v>
      </c>
    </row>
    <row r="947" spans="1:15" ht="15.75">
      <c r="A947" s="1552"/>
      <c r="B947" s="135">
        <v>12746</v>
      </c>
      <c r="C947" s="233">
        <v>0.1</v>
      </c>
      <c r="D947" s="136" t="s">
        <v>676</v>
      </c>
      <c r="E947" s="143">
        <v>1450000</v>
      </c>
      <c r="F947" s="478">
        <v>0.1</v>
      </c>
      <c r="G947" s="278">
        <f t="shared" si="35"/>
        <v>145000</v>
      </c>
      <c r="H947" s="144" t="s">
        <v>180</v>
      </c>
      <c r="I947" s="135" t="s">
        <v>333</v>
      </c>
      <c r="J947" s="746"/>
      <c r="K947" s="175"/>
      <c r="L947" s="262"/>
      <c r="M947" s="261"/>
      <c r="N947" s="842"/>
      <c r="O947" s="550"/>
    </row>
    <row r="948" spans="1:15" ht="15.75">
      <c r="A948" s="1552"/>
      <c r="B948" s="135">
        <v>12745</v>
      </c>
      <c r="C948" s="233">
        <v>0.1</v>
      </c>
      <c r="D948" s="136" t="s">
        <v>677</v>
      </c>
      <c r="E948" s="143">
        <v>1100000</v>
      </c>
      <c r="F948" s="478">
        <v>0.06</v>
      </c>
      <c r="G948" s="278">
        <f t="shared" si="35"/>
        <v>66000</v>
      </c>
      <c r="H948" s="144" t="s">
        <v>30</v>
      </c>
      <c r="I948" s="135" t="s">
        <v>242</v>
      </c>
      <c r="J948" s="746"/>
      <c r="K948" s="175"/>
      <c r="L948" s="262"/>
      <c r="M948" s="261"/>
      <c r="N948" s="842"/>
      <c r="O948" s="550"/>
    </row>
    <row r="949" spans="1:15" ht="15.75">
      <c r="A949" s="1552"/>
      <c r="B949" s="135">
        <v>12774</v>
      </c>
      <c r="C949" s="233">
        <v>0.1</v>
      </c>
      <c r="D949" s="136" t="s">
        <v>678</v>
      </c>
      <c r="E949" s="143">
        <v>1400000</v>
      </c>
      <c r="F949" s="478">
        <v>0.05</v>
      </c>
      <c r="G949" s="278">
        <f t="shared" si="35"/>
        <v>70000</v>
      </c>
      <c r="H949" s="144" t="s">
        <v>286</v>
      </c>
      <c r="I949" s="135" t="s">
        <v>128</v>
      </c>
      <c r="J949" s="746"/>
      <c r="K949" s="175"/>
      <c r="L949" s="262"/>
      <c r="M949" s="261"/>
      <c r="N949" s="842"/>
      <c r="O949" s="550"/>
    </row>
    <row r="950" spans="1:15" ht="15.75">
      <c r="A950" s="1552"/>
      <c r="B950" s="135">
        <v>12785</v>
      </c>
      <c r="C950" s="233">
        <v>0.1</v>
      </c>
      <c r="D950" s="136" t="s">
        <v>679</v>
      </c>
      <c r="E950" s="143">
        <v>750000</v>
      </c>
      <c r="F950" s="478">
        <v>0.06</v>
      </c>
      <c r="G950" s="278">
        <f t="shared" si="35"/>
        <v>45000</v>
      </c>
      <c r="H950" s="144" t="s">
        <v>30</v>
      </c>
      <c r="I950" s="135" t="s">
        <v>333</v>
      </c>
      <c r="J950" s="746"/>
      <c r="K950" s="175"/>
      <c r="L950" s="262"/>
      <c r="M950" s="261"/>
      <c r="N950" s="842"/>
      <c r="O950" s="550"/>
    </row>
    <row r="951" spans="1:15" ht="15.75">
      <c r="A951" s="1552"/>
      <c r="B951" s="135">
        <v>12797</v>
      </c>
      <c r="C951" s="331">
        <v>0.08</v>
      </c>
      <c r="D951" s="136" t="s">
        <v>680</v>
      </c>
      <c r="E951" s="143">
        <v>1550000</v>
      </c>
      <c r="F951" s="478">
        <v>0.08</v>
      </c>
      <c r="G951" s="278">
        <f t="shared" si="35"/>
        <v>124000</v>
      </c>
      <c r="H951" s="144" t="s">
        <v>180</v>
      </c>
      <c r="I951" s="135" t="s">
        <v>242</v>
      </c>
      <c r="J951" s="746"/>
      <c r="K951" s="175"/>
      <c r="L951" s="262"/>
      <c r="M951" s="261"/>
      <c r="N951" s="842"/>
      <c r="O951" s="550"/>
    </row>
    <row r="952" spans="1:15" ht="15.75">
      <c r="A952" s="1552"/>
      <c r="B952" s="135">
        <v>12809</v>
      </c>
      <c r="C952" s="233">
        <v>0.1</v>
      </c>
      <c r="D952" s="136" t="s">
        <v>681</v>
      </c>
      <c r="E952" s="143">
        <v>900000</v>
      </c>
      <c r="F952" s="478">
        <v>0.1</v>
      </c>
      <c r="G952" s="278">
        <f t="shared" si="35"/>
        <v>90000</v>
      </c>
      <c r="H952" s="144" t="s">
        <v>288</v>
      </c>
      <c r="I952" s="135" t="s">
        <v>242</v>
      </c>
      <c r="J952" s="746"/>
      <c r="K952" s="175"/>
      <c r="L952" s="262"/>
      <c r="M952" s="261"/>
      <c r="N952" s="842"/>
      <c r="O952" s="550"/>
    </row>
    <row r="953" spans="1:15" ht="15.75">
      <c r="A953" s="1552"/>
      <c r="B953" s="135">
        <v>12828</v>
      </c>
      <c r="C953" s="233">
        <v>0.1</v>
      </c>
      <c r="D953" s="137" t="s">
        <v>682</v>
      </c>
      <c r="E953" s="143">
        <v>1400000</v>
      </c>
      <c r="F953" s="478">
        <v>0.05</v>
      </c>
      <c r="G953" s="278">
        <f t="shared" si="35"/>
        <v>70000</v>
      </c>
      <c r="H953" s="144" t="s">
        <v>100</v>
      </c>
      <c r="I953" s="135" t="s">
        <v>242</v>
      </c>
      <c r="J953" s="746"/>
      <c r="K953" s="175"/>
      <c r="L953" s="262"/>
      <c r="M953" s="261"/>
      <c r="N953" s="842"/>
      <c r="O953" s="550"/>
    </row>
    <row r="954" spans="1:15" ht="15.75">
      <c r="A954" s="1552"/>
      <c r="B954" s="135">
        <v>12854</v>
      </c>
      <c r="C954" s="233">
        <v>0.1</v>
      </c>
      <c r="D954" s="137" t="s">
        <v>683</v>
      </c>
      <c r="E954" s="143">
        <v>1650000</v>
      </c>
      <c r="F954" s="478">
        <v>0.1</v>
      </c>
      <c r="G954" s="278">
        <f t="shared" si="35"/>
        <v>165000</v>
      </c>
      <c r="H954" s="144" t="s">
        <v>288</v>
      </c>
      <c r="I954" s="135" t="s">
        <v>242</v>
      </c>
      <c r="J954" s="746"/>
      <c r="K954" s="175"/>
      <c r="L954" s="262"/>
      <c r="M954" s="261"/>
      <c r="N954" s="842"/>
      <c r="O954" s="550"/>
    </row>
    <row r="955" spans="1:15" ht="15.75">
      <c r="A955" s="1552"/>
      <c r="B955" s="135">
        <v>12859</v>
      </c>
      <c r="C955" s="331">
        <v>0.08</v>
      </c>
      <c r="D955" s="136" t="s">
        <v>684</v>
      </c>
      <c r="E955" s="143">
        <v>1500000</v>
      </c>
      <c r="F955" s="478">
        <v>0.08</v>
      </c>
      <c r="G955" s="278">
        <f t="shared" si="35"/>
        <v>120000</v>
      </c>
      <c r="H955" s="144" t="s">
        <v>288</v>
      </c>
      <c r="I955" s="135" t="s">
        <v>333</v>
      </c>
      <c r="J955" s="746"/>
      <c r="K955" s="175"/>
      <c r="L955" s="262"/>
      <c r="M955" s="261"/>
      <c r="N955" s="842"/>
      <c r="O955" s="550"/>
    </row>
    <row r="956" spans="1:15" ht="15.75">
      <c r="A956" s="1552"/>
      <c r="B956" s="135">
        <v>12862</v>
      </c>
      <c r="C956" s="233">
        <v>0.1</v>
      </c>
      <c r="D956" s="136" t="s">
        <v>685</v>
      </c>
      <c r="E956" s="143">
        <v>750000</v>
      </c>
      <c r="F956" s="478">
        <v>0.05</v>
      </c>
      <c r="G956" s="278">
        <f t="shared" si="35"/>
        <v>37500</v>
      </c>
      <c r="H956" s="144" t="s">
        <v>311</v>
      </c>
      <c r="I956" s="135" t="s">
        <v>333</v>
      </c>
      <c r="J956" s="746"/>
      <c r="K956" s="175"/>
      <c r="L956" s="262"/>
      <c r="M956" s="261"/>
      <c r="N956" s="842"/>
      <c r="O956" s="550"/>
    </row>
    <row r="957" spans="1:15" ht="15.75">
      <c r="A957" s="1552"/>
      <c r="B957" s="135">
        <v>12861</v>
      </c>
      <c r="C957" s="233">
        <v>0.1</v>
      </c>
      <c r="D957" s="137" t="s">
        <v>686</v>
      </c>
      <c r="E957" s="143">
        <v>1200000</v>
      </c>
      <c r="F957" s="478">
        <v>0.1</v>
      </c>
      <c r="G957" s="278">
        <f t="shared" si="35"/>
        <v>120000</v>
      </c>
      <c r="H957" s="144" t="s">
        <v>288</v>
      </c>
      <c r="I957" s="135" t="s">
        <v>242</v>
      </c>
      <c r="J957" s="746"/>
      <c r="K957" s="175"/>
      <c r="L957" s="262"/>
      <c r="M957" s="261"/>
      <c r="N957" s="842"/>
      <c r="O957" s="550"/>
    </row>
    <row r="958" spans="1:15" ht="15.75">
      <c r="A958" s="1552"/>
      <c r="B958" s="135">
        <v>12848</v>
      </c>
      <c r="C958" s="233">
        <v>0.1</v>
      </c>
      <c r="D958" s="137" t="s">
        <v>687</v>
      </c>
      <c r="E958" s="143">
        <v>1150000</v>
      </c>
      <c r="F958" s="478">
        <v>0.06</v>
      </c>
      <c r="G958" s="278">
        <f t="shared" si="35"/>
        <v>69000</v>
      </c>
      <c r="H958" s="144" t="s">
        <v>30</v>
      </c>
      <c r="I958" s="135" t="s">
        <v>242</v>
      </c>
      <c r="J958" s="746"/>
      <c r="K958" s="175"/>
      <c r="L958" s="262"/>
      <c r="M958" s="261"/>
      <c r="N958" s="842"/>
      <c r="O958" s="550"/>
    </row>
    <row r="959" spans="1:15" ht="15.75">
      <c r="A959" s="1552"/>
      <c r="B959" s="135">
        <v>12865</v>
      </c>
      <c r="C959" s="233">
        <v>0.1</v>
      </c>
      <c r="D959" s="137" t="s">
        <v>688</v>
      </c>
      <c r="E959" s="143">
        <v>1450000</v>
      </c>
      <c r="F959" s="478">
        <v>0.05</v>
      </c>
      <c r="G959" s="278">
        <f t="shared" si="35"/>
        <v>72500</v>
      </c>
      <c r="H959" s="144" t="s">
        <v>520</v>
      </c>
      <c r="I959" s="135" t="s">
        <v>242</v>
      </c>
      <c r="J959" s="746"/>
      <c r="K959" s="175"/>
      <c r="L959" s="262"/>
      <c r="M959" s="261"/>
      <c r="N959" s="842"/>
      <c r="O959" s="550"/>
    </row>
    <row r="960" spans="1:15" ht="15.75">
      <c r="A960" s="1552"/>
      <c r="B960" s="135">
        <v>12871</v>
      </c>
      <c r="C960" s="233">
        <v>0.1</v>
      </c>
      <c r="D960" s="137" t="s">
        <v>689</v>
      </c>
      <c r="E960" s="143">
        <v>1000000</v>
      </c>
      <c r="F960" s="478">
        <v>0.05</v>
      </c>
      <c r="G960" s="278">
        <f t="shared" si="35"/>
        <v>50000</v>
      </c>
      <c r="H960" s="144" t="s">
        <v>286</v>
      </c>
      <c r="I960" s="135" t="s">
        <v>333</v>
      </c>
      <c r="J960" s="746"/>
      <c r="K960" s="175"/>
      <c r="L960" s="262"/>
      <c r="M960" s="261"/>
      <c r="N960" s="842"/>
      <c r="O960" s="550"/>
    </row>
    <row r="961" spans="1:15" ht="15.75">
      <c r="A961" s="1552"/>
      <c r="B961" s="211" t="s">
        <v>538</v>
      </c>
      <c r="C961" s="267"/>
      <c r="D961" s="277" t="s">
        <v>690</v>
      </c>
      <c r="E961" s="308"/>
      <c r="F961" s="785"/>
      <c r="G961" s="815"/>
      <c r="H961" s="503" t="s">
        <v>30</v>
      </c>
      <c r="I961" s="211" t="s">
        <v>333</v>
      </c>
      <c r="J961" s="573" t="s">
        <v>538</v>
      </c>
      <c r="K961" s="175"/>
      <c r="L961" s="262"/>
      <c r="M961" s="261"/>
      <c r="N961" s="842"/>
      <c r="O961" s="550"/>
    </row>
    <row r="962" spans="1:15" ht="15.75">
      <c r="A962" s="1552"/>
      <c r="B962" s="211" t="s">
        <v>638</v>
      </c>
      <c r="C962" s="267"/>
      <c r="D962" s="277" t="s">
        <v>691</v>
      </c>
      <c r="E962" s="308"/>
      <c r="F962" s="785"/>
      <c r="G962" s="815"/>
      <c r="H962" s="503"/>
      <c r="I962" s="211" t="s">
        <v>242</v>
      </c>
      <c r="J962" s="573" t="s">
        <v>692</v>
      </c>
      <c r="K962" s="175"/>
      <c r="L962" s="262"/>
      <c r="M962" s="261"/>
      <c r="N962" s="842"/>
      <c r="O962" s="550"/>
    </row>
    <row r="963" spans="1:15" ht="15.75">
      <c r="A963" s="1552"/>
      <c r="B963" s="211" t="s">
        <v>638</v>
      </c>
      <c r="C963" s="267"/>
      <c r="D963" s="277" t="s">
        <v>693</v>
      </c>
      <c r="E963" s="308"/>
      <c r="F963" s="220"/>
      <c r="G963" s="268"/>
      <c r="H963" s="503"/>
      <c r="I963" s="211" t="s">
        <v>242</v>
      </c>
      <c r="J963" s="573" t="s">
        <v>694</v>
      </c>
      <c r="K963" s="518"/>
      <c r="L963" s="57"/>
      <c r="M963" s="57"/>
      <c r="N963" s="57"/>
      <c r="O963" s="27"/>
    </row>
    <row r="964" spans="1:15" ht="15.75">
      <c r="A964" s="1552"/>
      <c r="B964" s="211" t="s">
        <v>638</v>
      </c>
      <c r="C964" s="267"/>
      <c r="D964" s="277" t="s">
        <v>695</v>
      </c>
      <c r="E964" s="308"/>
      <c r="F964" s="220"/>
      <c r="G964" s="268"/>
      <c r="H964" s="503"/>
      <c r="I964" s="211" t="s">
        <v>333</v>
      </c>
      <c r="J964" s="573" t="s">
        <v>696</v>
      </c>
      <c r="K964" s="518"/>
      <c r="L964" s="57"/>
      <c r="M964" s="57"/>
      <c r="N964" s="57"/>
      <c r="O964" s="27"/>
    </row>
    <row r="965" spans="1:15" ht="18.75">
      <c r="A965" s="1552"/>
      <c r="B965" s="211" t="s">
        <v>245</v>
      </c>
      <c r="C965" s="267"/>
      <c r="D965" s="277" t="s">
        <v>697</v>
      </c>
      <c r="E965" s="308"/>
      <c r="F965" s="348"/>
      <c r="G965" s="268"/>
      <c r="H965" s="503"/>
      <c r="I965" s="211" t="s">
        <v>242</v>
      </c>
      <c r="J965" s="573" t="s">
        <v>692</v>
      </c>
      <c r="K965" s="518"/>
      <c r="L965" s="57"/>
      <c r="M965" s="834" t="s">
        <v>80</v>
      </c>
      <c r="N965" s="848"/>
      <c r="O965" s="834">
        <f>SUM(O945:O946)</f>
        <v>105000</v>
      </c>
    </row>
    <row r="966" spans="1:15" ht="15.75">
      <c r="A966" s="1552"/>
      <c r="B966" s="163"/>
      <c r="C966" s="318"/>
      <c r="D966" s="165"/>
      <c r="E966" s="261"/>
      <c r="F966" s="659"/>
      <c r="G966" s="286"/>
      <c r="H966" s="271"/>
      <c r="I966" s="163"/>
      <c r="J966" s="843"/>
      <c r="K966" s="518"/>
      <c r="L966" s="57"/>
      <c r="M966" s="57"/>
      <c r="N966" s="57"/>
      <c r="O966" s="27"/>
    </row>
    <row r="967" spans="1:15" ht="21">
      <c r="A967" s="1542"/>
      <c r="B967" s="7"/>
      <c r="C967" s="7"/>
      <c r="D967" s="42"/>
      <c r="E967" s="898">
        <f>SUM(E945:E966)</f>
        <v>20000000</v>
      </c>
      <c r="F967" s="899"/>
      <c r="G967" s="900">
        <f>SUM(G945:G966)</f>
        <v>1456500</v>
      </c>
      <c r="H967" s="42"/>
      <c r="I967" s="519"/>
      <c r="J967" s="520"/>
      <c r="K967" s="11"/>
      <c r="L967" s="11"/>
      <c r="M967" s="864" t="s">
        <v>80</v>
      </c>
      <c r="N967" s="858"/>
      <c r="O967" s="897">
        <f>G967+O965</f>
        <v>1561500</v>
      </c>
    </row>
    <row r="970" spans="1:15" ht="23.25">
      <c r="A970" s="1563" t="s">
        <v>138</v>
      </c>
      <c r="B970" s="1564"/>
      <c r="C970" s="1564"/>
      <c r="D970" s="1563"/>
      <c r="E970" s="1564"/>
      <c r="F970" s="1564"/>
      <c r="G970" s="1564"/>
      <c r="H970" s="1564"/>
      <c r="I970" s="1564"/>
      <c r="J970" s="1565"/>
      <c r="K970" s="1557" t="s">
        <v>2</v>
      </c>
      <c r="L970" s="1557"/>
      <c r="M970" s="1557"/>
      <c r="N970" s="1557"/>
      <c r="O970" s="1557"/>
    </row>
    <row r="971" spans="1:15" ht="30">
      <c r="A971" s="3" t="s">
        <v>3</v>
      </c>
      <c r="B971" s="657" t="s">
        <v>120</v>
      </c>
      <c r="C971" s="818" t="s">
        <v>4</v>
      </c>
      <c r="D971" s="3" t="s">
        <v>5</v>
      </c>
      <c r="E971" s="657" t="s">
        <v>6</v>
      </c>
      <c r="F971" s="68" t="s">
        <v>7</v>
      </c>
      <c r="G971" s="68" t="s">
        <v>8</v>
      </c>
      <c r="H971" s="68" t="s">
        <v>9</v>
      </c>
      <c r="I971" s="68" t="s">
        <v>10</v>
      </c>
      <c r="J971" s="68" t="s">
        <v>11</v>
      </c>
      <c r="K971" s="68" t="s">
        <v>12</v>
      </c>
      <c r="L971" s="68" t="s">
        <v>5</v>
      </c>
      <c r="M971" s="68" t="s">
        <v>13</v>
      </c>
      <c r="N971" s="129" t="s">
        <v>7</v>
      </c>
      <c r="O971" s="40" t="s">
        <v>14</v>
      </c>
    </row>
    <row r="972" spans="1:15" ht="15.75">
      <c r="A972" s="1552" t="s">
        <v>440</v>
      </c>
      <c r="B972" s="135">
        <v>12731</v>
      </c>
      <c r="C972" s="703">
        <v>0.1</v>
      </c>
      <c r="D972" s="136" t="s">
        <v>698</v>
      </c>
      <c r="E972" s="699">
        <v>1550000</v>
      </c>
      <c r="F972" s="148">
        <v>0.1</v>
      </c>
      <c r="G972" s="335">
        <f>E972*F972</f>
        <v>155000</v>
      </c>
      <c r="H972" s="147" t="s">
        <v>286</v>
      </c>
      <c r="I972" s="147" t="s">
        <v>333</v>
      </c>
      <c r="J972" s="528"/>
      <c r="K972" s="135">
        <v>12774</v>
      </c>
      <c r="L972" s="136" t="s">
        <v>678</v>
      </c>
      <c r="M972" s="143">
        <v>1400000</v>
      </c>
      <c r="N972" s="534">
        <v>0.05</v>
      </c>
      <c r="O972" s="139">
        <f>M972*N972</f>
        <v>70000</v>
      </c>
    </row>
    <row r="973" spans="1:15" ht="15.75">
      <c r="A973" s="1552"/>
      <c r="B973" s="135">
        <v>12801</v>
      </c>
      <c r="C973" s="703">
        <v>0.1</v>
      </c>
      <c r="D973" s="136" t="s">
        <v>699</v>
      </c>
      <c r="E973" s="699">
        <v>1380000</v>
      </c>
      <c r="F973" s="148">
        <v>0.1</v>
      </c>
      <c r="G973" s="335">
        <f t="shared" ref="G973:G976" si="36">E973*F973</f>
        <v>138000</v>
      </c>
      <c r="H973" s="147" t="s">
        <v>286</v>
      </c>
      <c r="I973" s="147" t="s">
        <v>128</v>
      </c>
      <c r="J973" s="528"/>
      <c r="K973" s="135">
        <v>12871</v>
      </c>
      <c r="L973" s="137" t="s">
        <v>689</v>
      </c>
      <c r="M973" s="143">
        <v>1000000</v>
      </c>
      <c r="N973" s="534">
        <v>0.05</v>
      </c>
      <c r="O973" s="139">
        <f t="shared" ref="O973:O974" si="37">M973*N973</f>
        <v>50000</v>
      </c>
    </row>
    <row r="974" spans="1:15" ht="15.75">
      <c r="A974" s="1552"/>
      <c r="B974" s="135">
        <v>12815</v>
      </c>
      <c r="C974" s="871">
        <v>0.09</v>
      </c>
      <c r="D974" s="661" t="s">
        <v>700</v>
      </c>
      <c r="E974" s="699">
        <v>1300000</v>
      </c>
      <c r="F974" s="148">
        <v>0.04</v>
      </c>
      <c r="G974" s="335">
        <f t="shared" si="36"/>
        <v>52000</v>
      </c>
      <c r="H974" s="147" t="s">
        <v>520</v>
      </c>
      <c r="I974" s="147" t="s">
        <v>128</v>
      </c>
      <c r="J974" s="528"/>
      <c r="K974" s="135">
        <v>12849</v>
      </c>
      <c r="L974" s="136" t="s">
        <v>701</v>
      </c>
      <c r="M974" s="143">
        <v>1525000</v>
      </c>
      <c r="N974" s="534">
        <v>0.05</v>
      </c>
      <c r="O974" s="139">
        <f t="shared" si="37"/>
        <v>76250</v>
      </c>
    </row>
    <row r="975" spans="1:15" ht="15.75">
      <c r="A975" s="1552"/>
      <c r="B975" s="135">
        <v>12858</v>
      </c>
      <c r="C975" s="703">
        <v>0.1</v>
      </c>
      <c r="D975" s="661" t="s">
        <v>675</v>
      </c>
      <c r="E975" s="699">
        <v>1200000</v>
      </c>
      <c r="F975" s="148">
        <v>0.05</v>
      </c>
      <c r="G975" s="335">
        <f t="shared" si="36"/>
        <v>60000</v>
      </c>
      <c r="H975" s="147" t="s">
        <v>288</v>
      </c>
      <c r="I975" s="147" t="s">
        <v>242</v>
      </c>
      <c r="J975" s="528"/>
      <c r="K975" s="163"/>
      <c r="L975" s="262"/>
      <c r="M975" s="261"/>
      <c r="N975" s="370"/>
      <c r="O975" s="27"/>
    </row>
    <row r="976" spans="1:15" ht="15.75">
      <c r="A976" s="1552"/>
      <c r="B976" s="135">
        <v>12864</v>
      </c>
      <c r="C976" s="703">
        <v>0.1</v>
      </c>
      <c r="D976" s="661" t="s">
        <v>702</v>
      </c>
      <c r="E976" s="699">
        <v>1350000</v>
      </c>
      <c r="F976" s="148">
        <v>0.05</v>
      </c>
      <c r="G976" s="335">
        <f t="shared" si="36"/>
        <v>67500</v>
      </c>
      <c r="H976" s="147" t="s">
        <v>305</v>
      </c>
      <c r="I976" s="147" t="s">
        <v>128</v>
      </c>
      <c r="J976" s="528"/>
      <c r="K976" s="163"/>
      <c r="L976" s="262"/>
      <c r="M976" s="261"/>
      <c r="N976" s="370"/>
      <c r="O976" s="27"/>
    </row>
    <row r="977" spans="1:15" ht="15.75">
      <c r="A977" s="1552"/>
      <c r="B977" s="747" t="s">
        <v>297</v>
      </c>
      <c r="C977" s="285"/>
      <c r="D977" s="277" t="s">
        <v>703</v>
      </c>
      <c r="E977" s="749"/>
      <c r="F977" s="285"/>
      <c r="G977" s="328"/>
      <c r="H977" s="289"/>
      <c r="I977" s="289"/>
      <c r="J977" s="529" t="s">
        <v>704</v>
      </c>
      <c r="K977" s="9"/>
      <c r="L977" s="643"/>
      <c r="M977" s="261"/>
      <c r="N977" s="370"/>
      <c r="O977" s="27"/>
    </row>
    <row r="978" spans="1:15" ht="18.75">
      <c r="A978" s="1552"/>
      <c r="B978" s="362" t="s">
        <v>245</v>
      </c>
      <c r="C978" s="761"/>
      <c r="D978" s="225" t="s">
        <v>705</v>
      </c>
      <c r="E978" s="749"/>
      <c r="F978" s="285"/>
      <c r="G978" s="328"/>
      <c r="H978" s="289"/>
      <c r="I978" s="289"/>
      <c r="J978" s="529" t="s">
        <v>706</v>
      </c>
      <c r="K978" s="9"/>
      <c r="L978" s="643"/>
      <c r="M978" s="834" t="s">
        <v>80</v>
      </c>
      <c r="N978" s="901"/>
      <c r="O978" s="902">
        <f>SUM(O972:O977)</f>
        <v>196250</v>
      </c>
    </row>
    <row r="979" spans="1:15" ht="15.75">
      <c r="A979" s="1552"/>
      <c r="B979" s="585"/>
      <c r="C979" s="844"/>
      <c r="D979" s="165"/>
      <c r="E979" s="845"/>
      <c r="F979" s="279"/>
      <c r="G979" s="281"/>
      <c r="H979" s="213"/>
      <c r="I979" s="213"/>
      <c r="J979" s="4"/>
      <c r="K979" s="9"/>
      <c r="L979" s="643"/>
      <c r="M979" s="261"/>
      <c r="N979" s="370"/>
      <c r="O979" s="27"/>
    </row>
    <row r="980" spans="1:15" ht="21">
      <c r="A980" s="1542"/>
      <c r="B980" s="7"/>
      <c r="C980" s="7"/>
      <c r="D980" s="42"/>
      <c r="E980" s="898">
        <f>SUM(E972:E979)</f>
        <v>6780000</v>
      </c>
      <c r="F980" s="899"/>
      <c r="G980" s="900">
        <f>SUM(G972:G979)</f>
        <v>472500</v>
      </c>
      <c r="H980" s="42"/>
      <c r="I980" s="42"/>
      <c r="J980" s="42"/>
      <c r="K980" s="11"/>
      <c r="L980" s="11"/>
      <c r="M980" s="864" t="s">
        <v>80</v>
      </c>
      <c r="N980" s="903"/>
      <c r="O980" s="897">
        <f>G980+O978</f>
        <v>668750</v>
      </c>
    </row>
    <row r="984" spans="1:15" ht="23.25">
      <c r="A984" s="1548" t="s">
        <v>56</v>
      </c>
      <c r="B984" s="1532"/>
      <c r="C984" s="1532"/>
      <c r="D984" s="1531"/>
      <c r="E984" s="1532"/>
      <c r="F984" s="1532"/>
      <c r="G984" s="1532"/>
      <c r="H984" s="1532"/>
      <c r="I984" s="1532"/>
      <c r="J984" s="1549"/>
      <c r="K984" s="1558" t="s">
        <v>2</v>
      </c>
      <c r="L984" s="1559"/>
      <c r="M984" s="1559"/>
      <c r="N984" s="1559"/>
      <c r="O984" s="1560"/>
    </row>
    <row r="985" spans="1:15" ht="30">
      <c r="A985" s="3" t="s">
        <v>3</v>
      </c>
      <c r="B985" s="361" t="s">
        <v>120</v>
      </c>
      <c r="C985" s="367" t="s">
        <v>4</v>
      </c>
      <c r="D985" s="3" t="s">
        <v>5</v>
      </c>
      <c r="E985" s="361" t="s">
        <v>6</v>
      </c>
      <c r="F985" s="1" t="s">
        <v>7</v>
      </c>
      <c r="G985" s="1" t="s">
        <v>8</v>
      </c>
      <c r="H985" s="361" t="s">
        <v>9</v>
      </c>
      <c r="I985" s="1" t="s">
        <v>10</v>
      </c>
      <c r="J985" s="126" t="s">
        <v>11</v>
      </c>
      <c r="K985" s="3" t="s">
        <v>12</v>
      </c>
      <c r="L985" s="3" t="s">
        <v>5</v>
      </c>
      <c r="M985" s="3" t="s">
        <v>13</v>
      </c>
      <c r="N985" s="3" t="s">
        <v>7</v>
      </c>
      <c r="O985" s="1" t="s">
        <v>14</v>
      </c>
    </row>
    <row r="986" spans="1:15" ht="15.75">
      <c r="A986" s="1556">
        <v>3</v>
      </c>
      <c r="B986" s="135">
        <v>12678</v>
      </c>
      <c r="C986" s="557">
        <v>0.1</v>
      </c>
      <c r="D986" s="136" t="s">
        <v>707</v>
      </c>
      <c r="E986" s="558">
        <v>1400000</v>
      </c>
      <c r="F986" s="138">
        <v>0.08</v>
      </c>
      <c r="G986" s="278">
        <f>E986*F986</f>
        <v>112000</v>
      </c>
      <c r="H986" s="135" t="s">
        <v>305</v>
      </c>
      <c r="I986" s="135" t="s">
        <v>333</v>
      </c>
      <c r="J986" s="136"/>
      <c r="K986" s="135">
        <v>12864</v>
      </c>
      <c r="L986" s="661" t="s">
        <v>702</v>
      </c>
      <c r="M986" s="828">
        <v>1350000</v>
      </c>
      <c r="N986" s="534">
        <v>0.04</v>
      </c>
      <c r="O986" s="278">
        <f>M986*N986</f>
        <v>54000</v>
      </c>
    </row>
    <row r="987" spans="1:15" ht="15.75">
      <c r="A987" s="1552"/>
      <c r="B987" s="135">
        <v>12702</v>
      </c>
      <c r="C987" s="233">
        <v>0.1</v>
      </c>
      <c r="D987" s="243" t="s">
        <v>708</v>
      </c>
      <c r="E987" s="143">
        <v>1350000</v>
      </c>
      <c r="F987" s="138">
        <v>0.04</v>
      </c>
      <c r="G987" s="278">
        <f t="shared" ref="G987:G989" si="38">E987*F987</f>
        <v>54000</v>
      </c>
      <c r="H987" s="135" t="s">
        <v>520</v>
      </c>
      <c r="I987" s="135" t="s">
        <v>242</v>
      </c>
      <c r="J987" s="136"/>
      <c r="K987" s="135">
        <v>12862</v>
      </c>
      <c r="L987" s="136" t="s">
        <v>685</v>
      </c>
      <c r="M987" s="828">
        <v>750000</v>
      </c>
      <c r="N987" s="231">
        <v>0.04</v>
      </c>
      <c r="O987" s="278">
        <f>M987*N987</f>
        <v>30000</v>
      </c>
    </row>
    <row r="988" spans="1:15" ht="15.75">
      <c r="A988" s="1552"/>
      <c r="B988" s="135">
        <v>12714</v>
      </c>
      <c r="C988" s="233">
        <v>0.1</v>
      </c>
      <c r="D988" s="243" t="s">
        <v>709</v>
      </c>
      <c r="E988" s="143">
        <v>1350000</v>
      </c>
      <c r="F988" s="138">
        <v>0.05</v>
      </c>
      <c r="G988" s="278">
        <f t="shared" si="38"/>
        <v>67500</v>
      </c>
      <c r="H988" s="135" t="s">
        <v>30</v>
      </c>
      <c r="I988" s="135" t="s">
        <v>242</v>
      </c>
      <c r="J988" s="136"/>
      <c r="K988" s="163"/>
      <c r="L988" s="262"/>
      <c r="M988" s="626"/>
      <c r="N988" s="260"/>
      <c r="O988" s="846"/>
    </row>
    <row r="989" spans="1:15" ht="15.75">
      <c r="A989" s="1552"/>
      <c r="B989" s="135">
        <v>12751</v>
      </c>
      <c r="C989" s="233">
        <v>0.1</v>
      </c>
      <c r="D989" s="137" t="s">
        <v>710</v>
      </c>
      <c r="E989" s="143">
        <v>1400000</v>
      </c>
      <c r="F989" s="138">
        <v>0.08</v>
      </c>
      <c r="G989" s="278">
        <f t="shared" si="38"/>
        <v>112000</v>
      </c>
      <c r="H989" s="135" t="s">
        <v>305</v>
      </c>
      <c r="I989" s="135" t="s">
        <v>128</v>
      </c>
      <c r="J989" s="136"/>
      <c r="K989" s="161"/>
      <c r="L989" s="270"/>
      <c r="M989" s="372"/>
      <c r="N989" s="319"/>
      <c r="O989" s="27"/>
    </row>
    <row r="990" spans="1:15" ht="18">
      <c r="A990" s="1552"/>
      <c r="B990" s="211" t="s">
        <v>538</v>
      </c>
      <c r="C990" s="267"/>
      <c r="D990" s="225" t="s">
        <v>711</v>
      </c>
      <c r="E990" s="308"/>
      <c r="F990" s="220"/>
      <c r="G990" s="268"/>
      <c r="H990" s="211" t="s">
        <v>305</v>
      </c>
      <c r="I990" s="211" t="s">
        <v>128</v>
      </c>
      <c r="J990" s="277" t="s">
        <v>538</v>
      </c>
      <c r="K990" s="161"/>
      <c r="L990" s="270"/>
      <c r="M990" s="861" t="s">
        <v>80</v>
      </c>
      <c r="N990" s="862"/>
      <c r="O990" s="902">
        <f>SUM(O986:O989)</f>
        <v>84000</v>
      </c>
    </row>
    <row r="991" spans="1:15" ht="15.75">
      <c r="A991" s="1552"/>
      <c r="B991" s="163"/>
      <c r="C991" s="318"/>
      <c r="D991" s="165"/>
      <c r="E991" s="261"/>
      <c r="F991" s="162"/>
      <c r="G991" s="286"/>
      <c r="H991" s="163"/>
      <c r="I991" s="163"/>
      <c r="J991" s="262"/>
      <c r="K991" s="161"/>
      <c r="L991" s="270"/>
      <c r="M991" s="372"/>
      <c r="N991" s="319"/>
      <c r="O991" s="27"/>
    </row>
    <row r="992" spans="1:15" ht="21">
      <c r="A992" s="1542"/>
      <c r="B992" s="213"/>
      <c r="C992" s="213"/>
      <c r="D992" s="223"/>
      <c r="E992" s="898">
        <f>SUM(E986:E991)</f>
        <v>5500000</v>
      </c>
      <c r="F992" s="223"/>
      <c r="G992" s="900">
        <f>SUM(G986:G991)</f>
        <v>345500</v>
      </c>
      <c r="H992" s="223"/>
      <c r="I992" s="223"/>
      <c r="J992" s="223"/>
      <c r="K992" s="275"/>
      <c r="L992" s="275"/>
      <c r="M992" s="905" t="s">
        <v>80</v>
      </c>
      <c r="N992" s="864"/>
      <c r="O992" s="859">
        <f>G992+O990</f>
        <v>429500</v>
      </c>
    </row>
    <row r="995" spans="1:15" ht="23.25">
      <c r="A995" s="1530" t="s">
        <v>465</v>
      </c>
      <c r="B995" s="1532"/>
      <c r="C995" s="1532"/>
      <c r="D995" s="1532"/>
      <c r="E995" s="1532"/>
      <c r="F995" s="1532"/>
      <c r="G995" s="1532"/>
      <c r="H995" s="1532"/>
      <c r="I995" s="1532"/>
      <c r="J995" s="1549"/>
      <c r="K995" s="1558" t="s">
        <v>2</v>
      </c>
      <c r="L995" s="1559"/>
      <c r="M995" s="1559"/>
      <c r="N995" s="1559"/>
      <c r="O995" s="1560"/>
    </row>
    <row r="996" spans="1:15" ht="30">
      <c r="A996" s="126" t="s">
        <v>3</v>
      </c>
      <c r="B996" s="1" t="s">
        <v>120</v>
      </c>
      <c r="C996" s="367" t="s">
        <v>4</v>
      </c>
      <c r="D996" s="1" t="s">
        <v>5</v>
      </c>
      <c r="E996" s="1" t="s">
        <v>6</v>
      </c>
      <c r="F996" s="1" t="s">
        <v>7</v>
      </c>
      <c r="G996" s="1" t="s">
        <v>8</v>
      </c>
      <c r="H996" s="361" t="s">
        <v>9</v>
      </c>
      <c r="I996" s="1" t="s">
        <v>10</v>
      </c>
      <c r="J996" s="126" t="s">
        <v>11</v>
      </c>
      <c r="K996" s="3" t="s">
        <v>12</v>
      </c>
      <c r="L996" s="1" t="s">
        <v>5</v>
      </c>
      <c r="M996" s="3" t="s">
        <v>13</v>
      </c>
      <c r="N996" s="3" t="s">
        <v>7</v>
      </c>
      <c r="O996" s="3" t="s">
        <v>14</v>
      </c>
    </row>
    <row r="997" spans="1:15" ht="15.75">
      <c r="A997" s="1574" t="s">
        <v>440</v>
      </c>
      <c r="B997" s="135">
        <v>12736</v>
      </c>
      <c r="C997" s="138">
        <v>0.1</v>
      </c>
      <c r="D997" s="137" t="s">
        <v>712</v>
      </c>
      <c r="E997" s="139">
        <v>1250000</v>
      </c>
      <c r="F997" s="779">
        <v>0.1</v>
      </c>
      <c r="G997" s="619">
        <f>E997*F997</f>
        <v>125000</v>
      </c>
      <c r="H997" s="741" t="s">
        <v>520</v>
      </c>
      <c r="I997" s="741" t="s">
        <v>128</v>
      </c>
      <c r="J997" s="137"/>
      <c r="K997" s="144">
        <v>12865</v>
      </c>
      <c r="L997" s="137" t="s">
        <v>688</v>
      </c>
      <c r="M997" s="904">
        <v>1450000</v>
      </c>
      <c r="N997" s="231">
        <v>0.05</v>
      </c>
      <c r="O997" s="139">
        <f>M997*N997</f>
        <v>72500</v>
      </c>
    </row>
    <row r="998" spans="1:15" ht="15.75">
      <c r="A998" s="1574"/>
      <c r="B998" s="135">
        <v>12780</v>
      </c>
      <c r="C998" s="138">
        <v>0.1</v>
      </c>
      <c r="D998" s="137" t="s">
        <v>713</v>
      </c>
      <c r="E998" s="139">
        <v>1400000</v>
      </c>
      <c r="F998" s="779">
        <v>0.1</v>
      </c>
      <c r="G998" s="619">
        <f t="shared" ref="G998:G1001" si="39">E998*F998</f>
        <v>140000</v>
      </c>
      <c r="H998" s="741" t="s">
        <v>520</v>
      </c>
      <c r="I998" s="741" t="s">
        <v>128</v>
      </c>
      <c r="J998" s="137"/>
      <c r="K998" s="144">
        <v>12815</v>
      </c>
      <c r="L998" s="136" t="s">
        <v>700</v>
      </c>
      <c r="M998" s="904">
        <v>1300000</v>
      </c>
      <c r="N998" s="231">
        <v>0.04</v>
      </c>
      <c r="O998" s="139">
        <f t="shared" ref="O998:O1000" si="40">M998*N998</f>
        <v>52000</v>
      </c>
    </row>
    <row r="999" spans="1:15" ht="15.75">
      <c r="A999" s="1574"/>
      <c r="B999" s="135">
        <v>12816</v>
      </c>
      <c r="C999" s="138">
        <v>0.1</v>
      </c>
      <c r="D999" s="137" t="s">
        <v>714</v>
      </c>
      <c r="E999" s="139">
        <v>1250000</v>
      </c>
      <c r="F999" s="779">
        <v>0.1</v>
      </c>
      <c r="G999" s="619">
        <f t="shared" si="39"/>
        <v>125000</v>
      </c>
      <c r="H999" s="741" t="s">
        <v>520</v>
      </c>
      <c r="I999" s="741" t="s">
        <v>333</v>
      </c>
      <c r="J999" s="137"/>
      <c r="K999" s="144">
        <v>12702</v>
      </c>
      <c r="L999" s="137" t="s">
        <v>708</v>
      </c>
      <c r="M999" s="904">
        <v>1350000</v>
      </c>
      <c r="N999" s="231">
        <v>0.05</v>
      </c>
      <c r="O999" s="139">
        <f t="shared" si="40"/>
        <v>67500</v>
      </c>
    </row>
    <row r="1000" spans="1:15" ht="15.75">
      <c r="A1000" s="1574"/>
      <c r="B1000" s="135">
        <v>12841</v>
      </c>
      <c r="C1000" s="138">
        <v>0.1</v>
      </c>
      <c r="D1000" s="137" t="s">
        <v>715</v>
      </c>
      <c r="E1000" s="139">
        <v>1000000</v>
      </c>
      <c r="F1000" s="779">
        <v>0.06</v>
      </c>
      <c r="G1000" s="619">
        <f t="shared" si="39"/>
        <v>60000</v>
      </c>
      <c r="H1000" s="741" t="s">
        <v>30</v>
      </c>
      <c r="I1000" s="741" t="s">
        <v>242</v>
      </c>
      <c r="J1000" s="137"/>
      <c r="K1000" s="144">
        <v>12710</v>
      </c>
      <c r="L1000" s="136" t="s">
        <v>674</v>
      </c>
      <c r="M1000" s="904">
        <v>1250000</v>
      </c>
      <c r="N1000" s="231">
        <v>0.05</v>
      </c>
      <c r="O1000" s="139">
        <f t="shared" si="40"/>
        <v>62500</v>
      </c>
    </row>
    <row r="1001" spans="1:15" ht="15.75">
      <c r="A1001" s="1574"/>
      <c r="B1001" s="135">
        <v>12857</v>
      </c>
      <c r="C1001" s="138">
        <v>0.1</v>
      </c>
      <c r="D1001" s="137" t="s">
        <v>716</v>
      </c>
      <c r="E1001" s="139">
        <v>1350000</v>
      </c>
      <c r="F1001" s="779">
        <v>0.05</v>
      </c>
      <c r="G1001" s="619">
        <f t="shared" si="39"/>
        <v>67500</v>
      </c>
      <c r="H1001" s="741" t="s">
        <v>134</v>
      </c>
      <c r="I1001" s="741" t="s">
        <v>333</v>
      </c>
      <c r="J1001" s="137"/>
      <c r="K1001" s="163"/>
      <c r="L1001" s="752"/>
      <c r="M1001" s="626"/>
      <c r="N1001" s="260"/>
      <c r="O1001" s="165"/>
    </row>
    <row r="1002" spans="1:15" ht="15.75">
      <c r="A1002" s="1574"/>
      <c r="B1002" s="219" t="s">
        <v>538</v>
      </c>
      <c r="C1002" s="220"/>
      <c r="D1002" s="225" t="s">
        <v>717</v>
      </c>
      <c r="E1002" s="221"/>
      <c r="F1002" s="877"/>
      <c r="G1002" s="219"/>
      <c r="H1002" s="219"/>
      <c r="I1002" s="219" t="s">
        <v>100</v>
      </c>
      <c r="J1002" s="225"/>
      <c r="K1002" s="163"/>
      <c r="L1002" s="262"/>
      <c r="M1002" s="626"/>
      <c r="N1002" s="260"/>
      <c r="O1002" s="27"/>
    </row>
    <row r="1003" spans="1:15" ht="15.75">
      <c r="A1003" s="1574"/>
      <c r="B1003" s="219" t="s">
        <v>297</v>
      </c>
      <c r="C1003" s="220"/>
      <c r="D1003" s="225" t="s">
        <v>718</v>
      </c>
      <c r="E1003" s="221"/>
      <c r="F1003" s="877"/>
      <c r="G1003" s="219"/>
      <c r="H1003" s="219" t="s">
        <v>520</v>
      </c>
      <c r="I1003" s="219" t="s">
        <v>100</v>
      </c>
      <c r="J1003" s="225" t="s">
        <v>719</v>
      </c>
      <c r="K1003" s="163"/>
      <c r="L1003" s="262"/>
      <c r="M1003" s="626"/>
      <c r="N1003" s="260"/>
      <c r="O1003" s="27"/>
    </row>
    <row r="1004" spans="1:15" ht="18.75">
      <c r="A1004" s="1574"/>
      <c r="B1004" s="219" t="s">
        <v>297</v>
      </c>
      <c r="C1004" s="220"/>
      <c r="D1004" s="225" t="s">
        <v>720</v>
      </c>
      <c r="E1004" s="221"/>
      <c r="F1004" s="877"/>
      <c r="G1004" s="219"/>
      <c r="H1004" s="219" t="s">
        <v>100</v>
      </c>
      <c r="I1004" s="219" t="s">
        <v>100</v>
      </c>
      <c r="J1004" s="878" t="s">
        <v>721</v>
      </c>
      <c r="K1004" s="163"/>
      <c r="L1004" s="165"/>
      <c r="M1004" s="861" t="s">
        <v>80</v>
      </c>
      <c r="N1004" s="862"/>
      <c r="O1004" s="849">
        <f>SUM(O997:O1003)</f>
        <v>254500</v>
      </c>
    </row>
    <row r="1005" spans="1:15" ht="15.75">
      <c r="A1005" s="1574"/>
      <c r="B1005" s="175"/>
      <c r="C1005" s="162"/>
      <c r="D1005" s="165"/>
      <c r="E1005" s="550"/>
      <c r="F1005" s="847"/>
      <c r="G1005" s="175"/>
      <c r="H1005" s="175"/>
      <c r="I1005" s="175"/>
      <c r="J1005" s="165"/>
      <c r="K1005" s="163"/>
      <c r="L1005" s="165"/>
      <c r="M1005" s="626"/>
      <c r="N1005" s="260"/>
      <c r="O1005" s="27"/>
    </row>
    <row r="1006" spans="1:15" ht="20.25">
      <c r="A1006" s="1575"/>
      <c r="B1006" s="71"/>
      <c r="C1006" s="71"/>
      <c r="D1006" s="14"/>
      <c r="E1006" s="851">
        <f>SUM(E997:E1005)</f>
        <v>6250000</v>
      </c>
      <c r="F1006" s="14"/>
      <c r="G1006" s="913">
        <f>SUM(G997:G1005)</f>
        <v>517500</v>
      </c>
      <c r="H1006" s="14"/>
      <c r="I1006" s="14"/>
      <c r="J1006" s="14"/>
      <c r="K1006" s="14"/>
      <c r="L1006" s="14"/>
      <c r="M1006" s="907" t="s">
        <v>80</v>
      </c>
      <c r="N1006" s="906"/>
      <c r="O1006" s="869">
        <f>G1006+O1004</f>
        <v>772000</v>
      </c>
    </row>
    <row r="1009" spans="1:15" ht="23.25">
      <c r="A1009" s="1530" t="s">
        <v>274</v>
      </c>
      <c r="B1009" s="1531"/>
      <c r="C1009" s="1532"/>
      <c r="D1009" s="1531"/>
      <c r="E1009" s="1531"/>
      <c r="F1009" s="1531"/>
      <c r="G1009" s="1531"/>
      <c r="H1009" s="1532"/>
      <c r="I1009" s="1532"/>
      <c r="J1009" s="1532"/>
      <c r="K1009" s="1571" t="s">
        <v>2</v>
      </c>
      <c r="L1009" s="1572"/>
      <c r="M1009" s="1572"/>
      <c r="N1009" s="1572"/>
      <c r="O1009" s="1572"/>
    </row>
    <row r="1010" spans="1:15" ht="30">
      <c r="A1010" s="126" t="s">
        <v>3</v>
      </c>
      <c r="B1010" s="1" t="s">
        <v>120</v>
      </c>
      <c r="C1010" s="367" t="s">
        <v>4</v>
      </c>
      <c r="D1010" s="1" t="s">
        <v>5</v>
      </c>
      <c r="E1010" s="1" t="s">
        <v>6</v>
      </c>
      <c r="F1010" s="1" t="s">
        <v>7</v>
      </c>
      <c r="G1010" s="1" t="s">
        <v>8</v>
      </c>
      <c r="H1010" s="361" t="s">
        <v>9</v>
      </c>
      <c r="I1010" s="1" t="s">
        <v>10</v>
      </c>
      <c r="J1010" s="126" t="s">
        <v>11</v>
      </c>
      <c r="K1010" s="1" t="s">
        <v>12</v>
      </c>
      <c r="L1010" s="1" t="s">
        <v>5</v>
      </c>
      <c r="M1010" s="1" t="s">
        <v>13</v>
      </c>
      <c r="N1010" s="1" t="s">
        <v>7</v>
      </c>
      <c r="O1010" s="3" t="s">
        <v>14</v>
      </c>
    </row>
    <row r="1011" spans="1:15" ht="15.75">
      <c r="A1011" s="1553"/>
      <c r="B1011" s="135">
        <v>12885</v>
      </c>
      <c r="C1011" s="233">
        <v>0.1</v>
      </c>
      <c r="D1011" s="137" t="s">
        <v>722</v>
      </c>
      <c r="E1011" s="143">
        <v>1100000</v>
      </c>
      <c r="F1011" s="497"/>
      <c r="G1011" s="498"/>
      <c r="H1011" s="135"/>
      <c r="I1011" s="135" t="s">
        <v>242</v>
      </c>
      <c r="J1011" s="136"/>
      <c r="K1011" s="135">
        <v>12745</v>
      </c>
      <c r="L1011" s="136" t="s">
        <v>677</v>
      </c>
      <c r="M1011" s="143">
        <v>1100000</v>
      </c>
      <c r="N1011" s="543"/>
      <c r="O1011" s="535"/>
    </row>
    <row r="1012" spans="1:15" ht="15.75">
      <c r="A1012" s="1552"/>
      <c r="B1012" s="205"/>
      <c r="C1012" s="508"/>
      <c r="D1012" s="287"/>
      <c r="E1012" s="509"/>
      <c r="F1012" s="510"/>
      <c r="G1012" s="511"/>
      <c r="H1012" s="205"/>
      <c r="I1012" s="205"/>
      <c r="J1012" s="287"/>
      <c r="K1012" s="135">
        <v>12785</v>
      </c>
      <c r="L1012" s="136" t="s">
        <v>679</v>
      </c>
      <c r="M1012" s="143">
        <v>750000</v>
      </c>
      <c r="N1012" s="544"/>
      <c r="O1012" s="278"/>
    </row>
    <row r="1013" spans="1:15" ht="15.75">
      <c r="A1013" s="1552"/>
      <c r="B1013" s="523"/>
      <c r="C1013" s="524"/>
      <c r="D1013" s="525"/>
      <c r="E1013" s="526"/>
      <c r="F1013" s="527"/>
      <c r="G1013" s="522"/>
      <c r="H1013" s="523"/>
      <c r="I1013" s="523"/>
      <c r="J1013" s="262"/>
      <c r="K1013" s="135">
        <v>12848</v>
      </c>
      <c r="L1013" s="137" t="s">
        <v>687</v>
      </c>
      <c r="M1013" s="143">
        <v>1150000</v>
      </c>
      <c r="N1013" s="544"/>
      <c r="O1013" s="545"/>
    </row>
    <row r="1014" spans="1:15" ht="15.75">
      <c r="A1014" s="1552"/>
      <c r="B1014" s="364"/>
      <c r="C1014" s="316"/>
      <c r="D1014" s="270"/>
      <c r="E1014" s="295"/>
      <c r="F1014" s="159"/>
      <c r="G1014" s="288"/>
      <c r="H1014" s="161"/>
      <c r="I1014" s="161"/>
      <c r="J1014" s="262"/>
      <c r="K1014" s="135">
        <v>12714</v>
      </c>
      <c r="L1014" s="243" t="s">
        <v>709</v>
      </c>
      <c r="M1014" s="143">
        <v>1350000</v>
      </c>
      <c r="N1014" s="544"/>
      <c r="O1014" s="545"/>
    </row>
    <row r="1015" spans="1:15" ht="15.75">
      <c r="A1015" s="1552"/>
      <c r="B1015" s="368"/>
      <c r="C1015" s="316"/>
      <c r="D1015" s="270"/>
      <c r="E1015" s="295"/>
      <c r="F1015" s="159"/>
      <c r="G1015" s="288"/>
      <c r="H1015" s="161"/>
      <c r="I1015" s="161"/>
      <c r="J1015" s="368"/>
      <c r="K1015" s="135">
        <v>12841</v>
      </c>
      <c r="L1015" s="137" t="s">
        <v>715</v>
      </c>
      <c r="M1015" s="143">
        <v>1100000</v>
      </c>
      <c r="N1015" s="544"/>
      <c r="O1015" s="666"/>
    </row>
    <row r="1016" spans="1:15" ht="18">
      <c r="A1016" s="1542"/>
      <c r="B1016" s="215"/>
      <c r="C1016" s="215"/>
      <c r="D1016" s="214"/>
      <c r="E1016" s="332">
        <f>SUM(E1011:E1015)</f>
        <v>1100000</v>
      </c>
      <c r="F1016" s="214"/>
      <c r="G1016" s="281">
        <f>SUM(G1011:G1015)</f>
        <v>0</v>
      </c>
      <c r="H1016" s="214"/>
      <c r="I1016" s="214"/>
      <c r="J1016" s="214"/>
      <c r="K1016" s="275"/>
      <c r="L1016" s="266" t="s">
        <v>80</v>
      </c>
      <c r="M1016" s="912">
        <f>SUM(M1011:M1015)</f>
        <v>5450000</v>
      </c>
      <c r="N1016" s="304"/>
      <c r="O1016" s="27"/>
    </row>
    <row r="1020" spans="1:15" ht="18">
      <c r="A1020" s="1535" t="s">
        <v>68</v>
      </c>
      <c r="B1020" s="1535"/>
      <c r="C1020" s="365"/>
      <c r="D1020" s="341">
        <f>E967+E980+E992+E1006+E1016</f>
        <v>39630000</v>
      </c>
    </row>
    <row r="1021" spans="1:15">
      <c r="A1021" s="1536" t="s">
        <v>69</v>
      </c>
      <c r="B1021" s="1536"/>
      <c r="C1021" s="22"/>
      <c r="D1021" s="20"/>
    </row>
    <row r="1022" spans="1:15">
      <c r="A1022" s="1537" t="s">
        <v>70</v>
      </c>
      <c r="B1022" s="1537"/>
      <c r="C1022" s="101"/>
      <c r="D1022" s="21"/>
    </row>
    <row r="1027" spans="1:15" ht="31.5">
      <c r="A1027" s="1546" t="s">
        <v>723</v>
      </c>
      <c r="B1027" s="1547"/>
      <c r="C1027" s="1547"/>
      <c r="D1027" s="1547"/>
      <c r="E1027" s="1547"/>
      <c r="F1027" s="1547"/>
      <c r="G1027" s="1547"/>
      <c r="H1027" s="1547"/>
      <c r="I1027" s="1547"/>
      <c r="J1027" s="1547"/>
      <c r="K1027" s="1547"/>
      <c r="L1027" s="1547"/>
      <c r="M1027" s="1547"/>
      <c r="N1027" s="1547"/>
      <c r="O1027" s="1547"/>
    </row>
    <row r="1028" spans="1:15" ht="23.25">
      <c r="A1028" s="1548" t="s">
        <v>1</v>
      </c>
      <c r="B1028" s="1532"/>
      <c r="C1028" s="1532"/>
      <c r="D1028" s="1531"/>
      <c r="E1028" s="1532"/>
      <c r="F1028" s="1532"/>
      <c r="G1028" s="1532"/>
      <c r="H1028" s="1532"/>
      <c r="I1028" s="1532"/>
      <c r="J1028" s="1532"/>
      <c r="K1028" s="1533" t="s">
        <v>2</v>
      </c>
      <c r="L1028" s="1533"/>
      <c r="M1028" s="1533"/>
      <c r="N1028" s="1533"/>
      <c r="O1028" s="1533"/>
    </row>
    <row r="1029" spans="1:15" ht="30">
      <c r="A1029" s="3" t="s">
        <v>3</v>
      </c>
      <c r="B1029" s="361" t="s">
        <v>120</v>
      </c>
      <c r="C1029" s="360" t="s">
        <v>4</v>
      </c>
      <c r="D1029" s="3" t="s">
        <v>5</v>
      </c>
      <c r="E1029" s="361" t="s">
        <v>6</v>
      </c>
      <c r="F1029" s="1" t="s">
        <v>7</v>
      </c>
      <c r="G1029" s="1" t="s">
        <v>8</v>
      </c>
      <c r="H1029" s="1" t="s">
        <v>9</v>
      </c>
      <c r="I1029" s="1" t="s">
        <v>10</v>
      </c>
      <c r="J1029" s="3" t="s">
        <v>11</v>
      </c>
      <c r="K1029" s="68" t="s">
        <v>12</v>
      </c>
      <c r="L1029" s="68" t="s">
        <v>5</v>
      </c>
      <c r="M1029" s="68" t="s">
        <v>13</v>
      </c>
      <c r="N1029" s="129" t="s">
        <v>7</v>
      </c>
      <c r="O1029" s="68" t="s">
        <v>14</v>
      </c>
    </row>
    <row r="1030" spans="1:15" ht="15.75" customHeight="1">
      <c r="A1030" s="1556" t="s">
        <v>724</v>
      </c>
      <c r="B1030" s="135" t="s">
        <v>725</v>
      </c>
      <c r="C1030" s="233">
        <v>0.1</v>
      </c>
      <c r="D1030" s="137" t="s">
        <v>726</v>
      </c>
      <c r="E1030" s="143">
        <v>1250000</v>
      </c>
      <c r="F1030" s="478">
        <v>0.12</v>
      </c>
      <c r="G1030" s="278">
        <f>E1030*F1030</f>
        <v>150000</v>
      </c>
      <c r="H1030" s="144" t="s">
        <v>180</v>
      </c>
      <c r="I1030" s="135" t="s">
        <v>242</v>
      </c>
      <c r="J1030" s="934"/>
      <c r="K1030" s="135">
        <v>12905</v>
      </c>
      <c r="L1030" s="137" t="s">
        <v>727</v>
      </c>
      <c r="M1030" s="143">
        <v>1400000</v>
      </c>
      <c r="N1030" s="231">
        <v>0.05</v>
      </c>
      <c r="O1030" s="139">
        <f>M1030*N1030</f>
        <v>70000</v>
      </c>
    </row>
    <row r="1031" spans="1:15" ht="15.75" customHeight="1">
      <c r="A1031" s="1552"/>
      <c r="B1031" s="701">
        <v>12926</v>
      </c>
      <c r="C1031" s="233">
        <v>0.1</v>
      </c>
      <c r="D1031" s="137" t="s">
        <v>728</v>
      </c>
      <c r="E1031" s="143">
        <v>1150000</v>
      </c>
      <c r="F1031" s="478">
        <v>0.12</v>
      </c>
      <c r="G1031" s="278">
        <f t="shared" ref="G1031:G1044" si="41">E1031*F1031</f>
        <v>138000</v>
      </c>
      <c r="H1031" s="144" t="s">
        <v>180</v>
      </c>
      <c r="I1031" s="135" t="s">
        <v>100</v>
      </c>
      <c r="J1031" s="934"/>
      <c r="K1031" s="545"/>
      <c r="L1031" s="137" t="s">
        <v>729</v>
      </c>
      <c r="M1031" s="143">
        <v>1100000</v>
      </c>
      <c r="N1031" s="231">
        <v>0.05</v>
      </c>
      <c r="O1031" s="139">
        <f>M1031*N1031</f>
        <v>55000</v>
      </c>
    </row>
    <row r="1032" spans="1:15" ht="15.75" customHeight="1">
      <c r="A1032" s="1552"/>
      <c r="B1032" s="701">
        <v>12927</v>
      </c>
      <c r="C1032" s="233">
        <v>0.1</v>
      </c>
      <c r="D1032" s="137" t="s">
        <v>730</v>
      </c>
      <c r="E1032" s="143">
        <v>1150000</v>
      </c>
      <c r="F1032" s="478">
        <v>0.12</v>
      </c>
      <c r="G1032" s="278">
        <f t="shared" si="41"/>
        <v>138000</v>
      </c>
      <c r="H1032" s="144" t="s">
        <v>180</v>
      </c>
      <c r="I1032" s="135" t="s">
        <v>242</v>
      </c>
      <c r="J1032" s="934"/>
      <c r="K1032" s="14"/>
      <c r="L1032" s="14"/>
      <c r="M1032" s="14"/>
      <c r="N1032" s="14"/>
      <c r="O1032" s="14"/>
    </row>
    <row r="1033" spans="1:15" ht="15.75" customHeight="1">
      <c r="A1033" s="1552"/>
      <c r="B1033" s="135">
        <v>12951</v>
      </c>
      <c r="C1033" s="233">
        <v>0.1</v>
      </c>
      <c r="D1033" s="136" t="s">
        <v>731</v>
      </c>
      <c r="E1033" s="143">
        <v>1500000</v>
      </c>
      <c r="F1033" s="478">
        <v>0.12</v>
      </c>
      <c r="G1033" s="278">
        <f t="shared" si="41"/>
        <v>180000</v>
      </c>
      <c r="H1033" s="144" t="s">
        <v>180</v>
      </c>
      <c r="I1033" s="135" t="s">
        <v>100</v>
      </c>
      <c r="J1033" s="934"/>
      <c r="K1033" s="14"/>
      <c r="L1033" s="14"/>
      <c r="M1033" s="14"/>
      <c r="N1033" s="14"/>
      <c r="O1033" s="14"/>
    </row>
    <row r="1034" spans="1:15" ht="15.75" customHeight="1">
      <c r="A1034" s="1552"/>
      <c r="B1034" s="701">
        <v>12931</v>
      </c>
      <c r="C1034" s="233">
        <v>0.1</v>
      </c>
      <c r="D1034" s="137" t="s">
        <v>732</v>
      </c>
      <c r="E1034" s="143">
        <v>800000</v>
      </c>
      <c r="F1034" s="478">
        <v>0.12</v>
      </c>
      <c r="G1034" s="278">
        <f t="shared" si="41"/>
        <v>96000</v>
      </c>
      <c r="H1034" s="144" t="s">
        <v>180</v>
      </c>
      <c r="I1034" s="135" t="s">
        <v>242</v>
      </c>
      <c r="J1034" s="934"/>
      <c r="K1034" s="14"/>
      <c r="L1034" s="14"/>
      <c r="M1034" s="14"/>
      <c r="N1034" s="14"/>
      <c r="O1034" s="14"/>
    </row>
    <row r="1035" spans="1:15" ht="15.75" customHeight="1">
      <c r="A1035" s="1552"/>
      <c r="B1035" s="701">
        <v>12946</v>
      </c>
      <c r="C1035" s="331">
        <v>0.09</v>
      </c>
      <c r="D1035" s="137" t="s">
        <v>733</v>
      </c>
      <c r="E1035" s="143">
        <v>1300000</v>
      </c>
      <c r="F1035" s="140">
        <v>0.06</v>
      </c>
      <c r="G1035" s="278">
        <f t="shared" si="41"/>
        <v>78000</v>
      </c>
      <c r="H1035" s="144" t="s">
        <v>286</v>
      </c>
      <c r="I1035" s="135" t="s">
        <v>242</v>
      </c>
      <c r="J1035" s="934"/>
      <c r="K1035" s="14"/>
      <c r="L1035" s="14"/>
      <c r="M1035" s="14"/>
      <c r="N1035" s="14"/>
      <c r="O1035" s="14"/>
    </row>
    <row r="1036" spans="1:15" ht="15.75" customHeight="1">
      <c r="A1036" s="1552"/>
      <c r="B1036" s="701">
        <v>12959</v>
      </c>
      <c r="C1036" s="233">
        <v>0.1</v>
      </c>
      <c r="D1036" s="137" t="s">
        <v>734</v>
      </c>
      <c r="E1036" s="143">
        <v>1650000</v>
      </c>
      <c r="F1036" s="478">
        <v>7.0000000000000007E-2</v>
      </c>
      <c r="G1036" s="278">
        <f t="shared" si="41"/>
        <v>115500.00000000001</v>
      </c>
      <c r="H1036" s="144" t="s">
        <v>520</v>
      </c>
      <c r="I1036" s="135" t="s">
        <v>242</v>
      </c>
      <c r="J1036" s="934"/>
      <c r="K1036" s="31"/>
      <c r="L1036" s="31"/>
      <c r="M1036" s="31"/>
      <c r="N1036" s="31"/>
      <c r="O1036" s="31"/>
    </row>
    <row r="1037" spans="1:15" ht="15.75" customHeight="1">
      <c r="A1037" s="1552"/>
      <c r="B1037" s="135">
        <v>13000</v>
      </c>
      <c r="C1037" s="233">
        <v>0.1</v>
      </c>
      <c r="D1037" s="137" t="s">
        <v>735</v>
      </c>
      <c r="E1037" s="143">
        <v>2700000</v>
      </c>
      <c r="F1037" s="478">
        <v>7.0000000000000007E-2</v>
      </c>
      <c r="G1037" s="278">
        <f t="shared" si="41"/>
        <v>189000.00000000003</v>
      </c>
      <c r="H1037" s="144" t="s">
        <v>520</v>
      </c>
      <c r="I1037" s="135" t="s">
        <v>242</v>
      </c>
      <c r="J1037" s="934"/>
      <c r="K1037" s="14"/>
      <c r="L1037" s="14"/>
      <c r="M1037" s="14"/>
      <c r="N1037" s="14"/>
      <c r="O1037" s="14"/>
    </row>
    <row r="1038" spans="1:15" ht="15.75" customHeight="1">
      <c r="A1038" s="1552"/>
      <c r="B1038" s="135">
        <v>13003</v>
      </c>
      <c r="C1038" s="233">
        <v>0.1</v>
      </c>
      <c r="D1038" s="137" t="s">
        <v>736</v>
      </c>
      <c r="E1038" s="143">
        <v>1200000</v>
      </c>
      <c r="F1038" s="478">
        <v>7.0000000000000007E-2</v>
      </c>
      <c r="G1038" s="278">
        <f t="shared" si="41"/>
        <v>84000.000000000015</v>
      </c>
      <c r="H1038" s="144" t="s">
        <v>311</v>
      </c>
      <c r="I1038" s="135" t="s">
        <v>242</v>
      </c>
      <c r="J1038" s="934"/>
      <c r="K1038" s="14"/>
      <c r="L1038" s="14"/>
      <c r="M1038" s="14"/>
      <c r="N1038" s="14"/>
      <c r="O1038" s="14"/>
    </row>
    <row r="1039" spans="1:15" ht="15.75" customHeight="1">
      <c r="A1039" s="1552"/>
      <c r="B1039" s="135">
        <v>13006</v>
      </c>
      <c r="C1039" s="233">
        <v>0.1</v>
      </c>
      <c r="D1039" s="137" t="s">
        <v>737</v>
      </c>
      <c r="E1039" s="143">
        <v>1400000</v>
      </c>
      <c r="F1039" s="478">
        <v>0.12</v>
      </c>
      <c r="G1039" s="278">
        <f t="shared" si="41"/>
        <v>168000</v>
      </c>
      <c r="H1039" s="144" t="s">
        <v>180</v>
      </c>
      <c r="I1039" s="135" t="s">
        <v>242</v>
      </c>
      <c r="J1039" s="934"/>
      <c r="K1039" s="14"/>
      <c r="L1039" s="14"/>
      <c r="M1039" s="14"/>
      <c r="N1039" s="14"/>
      <c r="O1039" s="14"/>
    </row>
    <row r="1040" spans="1:15" ht="15.75" customHeight="1">
      <c r="A1040" s="1552"/>
      <c r="B1040" s="135">
        <v>13011</v>
      </c>
      <c r="C1040" s="233">
        <v>0.1</v>
      </c>
      <c r="D1040" s="137" t="s">
        <v>738</v>
      </c>
      <c r="E1040" s="143">
        <v>1400000</v>
      </c>
      <c r="F1040" s="478">
        <v>7.0000000000000007E-2</v>
      </c>
      <c r="G1040" s="278">
        <f t="shared" si="41"/>
        <v>98000.000000000015</v>
      </c>
      <c r="H1040" s="144" t="s">
        <v>311</v>
      </c>
      <c r="I1040" s="135" t="s">
        <v>100</v>
      </c>
      <c r="J1040" s="934"/>
      <c r="K1040" s="14"/>
      <c r="L1040" s="14"/>
      <c r="M1040" s="14"/>
      <c r="N1040" s="14"/>
      <c r="O1040" s="14"/>
    </row>
    <row r="1041" spans="1:15" ht="15.75" customHeight="1">
      <c r="A1041" s="1552"/>
      <c r="B1041" s="135">
        <v>13037</v>
      </c>
      <c r="C1041" s="331">
        <v>0.08</v>
      </c>
      <c r="D1041" s="137" t="s">
        <v>739</v>
      </c>
      <c r="E1041" s="143">
        <v>1300000</v>
      </c>
      <c r="F1041" s="140">
        <v>0.1</v>
      </c>
      <c r="G1041" s="278">
        <f t="shared" si="41"/>
        <v>130000</v>
      </c>
      <c r="H1041" s="144" t="s">
        <v>180</v>
      </c>
      <c r="I1041" s="135" t="s">
        <v>333</v>
      </c>
      <c r="J1041" s="934"/>
      <c r="K1041" s="14"/>
      <c r="L1041" s="14"/>
      <c r="M1041" s="14"/>
      <c r="N1041" s="14"/>
      <c r="O1041" s="14"/>
    </row>
    <row r="1042" spans="1:15" ht="15.75" customHeight="1">
      <c r="A1042" s="1552"/>
      <c r="B1042" s="135">
        <v>13052</v>
      </c>
      <c r="C1042" s="233">
        <v>0.1</v>
      </c>
      <c r="D1042" s="137" t="s">
        <v>740</v>
      </c>
      <c r="E1042" s="143">
        <v>1450000</v>
      </c>
      <c r="F1042" s="478">
        <v>7.0000000000000007E-2</v>
      </c>
      <c r="G1042" s="278">
        <f t="shared" si="41"/>
        <v>101500.00000000001</v>
      </c>
      <c r="H1042" s="144" t="s">
        <v>741</v>
      </c>
      <c r="I1042" s="135" t="s">
        <v>242</v>
      </c>
      <c r="J1042" s="934"/>
      <c r="K1042" s="14"/>
      <c r="L1042" s="14"/>
      <c r="M1042" s="14"/>
      <c r="N1042" s="14"/>
      <c r="O1042" s="14"/>
    </row>
    <row r="1043" spans="1:15" ht="15.75" customHeight="1">
      <c r="A1043" s="1552"/>
      <c r="B1043" s="135">
        <v>13045</v>
      </c>
      <c r="C1043" s="233">
        <v>0.1</v>
      </c>
      <c r="D1043" s="137" t="s">
        <v>742</v>
      </c>
      <c r="E1043" s="143">
        <v>1650000</v>
      </c>
      <c r="F1043" s="478">
        <v>0.12</v>
      </c>
      <c r="G1043" s="278">
        <f t="shared" si="41"/>
        <v>198000</v>
      </c>
      <c r="H1043" s="144" t="s">
        <v>180</v>
      </c>
      <c r="I1043" s="135" t="s">
        <v>242</v>
      </c>
      <c r="J1043" s="934"/>
      <c r="K1043" s="14"/>
      <c r="L1043" s="14"/>
      <c r="M1043" s="14"/>
      <c r="N1043" s="14"/>
      <c r="O1043" s="14"/>
    </row>
    <row r="1044" spans="1:15" ht="15.75" customHeight="1">
      <c r="A1044" s="1552"/>
      <c r="B1044" s="135">
        <v>13091</v>
      </c>
      <c r="C1044" s="331">
        <v>0.08</v>
      </c>
      <c r="D1044" s="137" t="s">
        <v>743</v>
      </c>
      <c r="E1044" s="143">
        <v>1600000</v>
      </c>
      <c r="F1044" s="140">
        <v>0.05</v>
      </c>
      <c r="G1044" s="278">
        <f t="shared" si="41"/>
        <v>80000</v>
      </c>
      <c r="H1044" s="144" t="s">
        <v>30</v>
      </c>
      <c r="I1044" s="135" t="s">
        <v>242</v>
      </c>
      <c r="J1044" s="934"/>
      <c r="K1044" s="14"/>
      <c r="L1044" s="14"/>
      <c r="M1044" s="14"/>
      <c r="N1044" s="14"/>
      <c r="O1044" s="14"/>
    </row>
    <row r="1045" spans="1:15" ht="15.75" customHeight="1">
      <c r="A1045" s="1552"/>
      <c r="B1045" s="135">
        <v>13113</v>
      </c>
      <c r="C1045" s="233">
        <v>0.1</v>
      </c>
      <c r="D1045" s="137" t="s">
        <v>744</v>
      </c>
      <c r="E1045" s="143">
        <v>1000000</v>
      </c>
      <c r="F1045" s="478">
        <v>0.12</v>
      </c>
      <c r="G1045" s="278">
        <f t="shared" ref="G1045" si="42">E1045*F1045</f>
        <v>120000</v>
      </c>
      <c r="H1045" s="144" t="s">
        <v>180</v>
      </c>
      <c r="I1045" s="135" t="s">
        <v>242</v>
      </c>
      <c r="J1045" s="934"/>
      <c r="K1045" s="14"/>
      <c r="L1045" s="14"/>
      <c r="M1045" s="14"/>
      <c r="N1045" s="14"/>
      <c r="O1045" s="14"/>
    </row>
    <row r="1046" spans="1:15" ht="15.75" customHeight="1">
      <c r="A1046" s="1552"/>
      <c r="B1046" s="211" t="s">
        <v>297</v>
      </c>
      <c r="C1046" s="267"/>
      <c r="D1046" s="225" t="s">
        <v>745</v>
      </c>
      <c r="E1046" s="308"/>
      <c r="F1046" s="348"/>
      <c r="G1046" s="268"/>
      <c r="H1046" s="503" t="s">
        <v>180</v>
      </c>
      <c r="I1046" s="211" t="s">
        <v>234</v>
      </c>
      <c r="J1046" s="935" t="s">
        <v>543</v>
      </c>
      <c r="K1046" s="14"/>
      <c r="L1046" s="14"/>
      <c r="M1046" s="14"/>
      <c r="N1046" s="14"/>
      <c r="O1046" s="14"/>
    </row>
    <row r="1047" spans="1:15" ht="15.75" customHeight="1">
      <c r="A1047" s="1552"/>
      <c r="B1047" s="211" t="s">
        <v>297</v>
      </c>
      <c r="C1047" s="267"/>
      <c r="D1047" s="225" t="s">
        <v>746</v>
      </c>
      <c r="E1047" s="308"/>
      <c r="F1047" s="348"/>
      <c r="G1047" s="815"/>
      <c r="H1047" s="503" t="s">
        <v>134</v>
      </c>
      <c r="I1047" s="211" t="s">
        <v>234</v>
      </c>
      <c r="J1047" s="935" t="s">
        <v>747</v>
      </c>
      <c r="K1047" s="14"/>
      <c r="L1047" s="14"/>
      <c r="M1047" s="14"/>
      <c r="N1047" s="14"/>
      <c r="O1047" s="14"/>
    </row>
    <row r="1048" spans="1:15" ht="15.75" customHeight="1">
      <c r="A1048" s="1552"/>
      <c r="B1048" s="211" t="s">
        <v>297</v>
      </c>
      <c r="C1048" s="267"/>
      <c r="D1048" s="225" t="s">
        <v>748</v>
      </c>
      <c r="E1048" s="308"/>
      <c r="F1048" s="348"/>
      <c r="G1048" s="268"/>
      <c r="H1048" s="503" t="s">
        <v>30</v>
      </c>
      <c r="I1048" s="211" t="s">
        <v>242</v>
      </c>
      <c r="J1048" s="938" t="s">
        <v>749</v>
      </c>
      <c r="K1048" s="14"/>
      <c r="L1048" s="14"/>
      <c r="M1048" s="14"/>
      <c r="N1048" s="14"/>
      <c r="O1048" s="14"/>
    </row>
    <row r="1049" spans="1:15" ht="29.25" customHeight="1">
      <c r="A1049" s="1552"/>
      <c r="B1049" s="211" t="s">
        <v>297</v>
      </c>
      <c r="C1049" s="267"/>
      <c r="D1049" s="225" t="s">
        <v>750</v>
      </c>
      <c r="E1049" s="308"/>
      <c r="F1049" s="348"/>
      <c r="G1049" s="268"/>
      <c r="H1049" s="503"/>
      <c r="I1049" s="211"/>
      <c r="J1049" s="956" t="s">
        <v>751</v>
      </c>
      <c r="K1049" s="14"/>
      <c r="L1049" s="14"/>
      <c r="M1049" s="772" t="s">
        <v>80</v>
      </c>
      <c r="N1049" s="156"/>
      <c r="O1049" s="533">
        <f>SUM(O1030:O1031)</f>
        <v>125000</v>
      </c>
    </row>
    <row r="1050" spans="1:15" ht="15.75" customHeight="1">
      <c r="A1050" s="1552"/>
      <c r="B1050" s="163"/>
      <c r="C1050" s="658"/>
      <c r="D1050" s="262"/>
      <c r="E1050" s="261"/>
      <c r="F1050" s="659"/>
      <c r="G1050" s="286"/>
      <c r="H1050" s="271"/>
      <c r="I1050" s="163"/>
      <c r="J1050" s="957"/>
      <c r="K1050" s="14"/>
      <c r="L1050" s="14"/>
      <c r="M1050" s="156"/>
      <c r="N1050" s="156"/>
      <c r="O1050" s="154"/>
    </row>
    <row r="1051" spans="1:15" ht="18.75" customHeight="1">
      <c r="A1051" s="1542"/>
      <c r="B1051" s="7"/>
      <c r="C1051" s="7"/>
      <c r="D1051" s="42"/>
      <c r="E1051" s="898">
        <f>SUM(E1030:E1050)</f>
        <v>22500000</v>
      </c>
      <c r="F1051" s="899"/>
      <c r="G1051" s="900">
        <f>SUM(G1030:G1050)</f>
        <v>2064000</v>
      </c>
      <c r="H1051" s="42"/>
      <c r="I1051" s="519"/>
      <c r="J1051" s="519"/>
      <c r="K1051" s="14"/>
      <c r="L1051" s="14"/>
      <c r="M1051" s="906" t="s">
        <v>80</v>
      </c>
      <c r="N1051" s="906"/>
      <c r="O1051" s="897">
        <f>G1051+O1049</f>
        <v>2189000</v>
      </c>
    </row>
    <row r="1054" spans="1:15" ht="23.25">
      <c r="A1054" s="1563" t="s">
        <v>138</v>
      </c>
      <c r="B1054" s="1564"/>
      <c r="C1054" s="1564"/>
      <c r="D1054" s="1563"/>
      <c r="E1054" s="1564"/>
      <c r="F1054" s="1564"/>
      <c r="G1054" s="1564"/>
      <c r="H1054" s="1564"/>
      <c r="I1054" s="1564"/>
      <c r="J1054" s="1565"/>
      <c r="K1054" s="1533" t="s">
        <v>2</v>
      </c>
      <c r="L1054" s="1533"/>
      <c r="M1054" s="1533"/>
      <c r="N1054" s="1533"/>
      <c r="O1054" s="1533"/>
    </row>
    <row r="1055" spans="1:15" ht="30">
      <c r="A1055" s="3" t="s">
        <v>3</v>
      </c>
      <c r="B1055" s="657" t="s">
        <v>120</v>
      </c>
      <c r="C1055" s="818" t="s">
        <v>4</v>
      </c>
      <c r="D1055" s="3" t="s">
        <v>5</v>
      </c>
      <c r="E1055" s="657" t="s">
        <v>6</v>
      </c>
      <c r="F1055" s="68" t="s">
        <v>7</v>
      </c>
      <c r="G1055" s="68" t="s">
        <v>8</v>
      </c>
      <c r="H1055" s="68" t="s">
        <v>9</v>
      </c>
      <c r="I1055" s="68" t="s">
        <v>10</v>
      </c>
      <c r="J1055" s="68" t="s">
        <v>11</v>
      </c>
      <c r="K1055" s="68" t="s">
        <v>12</v>
      </c>
      <c r="L1055" s="68" t="s">
        <v>5</v>
      </c>
      <c r="M1055" s="68" t="s">
        <v>13</v>
      </c>
      <c r="N1055" s="129" t="s">
        <v>7</v>
      </c>
      <c r="O1055" s="68" t="s">
        <v>14</v>
      </c>
    </row>
    <row r="1056" spans="1:15" ht="15.75">
      <c r="A1056" s="1552">
        <v>5</v>
      </c>
      <c r="B1056" s="701">
        <v>12903</v>
      </c>
      <c r="C1056" s="148">
        <v>0.1</v>
      </c>
      <c r="D1056" s="136" t="s">
        <v>752</v>
      </c>
      <c r="E1056" s="699">
        <v>1250000</v>
      </c>
      <c r="F1056" s="148">
        <v>0.05</v>
      </c>
      <c r="G1056" s="335">
        <f>E1056*F1056</f>
        <v>62500</v>
      </c>
      <c r="H1056" s="147" t="s">
        <v>30</v>
      </c>
      <c r="I1056" s="147" t="s">
        <v>234</v>
      </c>
      <c r="J1056" s="917"/>
      <c r="K1056" s="701">
        <v>12946</v>
      </c>
      <c r="L1056" s="137" t="s">
        <v>753</v>
      </c>
      <c r="M1056" s="143">
        <v>1300000</v>
      </c>
      <c r="N1056" s="231">
        <v>0.04</v>
      </c>
      <c r="O1056" s="143">
        <f>M1056*N1056</f>
        <v>52000</v>
      </c>
    </row>
    <row r="1057" spans="1:15" ht="15.75">
      <c r="A1057" s="1552"/>
      <c r="B1057" s="135">
        <v>12919</v>
      </c>
      <c r="C1057" s="703">
        <v>0.1</v>
      </c>
      <c r="D1057" s="136" t="s">
        <v>754</v>
      </c>
      <c r="E1057" s="699">
        <v>1400000</v>
      </c>
      <c r="F1057" s="148">
        <v>0.04</v>
      </c>
      <c r="G1057" s="335">
        <f t="shared" ref="G1057:G1062" si="43">E1057*F1057</f>
        <v>56000</v>
      </c>
      <c r="H1057" s="147" t="s">
        <v>520</v>
      </c>
      <c r="I1057" s="147" t="s">
        <v>234</v>
      </c>
      <c r="J1057" s="917"/>
      <c r="K1057" s="14"/>
      <c r="L1057" s="14"/>
      <c r="M1057" s="14"/>
      <c r="N1057" s="14"/>
      <c r="O1057" s="14"/>
    </row>
    <row r="1058" spans="1:15" ht="15.75">
      <c r="A1058" s="1552"/>
      <c r="B1058" s="701">
        <v>12917</v>
      </c>
      <c r="C1058" s="933">
        <v>0.1</v>
      </c>
      <c r="D1058" s="137" t="s">
        <v>755</v>
      </c>
      <c r="E1058" s="699">
        <v>1300000</v>
      </c>
      <c r="F1058" s="148">
        <v>0.08</v>
      </c>
      <c r="G1058" s="335">
        <f t="shared" si="43"/>
        <v>104000</v>
      </c>
      <c r="H1058" s="147" t="s">
        <v>286</v>
      </c>
      <c r="I1058" s="147" t="s">
        <v>128</v>
      </c>
      <c r="J1058" s="917"/>
      <c r="K1058" s="14"/>
      <c r="L1058" s="14"/>
      <c r="M1058" s="14"/>
      <c r="N1058" s="14"/>
      <c r="O1058" s="14"/>
    </row>
    <row r="1059" spans="1:15" ht="15.75">
      <c r="A1059" s="1552"/>
      <c r="B1059" s="135">
        <v>12947</v>
      </c>
      <c r="C1059" s="871">
        <v>0.08</v>
      </c>
      <c r="D1059" s="137" t="s">
        <v>756</v>
      </c>
      <c r="E1059" s="699">
        <v>1700000</v>
      </c>
      <c r="F1059" s="140">
        <v>0.03</v>
      </c>
      <c r="G1059" s="335">
        <f t="shared" si="43"/>
        <v>51000</v>
      </c>
      <c r="H1059" s="147" t="s">
        <v>757</v>
      </c>
      <c r="I1059" s="147" t="s">
        <v>242</v>
      </c>
      <c r="J1059" s="917"/>
      <c r="K1059" s="14"/>
      <c r="L1059" s="14"/>
      <c r="M1059" s="14"/>
      <c r="N1059" s="14"/>
      <c r="O1059" s="14"/>
    </row>
    <row r="1060" spans="1:15" ht="15.75">
      <c r="A1060" s="1552"/>
      <c r="B1060" s="701">
        <v>13040</v>
      </c>
      <c r="C1060" s="933">
        <v>0.1</v>
      </c>
      <c r="D1060" s="137" t="s">
        <v>758</v>
      </c>
      <c r="E1060" s="699">
        <v>1400000</v>
      </c>
      <c r="F1060" s="148">
        <v>0.04</v>
      </c>
      <c r="G1060" s="335">
        <f t="shared" si="43"/>
        <v>56000</v>
      </c>
      <c r="H1060" s="147" t="s">
        <v>134</v>
      </c>
      <c r="I1060" s="147" t="s">
        <v>234</v>
      </c>
      <c r="J1060" s="917"/>
      <c r="K1060" s="14"/>
      <c r="L1060" s="14"/>
      <c r="M1060" s="14"/>
      <c r="N1060" s="14"/>
      <c r="O1060" s="14"/>
    </row>
    <row r="1061" spans="1:15" ht="15.75">
      <c r="A1061" s="1552"/>
      <c r="B1061" s="135">
        <v>13081</v>
      </c>
      <c r="C1061" s="703">
        <v>0.1</v>
      </c>
      <c r="D1061" s="137" t="s">
        <v>759</v>
      </c>
      <c r="E1061" s="699">
        <v>1300000</v>
      </c>
      <c r="F1061" s="148">
        <v>0.08</v>
      </c>
      <c r="G1061" s="335">
        <f t="shared" si="43"/>
        <v>104000</v>
      </c>
      <c r="H1061" s="147" t="s">
        <v>286</v>
      </c>
      <c r="I1061" s="147" t="s">
        <v>333</v>
      </c>
      <c r="J1061" s="917"/>
      <c r="K1061" s="14"/>
      <c r="L1061" s="14"/>
      <c r="M1061" s="14"/>
      <c r="N1061" s="14"/>
      <c r="O1061" s="14"/>
    </row>
    <row r="1062" spans="1:15" ht="15.75">
      <c r="A1062" s="1552"/>
      <c r="B1062" s="135">
        <v>13122</v>
      </c>
      <c r="C1062" s="703">
        <v>0.1</v>
      </c>
      <c r="D1062" s="137" t="s">
        <v>759</v>
      </c>
      <c r="E1062" s="699">
        <v>1500000</v>
      </c>
      <c r="F1062" s="148">
        <v>0.08</v>
      </c>
      <c r="G1062" s="335">
        <f t="shared" si="43"/>
        <v>120000</v>
      </c>
      <c r="H1062" s="147" t="s">
        <v>286</v>
      </c>
      <c r="I1062" s="147" t="s">
        <v>242</v>
      </c>
      <c r="J1062" s="917"/>
      <c r="K1062" s="14"/>
      <c r="L1062" s="14"/>
      <c r="M1062" s="14"/>
      <c r="N1062" s="14"/>
      <c r="O1062" s="14"/>
    </row>
    <row r="1063" spans="1:15" ht="15.75">
      <c r="A1063" s="1552"/>
      <c r="B1063" s="211" t="s">
        <v>297</v>
      </c>
      <c r="C1063" s="267">
        <v>0.1</v>
      </c>
      <c r="D1063" s="225" t="s">
        <v>760</v>
      </c>
      <c r="E1063" s="225"/>
      <c r="F1063" s="285"/>
      <c r="G1063" s="328"/>
      <c r="H1063" s="289"/>
      <c r="I1063" s="289" t="s">
        <v>242</v>
      </c>
      <c r="J1063" s="942" t="s">
        <v>761</v>
      </c>
      <c r="K1063" s="31"/>
      <c r="L1063" s="31"/>
      <c r="M1063" s="31"/>
      <c r="N1063" s="31"/>
      <c r="O1063" s="31"/>
    </row>
    <row r="1064" spans="1:15" ht="18">
      <c r="A1064" s="1552"/>
      <c r="B1064" s="503" t="s">
        <v>297</v>
      </c>
      <c r="C1064" s="761"/>
      <c r="D1064" s="887" t="s">
        <v>762</v>
      </c>
      <c r="E1064" s="749"/>
      <c r="F1064" s="285"/>
      <c r="G1064" s="328"/>
      <c r="H1064" s="289"/>
      <c r="I1064" s="289"/>
      <c r="J1064" s="942" t="s">
        <v>763</v>
      </c>
      <c r="K1064" s="14"/>
      <c r="L1064" s="14"/>
      <c r="M1064" s="772" t="s">
        <v>80</v>
      </c>
      <c r="N1064" s="772"/>
      <c r="O1064" s="533">
        <f>SUM(O1056:O1063)</f>
        <v>52000</v>
      </c>
    </row>
    <row r="1065" spans="1:15" ht="18">
      <c r="A1065" s="1552"/>
      <c r="B1065" s="271"/>
      <c r="C1065" s="844"/>
      <c r="D1065" s="795"/>
      <c r="E1065" s="845"/>
      <c r="F1065" s="279"/>
      <c r="G1065" s="281"/>
      <c r="H1065" s="213"/>
      <c r="I1065" s="213"/>
      <c r="J1065" s="962"/>
      <c r="K1065" s="14"/>
      <c r="L1065" s="14"/>
      <c r="M1065" s="967"/>
      <c r="N1065" s="967"/>
      <c r="O1065" s="967"/>
    </row>
    <row r="1066" spans="1:15" ht="21">
      <c r="A1066" s="1542"/>
      <c r="B1066" s="7"/>
      <c r="C1066" s="7"/>
      <c r="D1066" s="42"/>
      <c r="E1066" s="898">
        <f>SUM(E1056:E1065)</f>
        <v>9850000</v>
      </c>
      <c r="F1066" s="899"/>
      <c r="G1066" s="900">
        <f>SUM(G1056:G1065)</f>
        <v>553500</v>
      </c>
      <c r="H1066" s="42"/>
      <c r="I1066" s="42"/>
      <c r="J1066" s="6"/>
      <c r="K1066" s="14"/>
      <c r="L1066" s="14"/>
      <c r="M1066" s="906" t="s">
        <v>80</v>
      </c>
      <c r="N1066" s="906"/>
      <c r="O1066" s="897">
        <f>G1066+O1064</f>
        <v>605500</v>
      </c>
    </row>
    <row r="1070" spans="1:15" ht="23.25">
      <c r="A1070" s="1548" t="s">
        <v>56</v>
      </c>
      <c r="B1070" s="1532"/>
      <c r="C1070" s="1532"/>
      <c r="D1070" s="1531"/>
      <c r="E1070" s="1532"/>
      <c r="F1070" s="1532"/>
      <c r="G1070" s="1532"/>
      <c r="H1070" s="1532"/>
      <c r="I1070" s="1532"/>
      <c r="J1070" s="1549"/>
      <c r="K1070" s="1533" t="s">
        <v>2</v>
      </c>
      <c r="L1070" s="1533"/>
      <c r="M1070" s="1533"/>
      <c r="N1070" s="1533"/>
      <c r="O1070" s="1533"/>
    </row>
    <row r="1071" spans="1:15" ht="30">
      <c r="A1071" s="3" t="s">
        <v>3</v>
      </c>
      <c r="B1071" s="361" t="s">
        <v>120</v>
      </c>
      <c r="C1071" s="367" t="s">
        <v>4</v>
      </c>
      <c r="D1071" s="3" t="s">
        <v>5</v>
      </c>
      <c r="E1071" s="361" t="s">
        <v>6</v>
      </c>
      <c r="F1071" s="1" t="s">
        <v>7</v>
      </c>
      <c r="G1071" s="1" t="s">
        <v>8</v>
      </c>
      <c r="H1071" s="361" t="s">
        <v>9</v>
      </c>
      <c r="I1071" s="1" t="s">
        <v>10</v>
      </c>
      <c r="J1071" s="126" t="s">
        <v>11</v>
      </c>
      <c r="K1071" s="68" t="s">
        <v>12</v>
      </c>
      <c r="L1071" s="68" t="s">
        <v>5</v>
      </c>
      <c r="M1071" s="68" t="s">
        <v>13</v>
      </c>
      <c r="N1071" s="129" t="s">
        <v>7</v>
      </c>
      <c r="O1071" s="68" t="s">
        <v>14</v>
      </c>
    </row>
    <row r="1072" spans="1:15" ht="15.75">
      <c r="A1072" s="1556" t="s">
        <v>764</v>
      </c>
      <c r="B1072" s="701">
        <v>12918</v>
      </c>
      <c r="C1072" s="557">
        <v>0.1</v>
      </c>
      <c r="D1072" s="136" t="s">
        <v>765</v>
      </c>
      <c r="E1072" s="558">
        <v>1400000</v>
      </c>
      <c r="F1072" s="138">
        <v>0.1</v>
      </c>
      <c r="G1072" s="278">
        <f>E1072*F1072</f>
        <v>140000</v>
      </c>
      <c r="H1072" s="828" t="s">
        <v>311</v>
      </c>
      <c r="I1072" s="135" t="s">
        <v>100</v>
      </c>
      <c r="J1072" s="136"/>
      <c r="K1072" s="135">
        <v>13003</v>
      </c>
      <c r="L1072" s="137" t="s">
        <v>736</v>
      </c>
      <c r="M1072" s="143">
        <v>1200000</v>
      </c>
      <c r="N1072" s="231">
        <v>0.05</v>
      </c>
      <c r="O1072" s="143">
        <f>M1072*N1072</f>
        <v>60000</v>
      </c>
    </row>
    <row r="1073" spans="1:15" ht="15.75">
      <c r="A1073" s="1552"/>
      <c r="B1073" s="701">
        <v>12971</v>
      </c>
      <c r="C1073" s="557">
        <v>0.1</v>
      </c>
      <c r="D1073" s="136" t="s">
        <v>766</v>
      </c>
      <c r="E1073" s="558">
        <v>1350000</v>
      </c>
      <c r="F1073" s="478">
        <v>0.1</v>
      </c>
      <c r="G1073" s="278">
        <f t="shared" ref="G1073:G1083" si="44">E1073*F1073</f>
        <v>135000</v>
      </c>
      <c r="H1073" s="828" t="s">
        <v>311</v>
      </c>
      <c r="I1073" s="135" t="s">
        <v>242</v>
      </c>
      <c r="J1073" s="136"/>
      <c r="K1073" s="135">
        <v>13011</v>
      </c>
      <c r="L1073" s="137" t="s">
        <v>738</v>
      </c>
      <c r="M1073" s="143">
        <v>1400000</v>
      </c>
      <c r="N1073" s="231">
        <v>0.05</v>
      </c>
      <c r="O1073" s="143">
        <f>M1073*N1073</f>
        <v>70000</v>
      </c>
    </row>
    <row r="1074" spans="1:15" ht="15.75">
      <c r="A1074" s="1552"/>
      <c r="B1074" s="135">
        <v>12985</v>
      </c>
      <c r="C1074" s="939">
        <v>0.09</v>
      </c>
      <c r="D1074" s="136" t="s">
        <v>767</v>
      </c>
      <c r="E1074" s="558">
        <v>1300000</v>
      </c>
      <c r="F1074" s="140">
        <v>0.08</v>
      </c>
      <c r="G1074" s="278">
        <f t="shared" si="44"/>
        <v>104000</v>
      </c>
      <c r="H1074" s="828" t="s">
        <v>311</v>
      </c>
      <c r="I1074" s="135" t="s">
        <v>100</v>
      </c>
      <c r="J1074" s="136"/>
      <c r="K1074" s="135">
        <v>13001</v>
      </c>
      <c r="L1074" s="137" t="s">
        <v>768</v>
      </c>
      <c r="M1074" s="143">
        <v>2400000</v>
      </c>
      <c r="N1074" s="231">
        <v>0.05</v>
      </c>
      <c r="O1074" s="143">
        <f>M1074*N1074</f>
        <v>120000</v>
      </c>
    </row>
    <row r="1075" spans="1:15" ht="15.75">
      <c r="A1075" s="1552"/>
      <c r="B1075" s="701">
        <v>12995</v>
      </c>
      <c r="C1075" s="557">
        <v>0.1</v>
      </c>
      <c r="D1075" s="137" t="s">
        <v>769</v>
      </c>
      <c r="E1075" s="558">
        <v>1100000</v>
      </c>
      <c r="F1075" s="478">
        <v>0.05</v>
      </c>
      <c r="G1075" s="278">
        <f t="shared" si="44"/>
        <v>55000</v>
      </c>
      <c r="H1075" s="828" t="s">
        <v>520</v>
      </c>
      <c r="I1075" s="135" t="s">
        <v>128</v>
      </c>
      <c r="J1075" s="596"/>
      <c r="K1075" s="664"/>
      <c r="L1075" s="14"/>
      <c r="M1075" s="14"/>
      <c r="N1075" s="14"/>
      <c r="O1075" s="14"/>
    </row>
    <row r="1076" spans="1:15" ht="15.75">
      <c r="A1076" s="1552"/>
      <c r="B1076" s="701">
        <v>13029</v>
      </c>
      <c r="C1076" s="557">
        <v>0.1</v>
      </c>
      <c r="D1076" s="137" t="s">
        <v>770</v>
      </c>
      <c r="E1076" s="558">
        <v>800000</v>
      </c>
      <c r="F1076" s="478">
        <v>0.1</v>
      </c>
      <c r="G1076" s="278">
        <f t="shared" si="44"/>
        <v>80000</v>
      </c>
      <c r="H1076" s="828" t="s">
        <v>311</v>
      </c>
      <c r="I1076" s="135" t="s">
        <v>128</v>
      </c>
      <c r="J1076" s="596"/>
      <c r="K1076" s="664"/>
      <c r="L1076" s="14"/>
      <c r="M1076" s="14"/>
      <c r="N1076" s="14"/>
      <c r="O1076" s="14"/>
    </row>
    <row r="1077" spans="1:15" ht="15.75">
      <c r="A1077" s="1552"/>
      <c r="B1077" s="144">
        <v>13047</v>
      </c>
      <c r="C1077" s="557">
        <v>0.1</v>
      </c>
      <c r="D1077" s="137" t="s">
        <v>771</v>
      </c>
      <c r="E1077" s="558">
        <v>1400000</v>
      </c>
      <c r="F1077" s="478">
        <v>0.1</v>
      </c>
      <c r="G1077" s="278">
        <f t="shared" si="44"/>
        <v>140000</v>
      </c>
      <c r="H1077" s="828" t="s">
        <v>311</v>
      </c>
      <c r="I1077" s="135" t="s">
        <v>242</v>
      </c>
      <c r="J1077" s="596"/>
      <c r="K1077" s="664"/>
      <c r="L1077" s="14"/>
      <c r="M1077" s="14"/>
      <c r="N1077" s="14"/>
      <c r="O1077" s="14"/>
    </row>
    <row r="1078" spans="1:15" ht="15.75">
      <c r="A1078" s="1552"/>
      <c r="B1078" s="701">
        <v>13065</v>
      </c>
      <c r="C1078" s="557">
        <v>0.1</v>
      </c>
      <c r="D1078" s="137" t="s">
        <v>772</v>
      </c>
      <c r="E1078" s="558">
        <v>1400000</v>
      </c>
      <c r="F1078" s="478">
        <v>0.1</v>
      </c>
      <c r="G1078" s="278">
        <f t="shared" si="44"/>
        <v>140000</v>
      </c>
      <c r="H1078" s="828" t="s">
        <v>311</v>
      </c>
      <c r="I1078" s="135" t="s">
        <v>128</v>
      </c>
      <c r="J1078" s="596"/>
      <c r="K1078" s="664"/>
      <c r="L1078" s="14"/>
      <c r="M1078" s="14"/>
      <c r="N1078" s="14"/>
      <c r="O1078" s="14"/>
    </row>
    <row r="1079" spans="1:15" ht="15.75">
      <c r="A1079" s="1552"/>
      <c r="B1079" s="135">
        <v>13069</v>
      </c>
      <c r="C1079" s="557">
        <v>0.1</v>
      </c>
      <c r="D1079" s="137" t="s">
        <v>773</v>
      </c>
      <c r="E1079" s="558">
        <v>1600000</v>
      </c>
      <c r="F1079" s="478">
        <v>0.06</v>
      </c>
      <c r="G1079" s="278">
        <f t="shared" si="44"/>
        <v>96000</v>
      </c>
      <c r="H1079" s="828" t="s">
        <v>30</v>
      </c>
      <c r="I1079" s="135" t="s">
        <v>234</v>
      </c>
      <c r="J1079" s="596"/>
      <c r="K1079" s="664"/>
      <c r="L1079" s="14"/>
      <c r="M1079" s="14"/>
      <c r="N1079" s="14"/>
      <c r="O1079" s="14"/>
    </row>
    <row r="1080" spans="1:15" ht="15.75">
      <c r="A1080" s="1552"/>
      <c r="B1080" s="135">
        <v>13043</v>
      </c>
      <c r="C1080" s="557">
        <v>0.1</v>
      </c>
      <c r="D1080" s="137" t="s">
        <v>774</v>
      </c>
      <c r="E1080" s="558">
        <v>1000000</v>
      </c>
      <c r="F1080" s="478">
        <v>0.1</v>
      </c>
      <c r="G1080" s="278">
        <f t="shared" si="44"/>
        <v>100000</v>
      </c>
      <c r="H1080" s="828" t="s">
        <v>311</v>
      </c>
      <c r="I1080" s="135" t="s">
        <v>100</v>
      </c>
      <c r="J1080" s="596"/>
      <c r="K1080" s="664"/>
      <c r="L1080" s="14"/>
      <c r="M1080" s="14"/>
      <c r="N1080" s="14"/>
      <c r="O1080" s="14"/>
    </row>
    <row r="1081" spans="1:15" ht="15.75">
      <c r="A1081" s="1552"/>
      <c r="B1081" s="135">
        <v>13075</v>
      </c>
      <c r="C1081" s="557">
        <v>0.1</v>
      </c>
      <c r="D1081" s="137" t="s">
        <v>775</v>
      </c>
      <c r="E1081" s="558">
        <v>750000</v>
      </c>
      <c r="F1081" s="478">
        <v>0.1</v>
      </c>
      <c r="G1081" s="278">
        <f t="shared" si="44"/>
        <v>75000</v>
      </c>
      <c r="H1081" s="828" t="s">
        <v>311</v>
      </c>
      <c r="I1081" s="135" t="s">
        <v>100</v>
      </c>
      <c r="J1081" s="596"/>
      <c r="K1081" s="664"/>
      <c r="L1081" s="14"/>
      <c r="M1081" s="14"/>
      <c r="N1081" s="14"/>
      <c r="O1081" s="14"/>
    </row>
    <row r="1082" spans="1:15" ht="15.75">
      <c r="A1082" s="1552"/>
      <c r="B1082" s="135">
        <v>13114</v>
      </c>
      <c r="C1082" s="557">
        <v>0.1</v>
      </c>
      <c r="D1082" s="137" t="s">
        <v>729</v>
      </c>
      <c r="E1082" s="558">
        <v>1100000</v>
      </c>
      <c r="F1082" s="478">
        <v>0.05</v>
      </c>
      <c r="G1082" s="278">
        <f t="shared" si="44"/>
        <v>55000</v>
      </c>
      <c r="H1082" s="828" t="s">
        <v>180</v>
      </c>
      <c r="I1082" s="135" t="s">
        <v>100</v>
      </c>
      <c r="J1082" s="596"/>
      <c r="K1082" s="664"/>
      <c r="L1082" s="14"/>
      <c r="M1082" s="14"/>
      <c r="N1082" s="14"/>
      <c r="O1082" s="14"/>
    </row>
    <row r="1083" spans="1:15" ht="15.75">
      <c r="A1083" s="1552"/>
      <c r="B1083" s="135">
        <v>13127</v>
      </c>
      <c r="C1083" s="557">
        <v>0.1</v>
      </c>
      <c r="D1083" s="137" t="s">
        <v>776</v>
      </c>
      <c r="E1083" s="558">
        <v>750000</v>
      </c>
      <c r="F1083" s="478">
        <v>0.1</v>
      </c>
      <c r="G1083" s="278">
        <f t="shared" si="44"/>
        <v>75000</v>
      </c>
      <c r="H1083" s="828" t="s">
        <v>311</v>
      </c>
      <c r="I1083" s="241" t="s">
        <v>234</v>
      </c>
      <c r="J1083" s="981"/>
      <c r="K1083" s="664"/>
      <c r="L1083" s="14"/>
      <c r="M1083" s="14"/>
      <c r="N1083" s="14"/>
      <c r="O1083" s="14"/>
    </row>
    <row r="1084" spans="1:15" ht="25.5">
      <c r="A1084" s="1552"/>
      <c r="B1084" s="211" t="s">
        <v>297</v>
      </c>
      <c r="C1084" s="918"/>
      <c r="D1084" s="277" t="s">
        <v>777</v>
      </c>
      <c r="E1084" s="889"/>
      <c r="F1084" s="220"/>
      <c r="G1084" s="268"/>
      <c r="H1084" s="268" t="s">
        <v>311</v>
      </c>
      <c r="I1084" s="209" t="s">
        <v>100</v>
      </c>
      <c r="J1084" s="945" t="s">
        <v>778</v>
      </c>
      <c r="K1084" s="14"/>
      <c r="L1084" s="14"/>
      <c r="M1084" s="14"/>
      <c r="N1084" s="14"/>
      <c r="O1084" s="14"/>
    </row>
    <row r="1085" spans="1:15" ht="15.75">
      <c r="A1085" s="1552"/>
      <c r="B1085" s="211" t="s">
        <v>297</v>
      </c>
      <c r="C1085" s="918"/>
      <c r="D1085" s="277" t="s">
        <v>779</v>
      </c>
      <c r="E1085" s="889"/>
      <c r="F1085" s="220"/>
      <c r="G1085" s="268"/>
      <c r="H1085" s="268" t="s">
        <v>30</v>
      </c>
      <c r="I1085" s="211" t="s">
        <v>128</v>
      </c>
      <c r="J1085" s="919" t="s">
        <v>780</v>
      </c>
      <c r="K1085" s="31"/>
      <c r="L1085" s="31"/>
      <c r="M1085" s="31"/>
      <c r="N1085" s="31"/>
      <c r="O1085" s="31"/>
    </row>
    <row r="1086" spans="1:15" ht="25.5">
      <c r="A1086" s="1552"/>
      <c r="B1086" s="211" t="s">
        <v>297</v>
      </c>
      <c r="C1086" s="918"/>
      <c r="D1086" s="226" t="s">
        <v>781</v>
      </c>
      <c r="E1086" s="889"/>
      <c r="F1086" s="220"/>
      <c r="G1086" s="268"/>
      <c r="H1086" s="211" t="s">
        <v>180</v>
      </c>
      <c r="I1086" s="211" t="s">
        <v>128</v>
      </c>
      <c r="J1086" s="921" t="s">
        <v>782</v>
      </c>
      <c r="K1086" s="969"/>
      <c r="L1086" s="969"/>
      <c r="M1086" s="969"/>
      <c r="N1086" s="969"/>
      <c r="O1086" s="969"/>
    </row>
    <row r="1087" spans="1:15" ht="25.5">
      <c r="A1087" s="1552"/>
      <c r="B1087" s="211" t="s">
        <v>297</v>
      </c>
      <c r="C1087" s="918"/>
      <c r="D1087" s="226" t="s">
        <v>783</v>
      </c>
      <c r="E1087" s="889"/>
      <c r="F1087" s="220"/>
      <c r="G1087" s="268"/>
      <c r="H1087" s="211" t="s">
        <v>311</v>
      </c>
      <c r="I1087" s="211" t="s">
        <v>100</v>
      </c>
      <c r="J1087" s="921" t="s">
        <v>784</v>
      </c>
      <c r="K1087" s="969"/>
      <c r="L1087" s="969"/>
      <c r="M1087" s="663" t="s">
        <v>80</v>
      </c>
      <c r="N1087" s="970"/>
      <c r="O1087" s="674">
        <f>SUM(O1072:O1076)</f>
        <v>250000</v>
      </c>
    </row>
    <row r="1088" spans="1:15" ht="15.75">
      <c r="A1088" s="1552"/>
      <c r="B1088" s="163"/>
      <c r="C1088" s="894"/>
      <c r="D1088" s="752"/>
      <c r="E1088" s="793"/>
      <c r="F1088" s="162"/>
      <c r="G1088" s="286"/>
      <c r="H1088" s="163"/>
      <c r="I1088" s="163"/>
      <c r="J1088" s="963"/>
      <c r="K1088" s="969"/>
      <c r="L1088" s="969"/>
      <c r="M1088" s="971"/>
      <c r="N1088" s="971"/>
      <c r="O1088" s="971"/>
    </row>
    <row r="1089" spans="1:15" ht="20.25">
      <c r="A1089" s="1542"/>
      <c r="B1089" s="213"/>
      <c r="C1089" s="213"/>
      <c r="D1089" s="223"/>
      <c r="E1089" s="898">
        <f>SUM(E1072:E1088)</f>
        <v>13950000</v>
      </c>
      <c r="F1089" s="968"/>
      <c r="G1089" s="900">
        <f>SUM(G1072:G1088)</f>
        <v>1195000</v>
      </c>
      <c r="H1089" s="223"/>
      <c r="I1089" s="223"/>
      <c r="J1089" s="164"/>
      <c r="K1089" s="969"/>
      <c r="L1089" s="969"/>
      <c r="M1089" s="906" t="s">
        <v>80</v>
      </c>
      <c r="N1089" s="906"/>
      <c r="O1089" s="897">
        <f>G1089+O1087</f>
        <v>1445000</v>
      </c>
    </row>
    <row r="1092" spans="1:15" ht="23.25">
      <c r="A1092" s="1530" t="s">
        <v>465</v>
      </c>
      <c r="B1092" s="1532"/>
      <c r="C1092" s="1532"/>
      <c r="D1092" s="1532"/>
      <c r="E1092" s="1532"/>
      <c r="F1092" s="1532"/>
      <c r="G1092" s="1532"/>
      <c r="H1092" s="1532"/>
      <c r="I1092" s="1532"/>
      <c r="J1092" s="1549"/>
      <c r="K1092" s="1533" t="s">
        <v>2</v>
      </c>
      <c r="L1092" s="1533"/>
      <c r="M1092" s="1533"/>
      <c r="N1092" s="1533"/>
      <c r="O1092" s="1533"/>
    </row>
    <row r="1093" spans="1:15" ht="30">
      <c r="A1093" s="126" t="s">
        <v>3</v>
      </c>
      <c r="B1093" s="1" t="s">
        <v>120</v>
      </c>
      <c r="C1093" s="367" t="s">
        <v>4</v>
      </c>
      <c r="D1093" s="1" t="s">
        <v>5</v>
      </c>
      <c r="E1093" s="1" t="s">
        <v>6</v>
      </c>
      <c r="F1093" s="1" t="s">
        <v>7</v>
      </c>
      <c r="G1093" s="1" t="s">
        <v>8</v>
      </c>
      <c r="H1093" s="361" t="s">
        <v>9</v>
      </c>
      <c r="I1093" s="1" t="s">
        <v>10</v>
      </c>
      <c r="J1093" s="126" t="s">
        <v>11</v>
      </c>
      <c r="K1093" s="68" t="s">
        <v>12</v>
      </c>
      <c r="L1093" s="68" t="s">
        <v>5</v>
      </c>
      <c r="M1093" s="68" t="s">
        <v>13</v>
      </c>
      <c r="N1093" s="129" t="s">
        <v>7</v>
      </c>
      <c r="O1093" s="68" t="s">
        <v>14</v>
      </c>
    </row>
    <row r="1094" spans="1:15" ht="15.75">
      <c r="A1094" s="1574" t="s">
        <v>95</v>
      </c>
      <c r="B1094" s="135">
        <v>12905</v>
      </c>
      <c r="C1094" s="138">
        <v>0.1</v>
      </c>
      <c r="D1094" s="137" t="s">
        <v>727</v>
      </c>
      <c r="E1094" s="139">
        <v>1400000</v>
      </c>
      <c r="F1094" s="779">
        <v>0.05</v>
      </c>
      <c r="G1094" s="619">
        <f>E1094*F1094</f>
        <v>70000</v>
      </c>
      <c r="H1094" s="741" t="s">
        <v>180</v>
      </c>
      <c r="I1094" s="741" t="s">
        <v>128</v>
      </c>
      <c r="J1094" s="755"/>
      <c r="K1094" s="701">
        <v>12997</v>
      </c>
      <c r="L1094" s="137" t="s">
        <v>785</v>
      </c>
      <c r="M1094" s="143">
        <v>1000000</v>
      </c>
      <c r="N1094" s="231">
        <v>0.05</v>
      </c>
      <c r="O1094" s="139">
        <f>M1094*N1094</f>
        <v>50000</v>
      </c>
    </row>
    <row r="1095" spans="1:15" ht="15.75">
      <c r="A1095" s="1574"/>
      <c r="B1095" s="701" t="s">
        <v>786</v>
      </c>
      <c r="C1095" s="138">
        <v>0.1</v>
      </c>
      <c r="D1095" s="136" t="s">
        <v>787</v>
      </c>
      <c r="E1095" s="139">
        <v>1700000</v>
      </c>
      <c r="F1095" s="779">
        <v>0.06</v>
      </c>
      <c r="G1095" s="619">
        <f t="shared" ref="G1095:G1097" si="45">E1095*F1095</f>
        <v>102000</v>
      </c>
      <c r="H1095" s="741" t="s">
        <v>30</v>
      </c>
      <c r="I1095" s="741" t="s">
        <v>100</v>
      </c>
      <c r="J1095" s="755"/>
      <c r="K1095" s="701">
        <v>12959</v>
      </c>
      <c r="L1095" s="137" t="s">
        <v>734</v>
      </c>
      <c r="M1095" s="143">
        <v>1650000</v>
      </c>
      <c r="N1095" s="231">
        <v>0.05</v>
      </c>
      <c r="O1095" s="139">
        <f t="shared" ref="O1095:O1098" si="46">M1095*N1095</f>
        <v>82500</v>
      </c>
    </row>
    <row r="1096" spans="1:15" ht="15.75">
      <c r="A1096" s="1574"/>
      <c r="B1096" s="701">
        <v>13087</v>
      </c>
      <c r="C1096" s="138">
        <v>0.1</v>
      </c>
      <c r="D1096" s="136" t="s">
        <v>788</v>
      </c>
      <c r="E1096" s="139">
        <v>1100000</v>
      </c>
      <c r="F1096" s="779">
        <v>0.06</v>
      </c>
      <c r="G1096" s="619">
        <f t="shared" si="45"/>
        <v>66000</v>
      </c>
      <c r="H1096" s="741" t="s">
        <v>30</v>
      </c>
      <c r="I1096" s="741" t="s">
        <v>100</v>
      </c>
      <c r="J1096" s="755"/>
      <c r="K1096" s="135">
        <v>13000</v>
      </c>
      <c r="L1096" s="137" t="s">
        <v>735</v>
      </c>
      <c r="M1096" s="143">
        <v>2700000</v>
      </c>
      <c r="N1096" s="231">
        <v>0.05</v>
      </c>
      <c r="O1096" s="139">
        <f t="shared" si="46"/>
        <v>135000</v>
      </c>
    </row>
    <row r="1097" spans="1:15" ht="15.75">
      <c r="A1097" s="1574"/>
      <c r="B1097" s="135">
        <v>13107</v>
      </c>
      <c r="C1097" s="138">
        <v>0.1</v>
      </c>
      <c r="D1097" s="137" t="s">
        <v>789</v>
      </c>
      <c r="E1097" s="139">
        <v>1750000</v>
      </c>
      <c r="F1097" s="779">
        <v>0.1</v>
      </c>
      <c r="G1097" s="619">
        <f t="shared" si="45"/>
        <v>175000</v>
      </c>
      <c r="H1097" s="741" t="s">
        <v>520</v>
      </c>
      <c r="I1097" s="741" t="s">
        <v>100</v>
      </c>
      <c r="J1097" s="755"/>
      <c r="K1097" s="701">
        <v>12995</v>
      </c>
      <c r="L1097" s="137" t="s">
        <v>769</v>
      </c>
      <c r="M1097" s="143">
        <v>1100000</v>
      </c>
      <c r="N1097" s="231">
        <v>0.05</v>
      </c>
      <c r="O1097" s="139">
        <f t="shared" si="46"/>
        <v>55000</v>
      </c>
    </row>
    <row r="1098" spans="1:15" ht="15.75">
      <c r="A1098" s="1574"/>
      <c r="B1098" s="747" t="s">
        <v>790</v>
      </c>
      <c r="C1098" s="220"/>
      <c r="D1098" s="277" t="s">
        <v>791</v>
      </c>
      <c r="E1098" s="221"/>
      <c r="F1098" s="877"/>
      <c r="G1098" s="943"/>
      <c r="H1098" s="219" t="s">
        <v>520</v>
      </c>
      <c r="I1098" s="219" t="s">
        <v>128</v>
      </c>
      <c r="J1098" s="946" t="s">
        <v>792</v>
      </c>
      <c r="K1098" s="135">
        <v>12919</v>
      </c>
      <c r="L1098" s="136" t="s">
        <v>754</v>
      </c>
      <c r="M1098" s="143">
        <v>1400000</v>
      </c>
      <c r="N1098" s="231">
        <v>0.05</v>
      </c>
      <c r="O1098" s="139">
        <f t="shared" si="46"/>
        <v>70000</v>
      </c>
    </row>
    <row r="1099" spans="1:15" ht="15.75">
      <c r="A1099" s="1574"/>
      <c r="B1099" s="747" t="s">
        <v>297</v>
      </c>
      <c r="C1099" s="220"/>
      <c r="D1099" s="277" t="s">
        <v>793</v>
      </c>
      <c r="E1099" s="221"/>
      <c r="F1099" s="877"/>
      <c r="G1099" s="943"/>
      <c r="H1099" s="219" t="s">
        <v>180</v>
      </c>
      <c r="I1099" s="219" t="s">
        <v>128</v>
      </c>
      <c r="J1099" s="944" t="s">
        <v>794</v>
      </c>
      <c r="K1099" s="14"/>
      <c r="L1099" s="14"/>
      <c r="M1099" s="14"/>
      <c r="N1099" s="14"/>
      <c r="O1099" s="14"/>
    </row>
    <row r="1100" spans="1:15" ht="15.75">
      <c r="A1100" s="1574"/>
      <c r="B1100" s="211" t="s">
        <v>297</v>
      </c>
      <c r="C1100" s="220"/>
      <c r="D1100" s="225" t="s">
        <v>795</v>
      </c>
      <c r="E1100" s="221"/>
      <c r="F1100" s="877"/>
      <c r="G1100" s="943"/>
      <c r="H1100" s="219"/>
      <c r="I1100" s="219"/>
      <c r="J1100" s="944" t="s">
        <v>796</v>
      </c>
      <c r="K1100" s="14"/>
      <c r="L1100" s="14"/>
      <c r="M1100" s="262" t="s">
        <v>80</v>
      </c>
      <c r="N1100" s="953"/>
      <c r="O1100" s="550">
        <f>SUM(O1094:O1099)</f>
        <v>392500</v>
      </c>
    </row>
    <row r="1101" spans="1:15" ht="15.75">
      <c r="A1101" s="1574"/>
      <c r="B1101" s="211" t="s">
        <v>297</v>
      </c>
      <c r="C1101" s="220"/>
      <c r="D1101" s="225" t="s">
        <v>797</v>
      </c>
      <c r="E1101" s="221"/>
      <c r="F1101" s="877"/>
      <c r="G1101" s="943"/>
      <c r="H1101" s="219"/>
      <c r="I1101" s="219"/>
      <c r="J1101" s="944" t="s">
        <v>798</v>
      </c>
      <c r="K1101" s="31"/>
      <c r="L1101" s="31"/>
      <c r="M1101" s="31"/>
      <c r="N1101" s="31"/>
      <c r="O1101" s="31"/>
    </row>
    <row r="1102" spans="1:15" ht="15.75">
      <c r="A1102" s="1574"/>
      <c r="B1102" s="163"/>
      <c r="C1102" s="162"/>
      <c r="D1102" s="165"/>
      <c r="E1102" s="550"/>
      <c r="F1102" s="847"/>
      <c r="G1102" s="895"/>
      <c r="H1102" s="175"/>
      <c r="I1102" s="175"/>
      <c r="J1102" s="896"/>
      <c r="K1102" s="14"/>
      <c r="L1102" s="14"/>
      <c r="M1102" s="14"/>
      <c r="N1102" s="14"/>
      <c r="O1102" s="14"/>
    </row>
    <row r="1103" spans="1:15" ht="20.25">
      <c r="A1103" s="1575"/>
      <c r="B1103" s="71"/>
      <c r="C1103" s="71"/>
      <c r="D1103" s="14"/>
      <c r="E1103" s="533">
        <f>SUM(E1094:E1102)</f>
        <v>5950000</v>
      </c>
      <c r="F1103" s="14"/>
      <c r="G1103" s="892">
        <f>SUM(G1094:G1102)</f>
        <v>413000</v>
      </c>
      <c r="H1103" s="14"/>
      <c r="I1103" s="14"/>
      <c r="J1103" s="954"/>
      <c r="K1103" s="14"/>
      <c r="L1103" s="14"/>
      <c r="M1103" s="906" t="s">
        <v>80</v>
      </c>
      <c r="N1103" s="955"/>
      <c r="O1103" s="869">
        <f>G1103+O1100</f>
        <v>805500</v>
      </c>
    </row>
    <row r="1106" spans="1:15" ht="23.25">
      <c r="A1106" s="1530" t="s">
        <v>274</v>
      </c>
      <c r="B1106" s="1531"/>
      <c r="C1106" s="1532"/>
      <c r="D1106" s="1531"/>
      <c r="E1106" s="1531"/>
      <c r="F1106" s="1531"/>
      <c r="G1106" s="1531"/>
      <c r="H1106" s="1532"/>
      <c r="I1106" s="1532"/>
      <c r="J1106" s="1532"/>
      <c r="K1106" s="1571" t="s">
        <v>2</v>
      </c>
      <c r="L1106" s="1572"/>
      <c r="M1106" s="1572"/>
      <c r="N1106" s="1572"/>
      <c r="O1106" s="1572"/>
    </row>
    <row r="1107" spans="1:15" ht="30">
      <c r="A1107" s="126" t="s">
        <v>3</v>
      </c>
      <c r="B1107" s="1" t="s">
        <v>120</v>
      </c>
      <c r="C1107" s="367" t="s">
        <v>4</v>
      </c>
      <c r="D1107" s="1" t="s">
        <v>5</v>
      </c>
      <c r="E1107" s="1" t="s">
        <v>6</v>
      </c>
      <c r="F1107" s="1" t="s">
        <v>7</v>
      </c>
      <c r="G1107" s="1" t="s">
        <v>8</v>
      </c>
      <c r="H1107" s="361" t="s">
        <v>9</v>
      </c>
      <c r="I1107" s="1" t="s">
        <v>10</v>
      </c>
      <c r="J1107" s="126" t="s">
        <v>11</v>
      </c>
      <c r="K1107" s="1" t="s">
        <v>12</v>
      </c>
      <c r="L1107" s="1" t="s">
        <v>5</v>
      </c>
      <c r="M1107" s="1" t="s">
        <v>13</v>
      </c>
      <c r="N1107" s="1" t="s">
        <v>7</v>
      </c>
      <c r="O1107" s="1" t="s">
        <v>14</v>
      </c>
    </row>
    <row r="1108" spans="1:15" ht="15.75">
      <c r="A1108" s="1538"/>
      <c r="B1108" s="977"/>
      <c r="C1108" s="162"/>
      <c r="D1108" s="262"/>
      <c r="E1108" s="550"/>
      <c r="F1108" s="592"/>
      <c r="G1108" s="288"/>
      <c r="H1108" s="163"/>
      <c r="I1108" s="163"/>
      <c r="J1108" s="963"/>
      <c r="K1108" s="346" t="s">
        <v>786</v>
      </c>
      <c r="L1108" s="136" t="s">
        <v>787</v>
      </c>
      <c r="M1108" s="139">
        <v>1700000</v>
      </c>
      <c r="N1108" s="545"/>
      <c r="O1108" s="545"/>
    </row>
    <row r="1109" spans="1:15" ht="15.75">
      <c r="A1109" s="1538"/>
      <c r="B1109" s="977"/>
      <c r="C1109" s="162"/>
      <c r="D1109" s="262"/>
      <c r="E1109" s="550"/>
      <c r="F1109" s="162"/>
      <c r="G1109" s="286"/>
      <c r="H1109" s="163"/>
      <c r="I1109" s="205"/>
      <c r="J1109" s="975"/>
      <c r="K1109" s="346">
        <v>13087</v>
      </c>
      <c r="L1109" s="136" t="s">
        <v>788</v>
      </c>
      <c r="M1109" s="139">
        <v>1100000</v>
      </c>
      <c r="N1109" s="545"/>
      <c r="O1109" s="545"/>
    </row>
    <row r="1110" spans="1:15" ht="15.75">
      <c r="A1110" s="1538"/>
      <c r="B1110" s="263"/>
      <c r="C1110" s="894"/>
      <c r="D1110" s="165"/>
      <c r="E1110" s="793"/>
      <c r="F1110" s="659"/>
      <c r="G1110" s="286"/>
      <c r="H1110" s="626"/>
      <c r="I1110" s="523"/>
      <c r="J1110" s="963"/>
      <c r="K1110" s="135">
        <v>13069</v>
      </c>
      <c r="L1110" s="137" t="s">
        <v>773</v>
      </c>
      <c r="M1110" s="143">
        <v>1600000</v>
      </c>
      <c r="N1110" s="545"/>
      <c r="O1110" s="545"/>
    </row>
    <row r="1111" spans="1:15" ht="15.75">
      <c r="A1111" s="1538"/>
      <c r="B1111" s="977"/>
      <c r="C1111" s="279"/>
      <c r="D1111" s="262"/>
      <c r="E1111" s="845"/>
      <c r="F1111" s="159"/>
      <c r="G1111" s="288"/>
      <c r="H1111" s="161"/>
      <c r="I1111" s="161"/>
      <c r="J1111" s="963"/>
      <c r="K1111" s="346">
        <v>12903</v>
      </c>
      <c r="L1111" s="136" t="s">
        <v>752</v>
      </c>
      <c r="M1111" s="141">
        <v>1250000</v>
      </c>
      <c r="N1111" s="545"/>
      <c r="O1111" s="545"/>
    </row>
    <row r="1112" spans="1:15" ht="15.75">
      <c r="A1112" s="1538"/>
      <c r="B1112" s="978"/>
      <c r="C1112" s="316"/>
      <c r="D1112" s="270"/>
      <c r="E1112" s="295"/>
      <c r="F1112" s="159"/>
      <c r="G1112" s="288"/>
      <c r="H1112" s="161"/>
      <c r="I1112" s="161"/>
      <c r="J1112" s="976"/>
      <c r="K1112" s="556">
        <v>13091</v>
      </c>
      <c r="L1112" s="180" t="s">
        <v>743</v>
      </c>
      <c r="M1112" s="146">
        <v>1600000</v>
      </c>
      <c r="N1112" s="666"/>
      <c r="O1112" s="666"/>
    </row>
    <row r="1113" spans="1:15" ht="20.25">
      <c r="K1113" s="14"/>
      <c r="L1113" s="961" t="s">
        <v>80</v>
      </c>
      <c r="M1113" s="972">
        <f>SUM(M1108:M1112)</f>
        <v>7250000</v>
      </c>
      <c r="N1113" s="14"/>
      <c r="O1113" s="14"/>
    </row>
    <row r="1116" spans="1:15" ht="20.25">
      <c r="A1116" s="1535" t="s">
        <v>68</v>
      </c>
      <c r="B1116" s="1535"/>
      <c r="C1116" s="365"/>
      <c r="D1116" s="979">
        <f>E1051+E1066+E1089+E1103</f>
        <v>52250000</v>
      </c>
    </row>
    <row r="1117" spans="1:15">
      <c r="A1117" s="1536" t="s">
        <v>69</v>
      </c>
      <c r="B1117" s="1536"/>
      <c r="C1117" s="22"/>
      <c r="D1117" s="20"/>
    </row>
    <row r="1118" spans="1:15">
      <c r="A1118" s="1537" t="s">
        <v>70</v>
      </c>
      <c r="B1118" s="1537"/>
      <c r="C1118" s="101"/>
      <c r="D1118" s="21"/>
    </row>
    <row r="1122" spans="1:15" ht="31.5">
      <c r="A1122" s="1546" t="s">
        <v>799</v>
      </c>
      <c r="B1122" s="1547"/>
      <c r="C1122" s="1547"/>
      <c r="D1122" s="1547"/>
      <c r="E1122" s="1547"/>
      <c r="F1122" s="1547"/>
      <c r="G1122" s="1547"/>
      <c r="H1122" s="1547"/>
      <c r="I1122" s="1547"/>
      <c r="J1122" s="1547"/>
      <c r="K1122" s="1547"/>
      <c r="L1122" s="1547"/>
      <c r="M1122" s="1547"/>
      <c r="N1122" s="1547"/>
      <c r="O1122" s="1547"/>
    </row>
    <row r="1123" spans="1:15" ht="23.25">
      <c r="A1123" s="1548" t="s">
        <v>1</v>
      </c>
      <c r="B1123" s="1532"/>
      <c r="C1123" s="1532"/>
      <c r="D1123" s="1531"/>
      <c r="E1123" s="1532"/>
      <c r="F1123" s="1532"/>
      <c r="G1123" s="1532"/>
      <c r="H1123" s="1532"/>
      <c r="I1123" s="1532"/>
      <c r="J1123" s="1532"/>
      <c r="K1123" s="1533" t="s">
        <v>2</v>
      </c>
      <c r="L1123" s="1533"/>
      <c r="M1123" s="1533"/>
      <c r="N1123" s="1533"/>
      <c r="O1123" s="1533"/>
    </row>
    <row r="1124" spans="1:15" ht="30">
      <c r="A1124" s="3" t="s">
        <v>3</v>
      </c>
      <c r="B1124" s="361" t="s">
        <v>120</v>
      </c>
      <c r="C1124" s="360" t="s">
        <v>4</v>
      </c>
      <c r="D1124" s="3" t="s">
        <v>5</v>
      </c>
      <c r="E1124" s="361" t="s">
        <v>6</v>
      </c>
      <c r="F1124" s="1" t="s">
        <v>7</v>
      </c>
      <c r="G1124" s="1" t="s">
        <v>8</v>
      </c>
      <c r="H1124" s="1" t="s">
        <v>9</v>
      </c>
      <c r="I1124" s="1" t="s">
        <v>10</v>
      </c>
      <c r="J1124" s="3" t="s">
        <v>11</v>
      </c>
      <c r="K1124" s="68" t="s">
        <v>12</v>
      </c>
      <c r="L1124" s="68" t="s">
        <v>5</v>
      </c>
      <c r="M1124" s="68" t="s">
        <v>13</v>
      </c>
      <c r="N1124" s="129" t="s">
        <v>7</v>
      </c>
      <c r="O1124" s="68" t="s">
        <v>14</v>
      </c>
    </row>
    <row r="1125" spans="1:15" ht="15.75">
      <c r="A1125" s="1556" t="s">
        <v>95</v>
      </c>
      <c r="B1125" s="135">
        <v>13148</v>
      </c>
      <c r="C1125" s="233">
        <v>0.1</v>
      </c>
      <c r="D1125" s="137" t="s">
        <v>800</v>
      </c>
      <c r="E1125" s="143">
        <v>1150000</v>
      </c>
      <c r="F1125" s="478">
        <v>7.0000000000000007E-2</v>
      </c>
      <c r="G1125" s="278">
        <f>E1125*F1125</f>
        <v>80500.000000000015</v>
      </c>
      <c r="H1125" s="144" t="s">
        <v>311</v>
      </c>
      <c r="I1125" s="135" t="s">
        <v>242</v>
      </c>
      <c r="J1125" s="934"/>
      <c r="K1125" s="135">
        <v>13183</v>
      </c>
      <c r="L1125" s="259" t="s">
        <v>801</v>
      </c>
      <c r="M1125" s="699">
        <v>1280000</v>
      </c>
      <c r="N1125" s="231">
        <v>0.05</v>
      </c>
      <c r="O1125" s="139">
        <f>M1125*N1125</f>
        <v>64000</v>
      </c>
    </row>
    <row r="1126" spans="1:15" ht="15.75">
      <c r="A1126" s="1552"/>
      <c r="B1126" s="135">
        <v>13157</v>
      </c>
      <c r="C1126" s="233">
        <v>0.1</v>
      </c>
      <c r="D1126" s="137" t="s">
        <v>802</v>
      </c>
      <c r="E1126" s="143">
        <v>1500000</v>
      </c>
      <c r="F1126" s="478">
        <v>0.06</v>
      </c>
      <c r="G1126" s="278">
        <f t="shared" ref="G1126:G1139" si="47">E1126*F1126</f>
        <v>90000</v>
      </c>
      <c r="H1126" s="144" t="s">
        <v>30</v>
      </c>
      <c r="I1126" s="135" t="s">
        <v>333</v>
      </c>
      <c r="J1126" s="934"/>
      <c r="K1126" s="135">
        <v>13163</v>
      </c>
      <c r="L1126" s="996" t="s">
        <v>803</v>
      </c>
      <c r="M1126" s="699">
        <v>800000</v>
      </c>
      <c r="N1126" s="231">
        <v>0.05</v>
      </c>
      <c r="O1126" s="139">
        <f t="shared" ref="O1126:O1130" si="48">M1126*N1126</f>
        <v>40000</v>
      </c>
    </row>
    <row r="1127" spans="1:15" ht="15.75">
      <c r="A1127" s="1552"/>
      <c r="B1127" s="135">
        <v>13167</v>
      </c>
      <c r="C1127" s="233">
        <v>0.1</v>
      </c>
      <c r="D1127" s="137" t="s">
        <v>804</v>
      </c>
      <c r="E1127" s="143">
        <v>900000</v>
      </c>
      <c r="F1127" s="478">
        <v>0.06</v>
      </c>
      <c r="G1127" s="278">
        <f t="shared" si="47"/>
        <v>54000</v>
      </c>
      <c r="H1127" s="144" t="s">
        <v>30</v>
      </c>
      <c r="I1127" s="135" t="s">
        <v>242</v>
      </c>
      <c r="J1127" s="934"/>
      <c r="K1127" s="135">
        <v>13174</v>
      </c>
      <c r="L1127" s="1002" t="s">
        <v>805</v>
      </c>
      <c r="M1127" s="699">
        <v>1300000</v>
      </c>
      <c r="N1127" s="231">
        <v>0.05</v>
      </c>
      <c r="O1127" s="139">
        <f t="shared" si="48"/>
        <v>65000</v>
      </c>
    </row>
    <row r="1128" spans="1:15" ht="15.75">
      <c r="A1128" s="1552"/>
      <c r="B1128" s="135">
        <v>13200</v>
      </c>
      <c r="C1128" s="233">
        <v>0.1</v>
      </c>
      <c r="D1128" s="137" t="s">
        <v>806</v>
      </c>
      <c r="E1128" s="143">
        <v>1300000</v>
      </c>
      <c r="F1128" s="478">
        <v>0.12</v>
      </c>
      <c r="G1128" s="278">
        <f t="shared" si="47"/>
        <v>156000</v>
      </c>
      <c r="H1128" s="144" t="s">
        <v>180</v>
      </c>
      <c r="I1128" s="135" t="s">
        <v>242</v>
      </c>
      <c r="J1128" s="934"/>
      <c r="K1128" s="135">
        <v>13220</v>
      </c>
      <c r="L1128" s="1002" t="s">
        <v>807</v>
      </c>
      <c r="M1128" s="699">
        <v>750000</v>
      </c>
      <c r="N1128" s="231">
        <v>0.05</v>
      </c>
      <c r="O1128" s="139">
        <f t="shared" si="48"/>
        <v>37500</v>
      </c>
    </row>
    <row r="1129" spans="1:15" ht="15.75">
      <c r="A1129" s="1552"/>
      <c r="B1129" s="135">
        <v>13204</v>
      </c>
      <c r="C1129" s="233">
        <v>0.1</v>
      </c>
      <c r="D1129" s="137" t="s">
        <v>808</v>
      </c>
      <c r="E1129" s="143">
        <v>1600000</v>
      </c>
      <c r="F1129" s="478">
        <v>7.0000000000000007E-2</v>
      </c>
      <c r="G1129" s="278">
        <f t="shared" si="47"/>
        <v>112000.00000000001</v>
      </c>
      <c r="H1129" s="144" t="s">
        <v>520</v>
      </c>
      <c r="I1129" s="135" t="s">
        <v>242</v>
      </c>
      <c r="J1129" s="934"/>
      <c r="K1129" s="135">
        <v>13331</v>
      </c>
      <c r="L1129" s="136" t="s">
        <v>809</v>
      </c>
      <c r="M1129" s="699">
        <v>1400000</v>
      </c>
      <c r="N1129" s="231">
        <v>0.05</v>
      </c>
      <c r="O1129" s="139">
        <f t="shared" si="48"/>
        <v>70000</v>
      </c>
    </row>
    <row r="1130" spans="1:15" ht="15.75">
      <c r="A1130" s="1552"/>
      <c r="B1130" s="135">
        <v>13231</v>
      </c>
      <c r="C1130" s="233">
        <v>0.1</v>
      </c>
      <c r="D1130" s="136" t="s">
        <v>810</v>
      </c>
      <c r="E1130" s="143">
        <v>2000000</v>
      </c>
      <c r="F1130" s="478">
        <v>0.06</v>
      </c>
      <c r="G1130" s="278">
        <f t="shared" si="47"/>
        <v>120000</v>
      </c>
      <c r="H1130" s="144" t="s">
        <v>30</v>
      </c>
      <c r="I1130" s="135" t="s">
        <v>242</v>
      </c>
      <c r="J1130" s="934"/>
      <c r="K1130" s="135">
        <v>13403</v>
      </c>
      <c r="L1130" s="137" t="s">
        <v>811</v>
      </c>
      <c r="M1130" s="699">
        <v>1400000</v>
      </c>
      <c r="N1130" s="231">
        <v>0.05</v>
      </c>
      <c r="O1130" s="139">
        <f t="shared" si="48"/>
        <v>70000</v>
      </c>
    </row>
    <row r="1131" spans="1:15" ht="15.75">
      <c r="A1131" s="1552"/>
      <c r="B1131" s="135">
        <v>13267</v>
      </c>
      <c r="C1131" s="233">
        <v>0.1</v>
      </c>
      <c r="D1131" s="137" t="s">
        <v>812</v>
      </c>
      <c r="E1131" s="143">
        <v>1250000</v>
      </c>
      <c r="F1131" s="478">
        <v>0.06</v>
      </c>
      <c r="G1131" s="278">
        <f t="shared" si="47"/>
        <v>75000</v>
      </c>
      <c r="H1131" s="144" t="s">
        <v>30</v>
      </c>
      <c r="I1131" s="135" t="s">
        <v>242</v>
      </c>
      <c r="J1131" s="934"/>
      <c r="K1131" s="27"/>
      <c r="L1131" s="27"/>
      <c r="M1131" s="27"/>
      <c r="N1131" s="27"/>
      <c r="O1131" s="27"/>
    </row>
    <row r="1132" spans="1:15" ht="15.75">
      <c r="A1132" s="1552"/>
      <c r="B1132" s="135">
        <v>13298</v>
      </c>
      <c r="C1132" s="233">
        <v>0.1</v>
      </c>
      <c r="D1132" s="137" t="s">
        <v>813</v>
      </c>
      <c r="E1132" s="143">
        <v>900000</v>
      </c>
      <c r="F1132" s="478">
        <v>7.0000000000000007E-2</v>
      </c>
      <c r="G1132" s="278">
        <f t="shared" si="47"/>
        <v>63000.000000000007</v>
      </c>
      <c r="H1132" s="144" t="s">
        <v>286</v>
      </c>
      <c r="I1132" s="135" t="s">
        <v>333</v>
      </c>
      <c r="J1132" s="934"/>
      <c r="K1132" s="27"/>
      <c r="L1132" s="27"/>
      <c r="M1132" s="27"/>
      <c r="N1132" s="27"/>
      <c r="O1132" s="27"/>
    </row>
    <row r="1133" spans="1:15" ht="15.75">
      <c r="A1133" s="1552"/>
      <c r="B1133" s="135">
        <v>13313</v>
      </c>
      <c r="C1133" s="233">
        <v>0.1</v>
      </c>
      <c r="D1133" s="137" t="s">
        <v>814</v>
      </c>
      <c r="E1133" s="143">
        <v>1500000</v>
      </c>
      <c r="F1133" s="478">
        <v>0.06</v>
      </c>
      <c r="G1133" s="278">
        <f t="shared" si="47"/>
        <v>90000</v>
      </c>
      <c r="H1133" s="144" t="s">
        <v>30</v>
      </c>
      <c r="I1133" s="135" t="s">
        <v>242</v>
      </c>
      <c r="J1133" s="934"/>
      <c r="K1133" s="27"/>
      <c r="L1133" s="27"/>
      <c r="M1133" s="27"/>
      <c r="N1133" s="27"/>
      <c r="O1133" s="27"/>
    </row>
    <row r="1134" spans="1:15" ht="15.75">
      <c r="A1134" s="1552"/>
      <c r="B1134" s="135">
        <v>13350</v>
      </c>
      <c r="C1134" s="331">
        <v>0.08</v>
      </c>
      <c r="D1134" s="137" t="s">
        <v>815</v>
      </c>
      <c r="E1134" s="143">
        <v>1300000</v>
      </c>
      <c r="F1134" s="140">
        <v>0.05</v>
      </c>
      <c r="G1134" s="278">
        <f t="shared" si="47"/>
        <v>65000</v>
      </c>
      <c r="H1134" s="144" t="s">
        <v>30</v>
      </c>
      <c r="I1134" s="135" t="s">
        <v>242</v>
      </c>
      <c r="J1134" s="934"/>
      <c r="K1134" s="27"/>
      <c r="L1134" s="27"/>
      <c r="M1134" s="27"/>
      <c r="N1134" s="27"/>
      <c r="O1134" s="27"/>
    </row>
    <row r="1135" spans="1:15" ht="15.75">
      <c r="A1135" s="1552"/>
      <c r="B1135" s="135">
        <v>13342</v>
      </c>
      <c r="C1135" s="233">
        <v>0.1</v>
      </c>
      <c r="D1135" s="137" t="s">
        <v>816</v>
      </c>
      <c r="E1135" s="143">
        <v>1350000</v>
      </c>
      <c r="F1135" s="478">
        <v>0.12</v>
      </c>
      <c r="G1135" s="278">
        <f t="shared" si="47"/>
        <v>162000</v>
      </c>
      <c r="H1135" s="144" t="s">
        <v>180</v>
      </c>
      <c r="I1135" s="135" t="s">
        <v>242</v>
      </c>
      <c r="J1135" s="934"/>
      <c r="K1135" s="27"/>
      <c r="L1135" s="27"/>
      <c r="M1135" s="27"/>
      <c r="N1135" s="27"/>
      <c r="O1135" s="27"/>
    </row>
    <row r="1136" spans="1:15" ht="15.75">
      <c r="A1136" s="1552"/>
      <c r="B1136" s="135">
        <v>13383</v>
      </c>
      <c r="C1136" s="233">
        <v>0.1</v>
      </c>
      <c r="D1136" s="137" t="s">
        <v>817</v>
      </c>
      <c r="E1136" s="143">
        <v>1600000</v>
      </c>
      <c r="F1136" s="478">
        <v>0.06</v>
      </c>
      <c r="G1136" s="278">
        <f t="shared" si="47"/>
        <v>96000</v>
      </c>
      <c r="H1136" s="144" t="s">
        <v>30</v>
      </c>
      <c r="I1136" s="135" t="s">
        <v>242</v>
      </c>
      <c r="J1136" s="934"/>
      <c r="K1136" s="27"/>
      <c r="L1136" s="27"/>
      <c r="M1136" s="27"/>
      <c r="N1136" s="27"/>
      <c r="O1136" s="27"/>
    </row>
    <row r="1137" spans="1:15" ht="15.75">
      <c r="A1137" s="1552"/>
      <c r="B1137" s="135">
        <v>13411</v>
      </c>
      <c r="C1137" s="233">
        <v>0.1</v>
      </c>
      <c r="D1137" s="137" t="s">
        <v>818</v>
      </c>
      <c r="E1137" s="143">
        <v>900000</v>
      </c>
      <c r="F1137" s="478">
        <v>0.06</v>
      </c>
      <c r="G1137" s="278">
        <f t="shared" si="47"/>
        <v>54000</v>
      </c>
      <c r="H1137" s="144" t="s">
        <v>30</v>
      </c>
      <c r="I1137" s="135" t="s">
        <v>242</v>
      </c>
      <c r="J1137" s="934"/>
      <c r="K1137" s="27"/>
      <c r="L1137" s="27"/>
      <c r="M1137" s="27"/>
      <c r="N1137" s="27"/>
      <c r="O1137" s="27"/>
    </row>
    <row r="1138" spans="1:15" ht="15.75">
      <c r="A1138" s="1552"/>
      <c r="B1138" s="135">
        <v>13388</v>
      </c>
      <c r="C1138" s="233">
        <v>0.1</v>
      </c>
      <c r="D1138" s="137" t="s">
        <v>819</v>
      </c>
      <c r="E1138" s="143">
        <v>1100000</v>
      </c>
      <c r="F1138" s="478">
        <v>7.0000000000000007E-2</v>
      </c>
      <c r="G1138" s="278">
        <f t="shared" si="47"/>
        <v>77000.000000000015</v>
      </c>
      <c r="H1138" s="144" t="s">
        <v>820</v>
      </c>
      <c r="I1138" s="135" t="s">
        <v>242</v>
      </c>
      <c r="J1138" s="934"/>
      <c r="K1138" s="27"/>
      <c r="L1138" s="27"/>
      <c r="M1138" s="27"/>
      <c r="N1138" s="27"/>
      <c r="O1138" s="27"/>
    </row>
    <row r="1139" spans="1:15" ht="15.75">
      <c r="A1139" s="1552"/>
      <c r="B1139" s="144">
        <v>13396</v>
      </c>
      <c r="C1139" s="233">
        <v>0.1</v>
      </c>
      <c r="D1139" s="137" t="s">
        <v>821</v>
      </c>
      <c r="E1139" s="143">
        <v>1050000</v>
      </c>
      <c r="F1139" s="478">
        <v>0.06</v>
      </c>
      <c r="G1139" s="278">
        <f t="shared" si="47"/>
        <v>63000</v>
      </c>
      <c r="H1139" s="144" t="s">
        <v>30</v>
      </c>
      <c r="I1139" s="135" t="s">
        <v>333</v>
      </c>
      <c r="J1139" s="767"/>
      <c r="K1139" s="27"/>
      <c r="L1139" s="27"/>
      <c r="M1139" s="27"/>
      <c r="N1139" s="27"/>
      <c r="O1139" s="27"/>
    </row>
    <row r="1140" spans="1:15" ht="15.75">
      <c r="A1140" s="1552"/>
      <c r="B1140" s="163"/>
      <c r="C1140" s="318"/>
      <c r="D1140" s="165"/>
      <c r="E1140" s="261"/>
      <c r="F1140" s="659"/>
      <c r="G1140" s="286"/>
      <c r="H1140" s="271"/>
      <c r="I1140" s="163"/>
      <c r="J1140" s="951"/>
      <c r="K1140" s="27"/>
      <c r="L1140" s="27"/>
      <c r="M1140" s="27"/>
      <c r="N1140" s="27"/>
      <c r="O1140" s="27"/>
    </row>
    <row r="1141" spans="1:15" ht="15.75">
      <c r="A1141" s="1552"/>
      <c r="B1141" s="163"/>
      <c r="C1141" s="318"/>
      <c r="D1141" s="165"/>
      <c r="E1141" s="261"/>
      <c r="F1141" s="659"/>
      <c r="G1141" s="286"/>
      <c r="H1141" s="271"/>
      <c r="I1141" s="163"/>
      <c r="J1141" s="960"/>
      <c r="K1141" s="27"/>
      <c r="L1141" s="27"/>
      <c r="M1141" s="27"/>
      <c r="N1141" s="27"/>
      <c r="O1141" s="27"/>
    </row>
    <row r="1142" spans="1:15" ht="15.75">
      <c r="A1142" s="1552"/>
      <c r="B1142" s="163"/>
      <c r="C1142" s="658"/>
      <c r="D1142" s="262"/>
      <c r="E1142" s="261"/>
      <c r="F1142" s="659"/>
      <c r="G1142" s="286"/>
      <c r="H1142" s="271"/>
      <c r="I1142" s="163"/>
      <c r="J1142" s="957"/>
      <c r="K1142" s="27"/>
      <c r="L1142" s="27"/>
      <c r="M1142" s="165" t="s">
        <v>80</v>
      </c>
      <c r="N1142" s="165"/>
      <c r="O1142" s="550">
        <f>SUM(O1125:O1130)</f>
        <v>346500</v>
      </c>
    </row>
    <row r="1143" spans="1:15" ht="15.75">
      <c r="A1143" s="1552"/>
      <c r="B1143" s="163"/>
      <c r="C1143" s="318"/>
      <c r="D1143" s="165"/>
      <c r="E1143" s="261"/>
      <c r="F1143" s="659"/>
      <c r="G1143" s="286"/>
      <c r="H1143" s="271"/>
      <c r="I1143" s="163"/>
      <c r="J1143" s="958"/>
      <c r="K1143" s="27"/>
      <c r="L1143" s="27"/>
      <c r="M1143" s="27"/>
      <c r="N1143" s="27"/>
      <c r="O1143" s="27"/>
    </row>
    <row r="1144" spans="1:15" ht="20.25">
      <c r="A1144" s="1542"/>
      <c r="B1144" s="7"/>
      <c r="C1144" s="7"/>
      <c r="D1144" s="42"/>
      <c r="E1144" s="854">
        <f>SUM(E1125:E1143)</f>
        <v>19400000</v>
      </c>
      <c r="F1144" s="855"/>
      <c r="G1144" s="856">
        <f>SUM(G1125:G1143)</f>
        <v>1357500</v>
      </c>
      <c r="H1144" s="42"/>
      <c r="I1144" s="519"/>
      <c r="J1144" s="519"/>
      <c r="K1144" s="27"/>
      <c r="L1144" s="27"/>
      <c r="M1144" s="906" t="s">
        <v>80</v>
      </c>
      <c r="N1144" s="906"/>
      <c r="O1144" s="897">
        <f>G1144+O1142</f>
        <v>1704000</v>
      </c>
    </row>
    <row r="1147" spans="1:15" ht="23.25">
      <c r="A1147" s="1563" t="s">
        <v>138</v>
      </c>
      <c r="B1147" s="1564"/>
      <c r="C1147" s="1564"/>
      <c r="D1147" s="1563"/>
      <c r="E1147" s="1564"/>
      <c r="F1147" s="1564"/>
      <c r="G1147" s="1564"/>
      <c r="H1147" s="1564"/>
      <c r="I1147" s="1564"/>
      <c r="J1147" s="1565"/>
      <c r="K1147" s="1533" t="s">
        <v>2</v>
      </c>
      <c r="L1147" s="1533"/>
      <c r="M1147" s="1533"/>
      <c r="N1147" s="1533"/>
      <c r="O1147" s="1533"/>
    </row>
    <row r="1148" spans="1:15" ht="30">
      <c r="A1148" s="3" t="s">
        <v>3</v>
      </c>
      <c r="B1148" s="657" t="s">
        <v>120</v>
      </c>
      <c r="C1148" s="818" t="s">
        <v>4</v>
      </c>
      <c r="D1148" s="3" t="s">
        <v>5</v>
      </c>
      <c r="E1148" s="657" t="s">
        <v>6</v>
      </c>
      <c r="F1148" s="68" t="s">
        <v>7</v>
      </c>
      <c r="G1148" s="68" t="s">
        <v>8</v>
      </c>
      <c r="H1148" s="68" t="s">
        <v>9</v>
      </c>
      <c r="I1148" s="68" t="s">
        <v>10</v>
      </c>
      <c r="J1148" s="68" t="s">
        <v>11</v>
      </c>
      <c r="K1148" s="68" t="s">
        <v>12</v>
      </c>
      <c r="L1148" s="68" t="s">
        <v>5</v>
      </c>
      <c r="M1148" s="68" t="s">
        <v>13</v>
      </c>
      <c r="N1148" s="129" t="s">
        <v>7</v>
      </c>
      <c r="O1148" s="68" t="s">
        <v>14</v>
      </c>
    </row>
    <row r="1149" spans="1:15" ht="15.75">
      <c r="A1149" s="1552">
        <v>5</v>
      </c>
      <c r="B1149" s="135">
        <v>13183</v>
      </c>
      <c r="C1149" s="148">
        <v>0.1</v>
      </c>
      <c r="D1149" s="259" t="s">
        <v>801</v>
      </c>
      <c r="E1149" s="699">
        <v>1280000</v>
      </c>
      <c r="F1149" s="148">
        <v>0.04</v>
      </c>
      <c r="G1149" s="335">
        <f>E1149*F1149</f>
        <v>51200</v>
      </c>
      <c r="H1149" s="147" t="s">
        <v>180</v>
      </c>
      <c r="I1149" s="147" t="s">
        <v>242</v>
      </c>
      <c r="J1149" s="917"/>
      <c r="K1149" s="163"/>
      <c r="L1149" s="165"/>
      <c r="M1149" s="261"/>
      <c r="N1149" s="260"/>
      <c r="O1149" s="27"/>
    </row>
    <row r="1150" spans="1:15" ht="15.75">
      <c r="A1150" s="1552"/>
      <c r="B1150" s="135">
        <v>13209</v>
      </c>
      <c r="C1150" s="933">
        <v>0.1</v>
      </c>
      <c r="D1150" s="136" t="s">
        <v>822</v>
      </c>
      <c r="E1150" s="699">
        <v>1400000</v>
      </c>
      <c r="F1150" s="148">
        <v>0.05</v>
      </c>
      <c r="G1150" s="335">
        <f t="shared" ref="G1150:G1151" si="49">E1150*F1150</f>
        <v>70000</v>
      </c>
      <c r="H1150" s="147" t="s">
        <v>30</v>
      </c>
      <c r="I1150" s="147" t="s">
        <v>333</v>
      </c>
      <c r="J1150" s="917"/>
      <c r="K1150" s="27"/>
      <c r="L1150" s="27"/>
      <c r="M1150" s="27"/>
      <c r="N1150" s="27"/>
      <c r="O1150" s="27"/>
    </row>
    <row r="1151" spans="1:15" ht="15.75">
      <c r="A1151" s="1552"/>
      <c r="B1151" s="135">
        <v>13240</v>
      </c>
      <c r="C1151" s="871">
        <v>0.08</v>
      </c>
      <c r="D1151" s="136" t="s">
        <v>823</v>
      </c>
      <c r="E1151" s="699">
        <v>1500000</v>
      </c>
      <c r="F1151" s="148">
        <v>7.0000000000000007E-2</v>
      </c>
      <c r="G1151" s="335">
        <f t="shared" si="49"/>
        <v>105000.00000000001</v>
      </c>
      <c r="H1151" s="147" t="s">
        <v>286</v>
      </c>
      <c r="I1151" s="147" t="s">
        <v>333</v>
      </c>
      <c r="J1151" s="917"/>
      <c r="K1151" s="27"/>
      <c r="L1151" s="27"/>
      <c r="M1151" s="27"/>
      <c r="N1151" s="27"/>
      <c r="O1151" s="27"/>
    </row>
    <row r="1152" spans="1:15" ht="30">
      <c r="A1152" s="1552"/>
      <c r="B1152" s="747" t="s">
        <v>297</v>
      </c>
      <c r="C1152" s="761"/>
      <c r="D1152" s="225" t="s">
        <v>824</v>
      </c>
      <c r="E1152" s="749"/>
      <c r="F1152" s="285"/>
      <c r="G1152" s="328"/>
      <c r="H1152" s="289" t="s">
        <v>286</v>
      </c>
      <c r="I1152" s="289" t="s">
        <v>100</v>
      </c>
      <c r="J1152" s="990" t="s">
        <v>825</v>
      </c>
      <c r="K1152" s="27"/>
      <c r="L1152" s="27"/>
      <c r="M1152" s="27"/>
      <c r="N1152" s="27"/>
      <c r="O1152" s="27"/>
    </row>
    <row r="1153" spans="1:15" ht="15.75">
      <c r="A1153" s="1552"/>
      <c r="B1153" s="211" t="s">
        <v>297</v>
      </c>
      <c r="C1153" s="761"/>
      <c r="D1153" s="277" t="s">
        <v>826</v>
      </c>
      <c r="E1153" s="749"/>
      <c r="F1153" s="285"/>
      <c r="G1153" s="328"/>
      <c r="H1153" s="289"/>
      <c r="I1153" s="289"/>
      <c r="J1153" s="942" t="s">
        <v>827</v>
      </c>
      <c r="K1153" s="27"/>
      <c r="L1153" s="27"/>
      <c r="M1153" s="27"/>
      <c r="N1153" s="27"/>
      <c r="O1153" s="27"/>
    </row>
    <row r="1154" spans="1:15" ht="15.75">
      <c r="A1154" s="1552"/>
      <c r="B1154" s="747" t="s">
        <v>538</v>
      </c>
      <c r="C1154" s="761"/>
      <c r="D1154" s="225" t="s">
        <v>828</v>
      </c>
      <c r="E1154" s="749"/>
      <c r="F1154" s="285"/>
      <c r="G1154" s="328"/>
      <c r="H1154" s="289" t="s">
        <v>520</v>
      </c>
      <c r="I1154" s="289"/>
      <c r="J1154" s="942" t="s">
        <v>538</v>
      </c>
      <c r="K1154" s="27"/>
      <c r="L1154" s="27"/>
      <c r="M1154" s="27"/>
      <c r="N1154" s="27"/>
      <c r="O1154" s="27"/>
    </row>
    <row r="1155" spans="1:15" ht="15.75">
      <c r="A1155" s="1552"/>
      <c r="B1155" s="163"/>
      <c r="C1155" s="318"/>
      <c r="D1155" s="165"/>
      <c r="E1155" s="165"/>
      <c r="F1155" s="279"/>
      <c r="G1155" s="281"/>
      <c r="H1155" s="213"/>
      <c r="I1155" s="213"/>
      <c r="J1155" s="962"/>
      <c r="K1155" s="959"/>
      <c r="L1155" s="959"/>
      <c r="M1155" s="959"/>
      <c r="N1155" s="959"/>
      <c r="O1155" s="959"/>
    </row>
    <row r="1156" spans="1:15" ht="15.75">
      <c r="A1156" s="1552"/>
      <c r="B1156" s="271"/>
      <c r="C1156" s="844"/>
      <c r="D1156" s="795"/>
      <c r="E1156" s="845"/>
      <c r="F1156" s="279"/>
      <c r="G1156" s="281"/>
      <c r="H1156" s="213"/>
      <c r="I1156" s="213"/>
      <c r="J1156" s="962"/>
      <c r="K1156" s="27"/>
      <c r="L1156" s="27"/>
      <c r="M1156" s="27"/>
      <c r="N1156" s="27"/>
      <c r="O1156" s="27"/>
    </row>
    <row r="1157" spans="1:15" ht="20.25">
      <c r="A1157" s="1542"/>
      <c r="B1157" s="7"/>
      <c r="C1157" s="7"/>
      <c r="D1157" s="994" t="s">
        <v>80</v>
      </c>
      <c r="E1157" s="991">
        <f>SUM(E1149:E1156)</f>
        <v>4180000</v>
      </c>
      <c r="F1157" s="992"/>
      <c r="G1157" s="993">
        <f>SUM(G1149:G1151)</f>
        <v>226200</v>
      </c>
      <c r="H1157" s="42"/>
      <c r="I1157" s="42"/>
      <c r="J1157" s="6"/>
      <c r="K1157" s="27"/>
      <c r="L1157" s="27"/>
      <c r="M1157" s="27"/>
      <c r="N1157" s="27"/>
      <c r="O1157" s="27"/>
    </row>
    <row r="1161" spans="1:15" ht="23.25">
      <c r="A1161" s="1548" t="s">
        <v>56</v>
      </c>
      <c r="B1161" s="1532"/>
      <c r="C1161" s="1532"/>
      <c r="D1161" s="1531"/>
      <c r="E1161" s="1532"/>
      <c r="F1161" s="1532"/>
      <c r="G1161" s="1532"/>
      <c r="H1161" s="1532"/>
      <c r="I1161" s="1532"/>
      <c r="J1161" s="1549"/>
      <c r="K1161" s="1533" t="s">
        <v>2</v>
      </c>
      <c r="L1161" s="1533"/>
      <c r="M1161" s="1533"/>
      <c r="N1161" s="1533"/>
      <c r="O1161" s="1533"/>
    </row>
    <row r="1162" spans="1:15" ht="30">
      <c r="A1162" s="3" t="s">
        <v>3</v>
      </c>
      <c r="B1162" s="361" t="s">
        <v>120</v>
      </c>
      <c r="C1162" s="367" t="s">
        <v>4</v>
      </c>
      <c r="D1162" s="3" t="s">
        <v>5</v>
      </c>
      <c r="E1162" s="361" t="s">
        <v>6</v>
      </c>
      <c r="F1162" s="1" t="s">
        <v>7</v>
      </c>
      <c r="G1162" s="1" t="s">
        <v>8</v>
      </c>
      <c r="H1162" s="361" t="s">
        <v>9</v>
      </c>
      <c r="I1162" s="1" t="s">
        <v>10</v>
      </c>
      <c r="J1162" s="126" t="s">
        <v>11</v>
      </c>
      <c r="K1162" s="68" t="s">
        <v>12</v>
      </c>
      <c r="L1162" s="68" t="s">
        <v>5</v>
      </c>
      <c r="M1162" s="68" t="s">
        <v>13</v>
      </c>
      <c r="N1162" s="129" t="s">
        <v>7</v>
      </c>
      <c r="O1162" s="68" t="s">
        <v>14</v>
      </c>
    </row>
    <row r="1163" spans="1:15" s="1001" customFormat="1" ht="15.75">
      <c r="A1163" s="1527" t="s">
        <v>95</v>
      </c>
      <c r="B1163" s="135">
        <v>13163</v>
      </c>
      <c r="C1163" s="148">
        <v>0.1</v>
      </c>
      <c r="D1163" s="996" t="s">
        <v>803</v>
      </c>
      <c r="E1163" s="699">
        <v>800000</v>
      </c>
      <c r="F1163" s="148">
        <v>0.05</v>
      </c>
      <c r="G1163" s="995">
        <f>E1163*F1163</f>
        <v>40000</v>
      </c>
      <c r="H1163" s="997" t="s">
        <v>180</v>
      </c>
      <c r="I1163" s="995" t="s">
        <v>100</v>
      </c>
      <c r="J1163" s="998"/>
      <c r="K1163" s="135">
        <v>13148</v>
      </c>
      <c r="L1163" s="137" t="s">
        <v>829</v>
      </c>
      <c r="M1163" s="1027">
        <v>1150000</v>
      </c>
      <c r="N1163" s="148">
        <v>0.05</v>
      </c>
      <c r="O1163" s="1038">
        <f>M1163*N1163</f>
        <v>57500</v>
      </c>
    </row>
    <row r="1164" spans="1:15" s="1001" customFormat="1" ht="15.75">
      <c r="A1164" s="1528"/>
      <c r="B1164" s="135">
        <v>13174</v>
      </c>
      <c r="C1164" s="148">
        <v>0.1</v>
      </c>
      <c r="D1164" s="1002" t="s">
        <v>805</v>
      </c>
      <c r="E1164" s="699">
        <v>1300000</v>
      </c>
      <c r="F1164" s="148">
        <v>0.05</v>
      </c>
      <c r="G1164" s="995">
        <f t="shared" ref="G1164:G1178" si="50">E1164*F1164</f>
        <v>65000</v>
      </c>
      <c r="H1164" s="997" t="s">
        <v>180</v>
      </c>
      <c r="I1164" s="995" t="s">
        <v>242</v>
      </c>
      <c r="J1164" s="998"/>
      <c r="K1164" s="135" t="s">
        <v>830</v>
      </c>
      <c r="L1164" s="137" t="s">
        <v>831</v>
      </c>
      <c r="M1164" s="1027">
        <v>1350000</v>
      </c>
      <c r="N1164" s="140">
        <v>0.04</v>
      </c>
      <c r="O1164" s="1038">
        <f>M1164*N1164</f>
        <v>54000</v>
      </c>
    </row>
    <row r="1165" spans="1:15" s="1001" customFormat="1" ht="15.75">
      <c r="A1165" s="1528"/>
      <c r="B1165" s="135">
        <v>13192</v>
      </c>
      <c r="C1165" s="148">
        <v>0.1</v>
      </c>
      <c r="D1165" s="1002" t="s">
        <v>832</v>
      </c>
      <c r="E1165" s="699">
        <v>1300000</v>
      </c>
      <c r="F1165" s="148">
        <v>0.05</v>
      </c>
      <c r="G1165" s="995">
        <f t="shared" si="50"/>
        <v>65000</v>
      </c>
      <c r="H1165" s="997" t="s">
        <v>498</v>
      </c>
      <c r="I1165" s="1004" t="s">
        <v>100</v>
      </c>
      <c r="J1165" s="998"/>
      <c r="K1165" s="1005"/>
      <c r="L1165" s="1000"/>
      <c r="M1165" s="1000"/>
      <c r="N1165" s="1000"/>
      <c r="O1165" s="1000"/>
    </row>
    <row r="1166" spans="1:15" s="1001" customFormat="1" ht="15.75">
      <c r="A1166" s="1528"/>
      <c r="B1166" s="135">
        <v>13194</v>
      </c>
      <c r="C1166" s="140">
        <v>0.09</v>
      </c>
      <c r="D1166" s="1002" t="s">
        <v>833</v>
      </c>
      <c r="E1166" s="699">
        <v>1400000</v>
      </c>
      <c r="F1166" s="148">
        <v>0.08</v>
      </c>
      <c r="G1166" s="995">
        <f t="shared" si="50"/>
        <v>112000</v>
      </c>
      <c r="H1166" s="997" t="s">
        <v>311</v>
      </c>
      <c r="I1166" s="1004" t="s">
        <v>100</v>
      </c>
      <c r="J1166" s="998"/>
      <c r="K1166" s="1005"/>
      <c r="L1166" s="1000"/>
      <c r="M1166" s="1000"/>
      <c r="N1166" s="1000"/>
      <c r="O1166" s="1000"/>
    </row>
    <row r="1167" spans="1:15" s="1001" customFormat="1" ht="15.75">
      <c r="A1167" s="1528"/>
      <c r="B1167" s="135">
        <v>13220</v>
      </c>
      <c r="C1167" s="148">
        <v>0.1</v>
      </c>
      <c r="D1167" s="1002" t="s">
        <v>807</v>
      </c>
      <c r="E1167" s="699">
        <v>750000</v>
      </c>
      <c r="F1167" s="148">
        <v>0.05</v>
      </c>
      <c r="G1167" s="995">
        <f t="shared" si="50"/>
        <v>37500</v>
      </c>
      <c r="H1167" s="997" t="s">
        <v>180</v>
      </c>
      <c r="I1167" s="995" t="s">
        <v>242</v>
      </c>
      <c r="J1167" s="998"/>
      <c r="K1167" s="1005"/>
      <c r="L1167" s="1000"/>
      <c r="M1167" s="1000"/>
      <c r="N1167" s="1000"/>
      <c r="O1167" s="1000"/>
    </row>
    <row r="1168" spans="1:15" s="1001" customFormat="1" ht="15.75">
      <c r="A1168" s="1528"/>
      <c r="B1168" s="135">
        <v>13218</v>
      </c>
      <c r="C1168" s="148">
        <v>0.1</v>
      </c>
      <c r="D1168" s="1002" t="s">
        <v>834</v>
      </c>
      <c r="E1168" s="699">
        <v>1400000</v>
      </c>
      <c r="F1168" s="148">
        <v>0.1</v>
      </c>
      <c r="G1168" s="995">
        <f t="shared" si="50"/>
        <v>140000</v>
      </c>
      <c r="H1168" s="997" t="s">
        <v>311</v>
      </c>
      <c r="I1168" s="995" t="s">
        <v>100</v>
      </c>
      <c r="J1168" s="998"/>
      <c r="K1168" s="1005"/>
      <c r="L1168" s="1000"/>
      <c r="M1168" s="1000"/>
      <c r="N1168" s="1000"/>
      <c r="O1168" s="1000"/>
    </row>
    <row r="1169" spans="1:15" s="1001" customFormat="1" ht="15.75">
      <c r="A1169" s="1528"/>
      <c r="B1169" s="135">
        <v>13196</v>
      </c>
      <c r="C1169" s="148">
        <v>0.1</v>
      </c>
      <c r="D1169" s="1002" t="s">
        <v>835</v>
      </c>
      <c r="E1169" s="699">
        <v>1400000</v>
      </c>
      <c r="F1169" s="148">
        <v>0.1</v>
      </c>
      <c r="G1169" s="995">
        <f t="shared" si="50"/>
        <v>140000</v>
      </c>
      <c r="H1169" s="997" t="s">
        <v>311</v>
      </c>
      <c r="I1169" s="995" t="s">
        <v>242</v>
      </c>
      <c r="J1169" s="998"/>
      <c r="K1169" s="1003"/>
      <c r="L1169" s="1000"/>
      <c r="M1169" s="1000"/>
      <c r="N1169" s="1000"/>
      <c r="O1169" s="1000"/>
    </row>
    <row r="1170" spans="1:15" s="1001" customFormat="1" ht="15.75">
      <c r="A1170" s="1528"/>
      <c r="B1170" s="135">
        <v>13262</v>
      </c>
      <c r="C1170" s="148">
        <v>0.1</v>
      </c>
      <c r="D1170" s="1002" t="s">
        <v>836</v>
      </c>
      <c r="E1170" s="699">
        <v>800000</v>
      </c>
      <c r="F1170" s="148">
        <v>0.06</v>
      </c>
      <c r="G1170" s="995">
        <f t="shared" si="50"/>
        <v>48000</v>
      </c>
      <c r="H1170" s="997" t="s">
        <v>30</v>
      </c>
      <c r="I1170" s="995" t="s">
        <v>100</v>
      </c>
      <c r="J1170" s="998"/>
      <c r="K1170" s="1003"/>
      <c r="L1170" s="1000"/>
      <c r="M1170" s="1000"/>
      <c r="N1170" s="1000"/>
      <c r="O1170" s="1000"/>
    </row>
    <row r="1171" spans="1:15" s="1001" customFormat="1" ht="15.75">
      <c r="A1171" s="1528"/>
      <c r="B1171" s="135">
        <v>13253</v>
      </c>
      <c r="C1171" s="148">
        <v>0.1</v>
      </c>
      <c r="D1171" s="1002" t="s">
        <v>837</v>
      </c>
      <c r="E1171" s="699">
        <v>1500000</v>
      </c>
      <c r="F1171" s="148">
        <v>0.05</v>
      </c>
      <c r="G1171" s="995">
        <f t="shared" si="50"/>
        <v>75000</v>
      </c>
      <c r="H1171" s="997" t="s">
        <v>520</v>
      </c>
      <c r="I1171" s="995" t="s">
        <v>242</v>
      </c>
      <c r="J1171" s="998"/>
      <c r="K1171" s="1003"/>
      <c r="L1171" s="1000"/>
      <c r="M1171" s="1000"/>
      <c r="N1171" s="1000"/>
      <c r="O1171" s="1000"/>
    </row>
    <row r="1172" spans="1:15" s="1001" customFormat="1" ht="15.75">
      <c r="A1172" s="1528"/>
      <c r="B1172" s="135">
        <v>13270</v>
      </c>
      <c r="C1172" s="148">
        <v>0.1</v>
      </c>
      <c r="D1172" s="1002" t="s">
        <v>838</v>
      </c>
      <c r="E1172" s="699">
        <v>1100000</v>
      </c>
      <c r="F1172" s="148">
        <v>0.1</v>
      </c>
      <c r="G1172" s="995">
        <f t="shared" si="50"/>
        <v>110000</v>
      </c>
      <c r="H1172" s="997" t="s">
        <v>311</v>
      </c>
      <c r="I1172" s="995" t="s">
        <v>333</v>
      </c>
      <c r="J1172" s="998"/>
      <c r="K1172" s="1003"/>
      <c r="L1172" s="1000"/>
      <c r="M1172" s="1000"/>
      <c r="N1172" s="1000"/>
      <c r="O1172" s="1000"/>
    </row>
    <row r="1173" spans="1:15" s="1001" customFormat="1" ht="15.75">
      <c r="A1173" s="1528"/>
      <c r="B1173" s="135">
        <v>13266</v>
      </c>
      <c r="C1173" s="148">
        <v>0.1</v>
      </c>
      <c r="D1173" s="1002" t="s">
        <v>839</v>
      </c>
      <c r="E1173" s="699">
        <v>1300000</v>
      </c>
      <c r="F1173" s="148">
        <v>0.06</v>
      </c>
      <c r="G1173" s="995">
        <f t="shared" si="50"/>
        <v>78000</v>
      </c>
      <c r="H1173" s="997" t="s">
        <v>30</v>
      </c>
      <c r="I1173" s="995" t="s">
        <v>333</v>
      </c>
      <c r="J1173" s="998"/>
      <c r="K1173" s="1003"/>
      <c r="L1173" s="1000"/>
      <c r="M1173" s="1000"/>
      <c r="N1173" s="1000"/>
      <c r="O1173" s="1000"/>
    </row>
    <row r="1174" spans="1:15" s="1001" customFormat="1" ht="15.75">
      <c r="A1174" s="1528"/>
      <c r="B1174" s="135">
        <v>13268</v>
      </c>
      <c r="C1174" s="148">
        <v>0.1</v>
      </c>
      <c r="D1174" s="1002" t="s">
        <v>840</v>
      </c>
      <c r="E1174" s="699">
        <v>1400000</v>
      </c>
      <c r="F1174" s="148">
        <v>0.1</v>
      </c>
      <c r="G1174" s="995">
        <f t="shared" si="50"/>
        <v>140000</v>
      </c>
      <c r="H1174" s="997" t="s">
        <v>311</v>
      </c>
      <c r="I1174" s="995" t="s">
        <v>333</v>
      </c>
      <c r="J1174" s="998"/>
      <c r="K1174" s="1003"/>
      <c r="L1174" s="1000"/>
      <c r="M1174" s="1000"/>
      <c r="N1174" s="1000"/>
      <c r="O1174" s="1000"/>
    </row>
    <row r="1175" spans="1:15" s="1001" customFormat="1" ht="15.75">
      <c r="A1175" s="1528"/>
      <c r="B1175" s="135">
        <v>13284</v>
      </c>
      <c r="C1175" s="148">
        <v>0.1</v>
      </c>
      <c r="D1175" s="1002" t="s">
        <v>841</v>
      </c>
      <c r="E1175" s="699">
        <v>1350000</v>
      </c>
      <c r="F1175" s="148">
        <v>0.1</v>
      </c>
      <c r="G1175" s="995">
        <f t="shared" si="50"/>
        <v>135000</v>
      </c>
      <c r="H1175" s="997" t="s">
        <v>311</v>
      </c>
      <c r="I1175" s="995" t="s">
        <v>242</v>
      </c>
      <c r="J1175" s="998"/>
      <c r="K1175" s="1003"/>
      <c r="L1175" s="1000"/>
      <c r="M1175" s="1000"/>
      <c r="N1175" s="1000"/>
      <c r="O1175" s="1000"/>
    </row>
    <row r="1176" spans="1:15" s="1001" customFormat="1" ht="15.75">
      <c r="A1176" s="1528"/>
      <c r="B1176" s="135">
        <v>13334</v>
      </c>
      <c r="C1176" s="140">
        <v>0.08</v>
      </c>
      <c r="D1176" s="1002" t="s">
        <v>842</v>
      </c>
      <c r="E1176" s="699">
        <v>1500000</v>
      </c>
      <c r="F1176" s="148">
        <v>0.08</v>
      </c>
      <c r="G1176" s="995">
        <f t="shared" si="50"/>
        <v>120000</v>
      </c>
      <c r="H1176" s="997" t="s">
        <v>311</v>
      </c>
      <c r="I1176" s="995" t="s">
        <v>242</v>
      </c>
      <c r="J1176" s="998"/>
      <c r="K1176" s="1003"/>
      <c r="L1176" s="1000"/>
      <c r="M1176" s="1000"/>
      <c r="N1176" s="1000"/>
      <c r="O1176" s="1000"/>
    </row>
    <row r="1177" spans="1:15" s="1001" customFormat="1" ht="15.75">
      <c r="A1177" s="1528"/>
      <c r="B1177" s="135">
        <v>13327</v>
      </c>
      <c r="C1177" s="698">
        <v>0.1</v>
      </c>
      <c r="D1177" s="996" t="s">
        <v>843</v>
      </c>
      <c r="E1177" s="699">
        <v>1550000</v>
      </c>
      <c r="F1177" s="148">
        <v>0.06</v>
      </c>
      <c r="G1177" s="995">
        <f t="shared" si="50"/>
        <v>93000</v>
      </c>
      <c r="H1177" s="997" t="s">
        <v>30</v>
      </c>
      <c r="I1177" s="995" t="s">
        <v>242</v>
      </c>
      <c r="J1177" s="998"/>
      <c r="K1177" s="1003"/>
      <c r="L1177" s="1000"/>
      <c r="M1177" s="1000"/>
      <c r="N1177" s="1000"/>
      <c r="O1177" s="1000"/>
    </row>
    <row r="1178" spans="1:15" s="1001" customFormat="1" ht="15.75">
      <c r="A1178" s="1528"/>
      <c r="B1178" s="135">
        <v>13331</v>
      </c>
      <c r="C1178" s="698">
        <v>0.1</v>
      </c>
      <c r="D1178" s="136" t="s">
        <v>809</v>
      </c>
      <c r="E1178" s="699">
        <v>1400000</v>
      </c>
      <c r="F1178" s="148">
        <v>0.05</v>
      </c>
      <c r="G1178" s="995">
        <f t="shared" si="50"/>
        <v>70000</v>
      </c>
      <c r="H1178" s="997" t="s">
        <v>180</v>
      </c>
      <c r="I1178" s="995" t="s">
        <v>333</v>
      </c>
      <c r="J1178" s="998"/>
      <c r="K1178" s="1003"/>
      <c r="L1178" s="1000"/>
      <c r="M1178" s="1000"/>
      <c r="N1178" s="1000"/>
      <c r="O1178" s="1000"/>
    </row>
    <row r="1179" spans="1:15" s="1001" customFormat="1" ht="15.75">
      <c r="A1179" s="1528"/>
      <c r="B1179" s="1006" t="s">
        <v>844</v>
      </c>
      <c r="C1179" s="1007"/>
      <c r="D1179" s="1008" t="s">
        <v>845</v>
      </c>
      <c r="E1179" s="1009"/>
      <c r="F1179" s="1010"/>
      <c r="G1179" s="1011"/>
      <c r="H1179" s="1006"/>
      <c r="I1179" s="1011"/>
      <c r="J1179" s="1012" t="s">
        <v>846</v>
      </c>
      <c r="K1179" s="1003"/>
      <c r="L1179" s="1000"/>
      <c r="M1179" s="1000"/>
      <c r="N1179" s="1000"/>
      <c r="O1179" s="1000"/>
    </row>
    <row r="1180" spans="1:15" s="1001" customFormat="1" ht="30.75">
      <c r="A1180" s="1528"/>
      <c r="B1180" s="1011" t="s">
        <v>297</v>
      </c>
      <c r="C1180" s="1007"/>
      <c r="D1180" s="225" t="s">
        <v>847</v>
      </c>
      <c r="E1180" s="1009"/>
      <c r="F1180" s="1020"/>
      <c r="G1180" s="1011"/>
      <c r="H1180" s="1011"/>
      <c r="I1180" s="1021"/>
      <c r="J1180" s="920" t="s">
        <v>848</v>
      </c>
      <c r="K1180" s="1000"/>
      <c r="L1180" s="1000"/>
      <c r="M1180" s="266" t="s">
        <v>80</v>
      </c>
      <c r="N1180" s="1000"/>
      <c r="O1180" s="550">
        <f>SUM(O1163:O1167)</f>
        <v>111500</v>
      </c>
    </row>
    <row r="1181" spans="1:15" s="1001" customFormat="1" ht="30.75">
      <c r="A1181" s="1528"/>
      <c r="B1181" s="1011" t="s">
        <v>297</v>
      </c>
      <c r="C1181" s="1007"/>
      <c r="D1181" s="225" t="s">
        <v>849</v>
      </c>
      <c r="E1181" s="1009"/>
      <c r="F1181" s="1020"/>
      <c r="G1181" s="1011"/>
      <c r="H1181" s="1011"/>
      <c r="I1181" s="1011"/>
      <c r="J1181" s="920" t="s">
        <v>850</v>
      </c>
      <c r="K1181" s="1029"/>
      <c r="L1181" s="1029"/>
      <c r="M1181" s="1029"/>
      <c r="N1181" s="1029"/>
      <c r="O1181" s="1029"/>
    </row>
    <row r="1182" spans="1:15" s="1001" customFormat="1" ht="15.75">
      <c r="A1182" s="1528"/>
      <c r="B1182" s="999"/>
      <c r="C1182" s="1013"/>
      <c r="D1182" s="1016"/>
      <c r="E1182" s="1014"/>
      <c r="F1182" s="1015"/>
      <c r="G1182" s="999"/>
      <c r="H1182" s="999"/>
      <c r="I1182" s="999"/>
      <c r="J1182" s="1017"/>
      <c r="K1182" s="1000"/>
      <c r="L1182" s="1000"/>
      <c r="M1182" s="1000"/>
      <c r="N1182" s="1000"/>
      <c r="O1182" s="1000"/>
    </row>
    <row r="1183" spans="1:15" s="1001" customFormat="1" ht="20.25">
      <c r="A1183" s="1529"/>
      <c r="B1183" s="1018"/>
      <c r="C1183" s="1018"/>
      <c r="D1183" s="1019"/>
      <c r="E1183" s="854">
        <f>SUM(E1163:E1182)</f>
        <v>20250000</v>
      </c>
      <c r="F1183" s="1019"/>
      <c r="G1183" s="856">
        <f>SUM(G1163:G1182)</f>
        <v>1468500</v>
      </c>
      <c r="H1183" s="1019"/>
      <c r="I1183" s="1019"/>
      <c r="J1183" s="1028"/>
      <c r="K1183" s="1000"/>
      <c r="L1183" s="1000"/>
      <c r="M1183" s="1030" t="s">
        <v>80</v>
      </c>
      <c r="N1183" s="1030"/>
      <c r="O1183" s="897">
        <f>G1183+O1180</f>
        <v>1580000</v>
      </c>
    </row>
    <row r="1186" spans="1:15" ht="23.25">
      <c r="A1186" s="1530" t="s">
        <v>465</v>
      </c>
      <c r="B1186" s="1532"/>
      <c r="C1186" s="1532"/>
      <c r="D1186" s="1532"/>
      <c r="E1186" s="1532"/>
      <c r="F1186" s="1532"/>
      <c r="G1186" s="1532"/>
      <c r="H1186" s="1532"/>
      <c r="I1186" s="1532"/>
      <c r="J1186" s="1549"/>
      <c r="K1186" s="1533" t="s">
        <v>2</v>
      </c>
      <c r="L1186" s="1533"/>
      <c r="M1186" s="1533"/>
      <c r="N1186" s="1533"/>
      <c r="O1186" s="1533"/>
    </row>
    <row r="1187" spans="1:15" ht="30">
      <c r="A1187" s="126" t="s">
        <v>3</v>
      </c>
      <c r="B1187" s="1" t="s">
        <v>120</v>
      </c>
      <c r="C1187" s="367" t="s">
        <v>4</v>
      </c>
      <c r="D1187" s="1" t="s">
        <v>5</v>
      </c>
      <c r="E1187" s="1" t="s">
        <v>6</v>
      </c>
      <c r="F1187" s="1" t="s">
        <v>7</v>
      </c>
      <c r="G1187" s="1" t="s">
        <v>8</v>
      </c>
      <c r="H1187" s="361" t="s">
        <v>9</v>
      </c>
      <c r="I1187" s="1" t="s">
        <v>10</v>
      </c>
      <c r="J1187" s="126" t="s">
        <v>11</v>
      </c>
      <c r="K1187" s="68" t="s">
        <v>12</v>
      </c>
      <c r="L1187" s="68" t="s">
        <v>5</v>
      </c>
      <c r="M1187" s="68" t="s">
        <v>13</v>
      </c>
      <c r="N1187" s="129" t="s">
        <v>7</v>
      </c>
      <c r="O1187" s="68" t="s">
        <v>14</v>
      </c>
    </row>
    <row r="1188" spans="1:15" ht="15.75">
      <c r="A1188" s="1550" t="s">
        <v>95</v>
      </c>
      <c r="B1188" s="135">
        <v>13243</v>
      </c>
      <c r="C1188" s="138">
        <v>0.1</v>
      </c>
      <c r="D1188" s="137" t="s">
        <v>851</v>
      </c>
      <c r="E1188" s="139">
        <v>1300000</v>
      </c>
      <c r="F1188" s="779">
        <v>0.06</v>
      </c>
      <c r="G1188" s="619">
        <f>E1188*F1188</f>
        <v>78000</v>
      </c>
      <c r="H1188" s="741" t="s">
        <v>30</v>
      </c>
      <c r="I1188" s="741" t="s">
        <v>100</v>
      </c>
      <c r="J1188" s="755"/>
      <c r="K1188" s="135">
        <v>13204</v>
      </c>
      <c r="L1188" s="137" t="s">
        <v>808</v>
      </c>
      <c r="M1188" s="143">
        <v>1600000</v>
      </c>
      <c r="N1188" s="231">
        <v>0.05</v>
      </c>
      <c r="O1188" s="139">
        <f>M1188*N1188</f>
        <v>80000</v>
      </c>
    </row>
    <row r="1189" spans="1:15" ht="15.75">
      <c r="A1189" s="1550"/>
      <c r="B1189" s="135">
        <v>13256</v>
      </c>
      <c r="C1189" s="138">
        <v>0.1</v>
      </c>
      <c r="D1189" s="137" t="s">
        <v>479</v>
      </c>
      <c r="E1189" s="139">
        <v>1300000</v>
      </c>
      <c r="F1189" s="779">
        <v>0.06</v>
      </c>
      <c r="G1189" s="619">
        <f t="shared" ref="G1189:G1194" si="51">E1189*F1189</f>
        <v>78000</v>
      </c>
      <c r="H1189" s="741" t="s">
        <v>30</v>
      </c>
      <c r="I1189" s="741" t="s">
        <v>333</v>
      </c>
      <c r="J1189" s="755"/>
      <c r="K1189" s="135">
        <v>13253</v>
      </c>
      <c r="L1189" s="1002" t="s">
        <v>837</v>
      </c>
      <c r="M1189" s="699">
        <v>1500000</v>
      </c>
      <c r="N1189" s="231">
        <v>0.05</v>
      </c>
      <c r="O1189" s="139">
        <f t="shared" ref="O1189" si="52">M1189*N1189</f>
        <v>75000</v>
      </c>
    </row>
    <row r="1190" spans="1:15" ht="15.75">
      <c r="A1190" s="1550"/>
      <c r="B1190" s="135">
        <v>13305</v>
      </c>
      <c r="C1190" s="140">
        <v>0.09</v>
      </c>
      <c r="D1190" s="137" t="s">
        <v>852</v>
      </c>
      <c r="E1190" s="139">
        <v>1460000</v>
      </c>
      <c r="F1190" s="234">
        <v>0.08</v>
      </c>
      <c r="G1190" s="619">
        <f t="shared" si="51"/>
        <v>116800</v>
      </c>
      <c r="H1190" s="741" t="s">
        <v>520</v>
      </c>
      <c r="I1190" s="741" t="s">
        <v>333</v>
      </c>
      <c r="J1190" s="755"/>
      <c r="K1190" s="893"/>
      <c r="L1190" s="165"/>
      <c r="M1190" s="261"/>
      <c r="N1190" s="260"/>
      <c r="O1190" s="154"/>
    </row>
    <row r="1191" spans="1:15" ht="15.75">
      <c r="A1191" s="1550"/>
      <c r="B1191" s="135">
        <v>13353</v>
      </c>
      <c r="C1191" s="138">
        <v>0.1</v>
      </c>
      <c r="D1191" s="137" t="s">
        <v>853</v>
      </c>
      <c r="E1191" s="139">
        <v>1500000</v>
      </c>
      <c r="F1191" s="779">
        <v>0.1</v>
      </c>
      <c r="G1191" s="619">
        <f t="shared" si="51"/>
        <v>150000</v>
      </c>
      <c r="H1191" s="741" t="s">
        <v>520</v>
      </c>
      <c r="I1191" s="741" t="s">
        <v>333</v>
      </c>
      <c r="J1191" s="1026"/>
      <c r="K1191" s="893"/>
      <c r="L1191" s="165"/>
      <c r="M1191" s="261"/>
      <c r="N1191" s="260"/>
      <c r="O1191" s="550"/>
    </row>
    <row r="1192" spans="1:15" ht="15.75">
      <c r="A1192" s="1550"/>
      <c r="B1192" s="135">
        <v>13398</v>
      </c>
      <c r="C1192" s="478">
        <v>0.1</v>
      </c>
      <c r="D1192" s="137" t="s">
        <v>854</v>
      </c>
      <c r="E1192" s="139">
        <v>2500000</v>
      </c>
      <c r="F1192" s="779">
        <v>0.1</v>
      </c>
      <c r="G1192" s="619">
        <f t="shared" si="51"/>
        <v>250000</v>
      </c>
      <c r="H1192" s="741" t="s">
        <v>520</v>
      </c>
      <c r="I1192" s="741" t="s">
        <v>333</v>
      </c>
      <c r="J1192" s="755"/>
      <c r="K1192" s="893"/>
      <c r="L1192" s="165"/>
      <c r="M1192" s="261"/>
      <c r="N1192" s="260"/>
      <c r="O1192" s="550"/>
    </row>
    <row r="1193" spans="1:15" ht="15.75">
      <c r="A1193" s="1550"/>
      <c r="B1193" s="135">
        <v>13403</v>
      </c>
      <c r="C1193" s="138">
        <v>0.1</v>
      </c>
      <c r="D1193" s="137" t="s">
        <v>811</v>
      </c>
      <c r="E1193" s="139">
        <v>1400000</v>
      </c>
      <c r="F1193" s="779">
        <v>0.05</v>
      </c>
      <c r="G1193" s="619">
        <f t="shared" si="51"/>
        <v>70000</v>
      </c>
      <c r="H1193" s="741" t="s">
        <v>180</v>
      </c>
      <c r="I1193" s="741" t="s">
        <v>242</v>
      </c>
      <c r="J1193" s="755"/>
      <c r="K1193" s="163"/>
      <c r="L1193" s="262"/>
      <c r="M1193" s="261"/>
      <c r="N1193" s="260"/>
      <c r="O1193" s="550"/>
    </row>
    <row r="1194" spans="1:15" ht="15.75">
      <c r="A1194" s="1550"/>
      <c r="B1194" s="135" t="s">
        <v>830</v>
      </c>
      <c r="C1194" s="140">
        <v>0.08</v>
      </c>
      <c r="D1194" s="137" t="s">
        <v>831</v>
      </c>
      <c r="E1194" s="139">
        <v>1350000</v>
      </c>
      <c r="F1194" s="234">
        <v>0.04</v>
      </c>
      <c r="G1194" s="619">
        <f t="shared" si="51"/>
        <v>54000</v>
      </c>
      <c r="H1194" s="741" t="s">
        <v>305</v>
      </c>
      <c r="I1194" s="741" t="s">
        <v>333</v>
      </c>
      <c r="J1194" s="1026"/>
      <c r="K1194" s="959"/>
      <c r="L1194" s="959"/>
      <c r="M1194" s="181" t="s">
        <v>80</v>
      </c>
      <c r="N1194" s="181"/>
      <c r="O1194" s="588">
        <f>SUM(O1188:O1193)</f>
        <v>155000</v>
      </c>
    </row>
    <row r="1195" spans="1:15" ht="15.75">
      <c r="A1195" s="1550"/>
      <c r="B1195" s="163"/>
      <c r="C1195" s="162"/>
      <c r="D1195" s="165"/>
      <c r="E1195" s="550"/>
      <c r="F1195" s="847"/>
      <c r="G1195" s="895"/>
      <c r="H1195" s="175"/>
      <c r="I1195" s="175"/>
      <c r="J1195" s="964"/>
      <c r="K1195" s="959"/>
      <c r="L1195" s="959"/>
      <c r="M1195" s="959"/>
      <c r="N1195" s="959"/>
      <c r="O1195" s="959"/>
    </row>
    <row r="1196" spans="1:15" ht="20.25">
      <c r="A1196" s="1551"/>
      <c r="B1196" s="38"/>
      <c r="C1196" s="38"/>
      <c r="D1196" s="27"/>
      <c r="E1196" s="902">
        <f>SUM(E1188:E1195)</f>
        <v>10810000</v>
      </c>
      <c r="F1196" s="27"/>
      <c r="G1196" s="965">
        <f>SUM(G1188:G1195)</f>
        <v>796800</v>
      </c>
      <c r="H1196" s="27"/>
      <c r="I1196" s="27"/>
      <c r="J1196" s="966"/>
      <c r="K1196" s="27"/>
      <c r="L1196" s="27"/>
      <c r="M1196" s="906" t="s">
        <v>80</v>
      </c>
      <c r="N1196" s="955"/>
      <c r="O1196" s="869">
        <f>G1196+O1194</f>
        <v>951800</v>
      </c>
    </row>
    <row r="1197" spans="1:15" ht="46.5">
      <c r="A1197" s="984"/>
      <c r="B1197" s="85"/>
      <c r="C1197" s="85"/>
      <c r="D1197" s="32"/>
      <c r="E1197" s="985"/>
      <c r="F1197" s="32"/>
      <c r="G1197" s="986"/>
      <c r="H1197" s="32"/>
      <c r="I1197" s="32"/>
      <c r="J1197" s="32"/>
      <c r="K1197" s="32"/>
      <c r="L1197" s="32"/>
      <c r="M1197" s="987"/>
      <c r="N1197" s="988"/>
      <c r="O1197" s="989"/>
    </row>
    <row r="1198" spans="1:15" ht="23.25">
      <c r="A1198" s="1530" t="s">
        <v>274</v>
      </c>
      <c r="B1198" s="1531"/>
      <c r="C1198" s="1532"/>
      <c r="D1198" s="1531"/>
      <c r="E1198" s="1531"/>
      <c r="F1198" s="1531"/>
      <c r="G1198" s="1531"/>
      <c r="H1198" s="1532"/>
      <c r="I1198" s="1532"/>
      <c r="J1198" s="1532"/>
      <c r="K1198" s="1533" t="s">
        <v>2</v>
      </c>
      <c r="L1198" s="1533"/>
      <c r="M1198" s="1533"/>
      <c r="N1198" s="1533"/>
      <c r="O1198" s="1533"/>
    </row>
    <row r="1199" spans="1:15" ht="30.75">
      <c r="A1199" s="126" t="s">
        <v>3</v>
      </c>
      <c r="B1199" s="1" t="s">
        <v>120</v>
      </c>
      <c r="C1199" s="367" t="s">
        <v>4</v>
      </c>
      <c r="D1199" s="1" t="s">
        <v>5</v>
      </c>
      <c r="E1199" s="1" t="s">
        <v>6</v>
      </c>
      <c r="F1199" s="1" t="s">
        <v>7</v>
      </c>
      <c r="G1199" s="1" t="s">
        <v>8</v>
      </c>
      <c r="H1199" s="361" t="s">
        <v>9</v>
      </c>
      <c r="I1199" s="1" t="s">
        <v>10</v>
      </c>
      <c r="J1199" s="126" t="s">
        <v>11</v>
      </c>
      <c r="K1199" s="3" t="s">
        <v>12</v>
      </c>
      <c r="L1199" s="3" t="s">
        <v>5</v>
      </c>
      <c r="M1199" s="3" t="s">
        <v>13</v>
      </c>
      <c r="N1199" s="3" t="s">
        <v>7</v>
      </c>
      <c r="O1199" s="3" t="s">
        <v>14</v>
      </c>
    </row>
    <row r="1200" spans="1:15" ht="15.75">
      <c r="A1200" s="1553"/>
      <c r="B1200" s="135">
        <v>13273</v>
      </c>
      <c r="C1200" s="495">
        <v>0.1</v>
      </c>
      <c r="D1200" s="136" t="s">
        <v>855</v>
      </c>
      <c r="E1200" s="143">
        <v>1287845</v>
      </c>
      <c r="F1200" s="497"/>
      <c r="G1200" s="498"/>
      <c r="H1200" s="135"/>
      <c r="I1200" s="135" t="s">
        <v>856</v>
      </c>
      <c r="J1200" s="145"/>
      <c r="K1200" s="135">
        <v>13157</v>
      </c>
      <c r="L1200" s="137" t="s">
        <v>802</v>
      </c>
      <c r="M1200" s="143">
        <v>1500000</v>
      </c>
      <c r="N1200" s="14"/>
      <c r="O1200" s="14"/>
    </row>
    <row r="1201" spans="1:15" ht="15.75">
      <c r="A1201" s="1552"/>
      <c r="B1201" s="135">
        <v>13368</v>
      </c>
      <c r="C1201" s="233">
        <v>0.1</v>
      </c>
      <c r="D1201" s="136" t="s">
        <v>857</v>
      </c>
      <c r="E1201" s="143"/>
      <c r="F1201" s="138"/>
      <c r="G1201" s="278"/>
      <c r="H1201" s="135"/>
      <c r="I1201" s="135" t="s">
        <v>856</v>
      </c>
      <c r="J1201" s="145"/>
      <c r="K1201" s="135">
        <v>13167</v>
      </c>
      <c r="L1201" s="137" t="s">
        <v>804</v>
      </c>
      <c r="M1201" s="143">
        <v>900000</v>
      </c>
      <c r="N1201" s="14"/>
      <c r="O1201" s="14"/>
    </row>
    <row r="1202" spans="1:15" ht="15.75">
      <c r="A1202" s="1552"/>
      <c r="B1202" s="1034"/>
      <c r="C1202" s="658"/>
      <c r="D1202" s="1035"/>
      <c r="E1202" s="1036"/>
      <c r="F1202" s="788"/>
      <c r="G1202" s="1025"/>
      <c r="H1202" s="1034"/>
      <c r="I1202" s="1034"/>
      <c r="J1202" s="1037"/>
      <c r="K1202" s="135">
        <v>13231</v>
      </c>
      <c r="L1202" s="136" t="s">
        <v>810</v>
      </c>
      <c r="M1202" s="143">
        <v>2000000</v>
      </c>
      <c r="N1202" s="14"/>
      <c r="O1202" s="14"/>
    </row>
    <row r="1203" spans="1:15" ht="15.75">
      <c r="A1203" s="1552"/>
      <c r="B1203" s="1034"/>
      <c r="C1203" s="658"/>
      <c r="D1203" s="1035"/>
      <c r="E1203" s="1036"/>
      <c r="F1203" s="788"/>
      <c r="G1203" s="1025"/>
      <c r="H1203" s="1034"/>
      <c r="I1203" s="1034"/>
      <c r="J1203" s="1037"/>
      <c r="K1203" s="135">
        <v>13267</v>
      </c>
      <c r="L1203" s="137" t="s">
        <v>812</v>
      </c>
      <c r="M1203" s="143">
        <v>1250000</v>
      </c>
      <c r="N1203" s="14"/>
      <c r="O1203" s="14"/>
    </row>
    <row r="1204" spans="1:15" ht="15.75">
      <c r="A1204" s="1552"/>
      <c r="B1204" s="1034"/>
      <c r="C1204" s="658"/>
      <c r="D1204" s="1035"/>
      <c r="E1204" s="1036"/>
      <c r="F1204" s="788"/>
      <c r="G1204" s="1025"/>
      <c r="H1204" s="1034"/>
      <c r="I1204" s="1034"/>
      <c r="J1204" s="1037"/>
      <c r="K1204" s="135">
        <v>13313</v>
      </c>
      <c r="L1204" s="137" t="s">
        <v>858</v>
      </c>
      <c r="M1204" s="143">
        <v>1500000</v>
      </c>
      <c r="N1204" s="14"/>
      <c r="O1204" s="14"/>
    </row>
    <row r="1205" spans="1:15" ht="15.75">
      <c r="A1205" s="1552"/>
      <c r="B1205" s="1034"/>
      <c r="C1205" s="658"/>
      <c r="D1205" s="1035"/>
      <c r="E1205" s="1036"/>
      <c r="F1205" s="788"/>
      <c r="G1205" s="1025"/>
      <c r="H1205" s="1034"/>
      <c r="I1205" s="1034"/>
      <c r="J1205" s="1037"/>
      <c r="K1205" s="135">
        <v>13350</v>
      </c>
      <c r="L1205" s="137" t="s">
        <v>815</v>
      </c>
      <c r="M1205" s="143">
        <v>1300000</v>
      </c>
      <c r="N1205" s="14"/>
      <c r="O1205" s="14"/>
    </row>
    <row r="1206" spans="1:15" ht="15.75">
      <c r="A1206" s="1552"/>
      <c r="B1206" s="523"/>
      <c r="C1206" s="524"/>
      <c r="D1206" s="525"/>
      <c r="E1206" s="526"/>
      <c r="F1206" s="527"/>
      <c r="G1206" s="522"/>
      <c r="H1206" s="523"/>
      <c r="I1206" s="523"/>
      <c r="J1206" s="963"/>
      <c r="K1206" s="135">
        <v>13383</v>
      </c>
      <c r="L1206" s="137" t="s">
        <v>817</v>
      </c>
      <c r="M1206" s="143">
        <v>1600000</v>
      </c>
      <c r="N1206" s="14"/>
      <c r="O1206" s="14"/>
    </row>
    <row r="1207" spans="1:15" ht="15.75">
      <c r="A1207" s="1552"/>
      <c r="B1207" s="1039"/>
      <c r="C1207" s="1039"/>
      <c r="D1207" s="1040"/>
      <c r="E1207" s="1043"/>
      <c r="F1207" s="1040"/>
      <c r="G1207" s="1041"/>
      <c r="H1207" s="1040"/>
      <c r="I1207" s="1040"/>
      <c r="J1207" s="1042"/>
      <c r="K1207" s="135">
        <v>13209</v>
      </c>
      <c r="L1207" s="136" t="s">
        <v>822</v>
      </c>
      <c r="M1207" s="699">
        <v>1400000</v>
      </c>
      <c r="N1207" s="14"/>
      <c r="O1207" s="14"/>
    </row>
    <row r="1208" spans="1:15" ht="15.75">
      <c r="A1208" s="14"/>
      <c r="B1208" s="71"/>
      <c r="C1208" s="71"/>
      <c r="D1208" s="14"/>
      <c r="E1208" s="14"/>
      <c r="F1208" s="14"/>
      <c r="G1208" s="71"/>
      <c r="H1208" s="14"/>
      <c r="I1208" s="14"/>
      <c r="J1208" s="14"/>
      <c r="K1208" s="133">
        <v>13262</v>
      </c>
      <c r="L1208" s="1002" t="s">
        <v>836</v>
      </c>
      <c r="M1208" s="699">
        <v>800000</v>
      </c>
    </row>
    <row r="1209" spans="1:15" ht="15.75">
      <c r="A1209" s="14"/>
      <c r="B1209" s="71"/>
      <c r="C1209" s="71"/>
      <c r="D1209" s="14"/>
      <c r="E1209" s="14"/>
      <c r="F1209" s="14"/>
      <c r="G1209" s="71"/>
      <c r="H1209" s="14"/>
      <c r="I1209" s="14"/>
      <c r="J1209" s="14"/>
      <c r="K1209" s="133">
        <v>13266</v>
      </c>
      <c r="L1209" s="1002" t="s">
        <v>839</v>
      </c>
      <c r="M1209" s="699">
        <v>1300000</v>
      </c>
    </row>
    <row r="1210" spans="1:15" ht="15.75">
      <c r="A1210" s="14"/>
      <c r="B1210" s="71"/>
      <c r="C1210" s="71"/>
      <c r="D1210" s="14"/>
      <c r="E1210" s="14"/>
      <c r="F1210" s="14"/>
      <c r="G1210" s="71"/>
      <c r="H1210" s="14"/>
      <c r="I1210" s="14"/>
      <c r="J1210" s="14"/>
      <c r="K1210" s="133">
        <v>13327</v>
      </c>
      <c r="L1210" s="996" t="s">
        <v>843</v>
      </c>
      <c r="M1210" s="699">
        <v>1550000</v>
      </c>
    </row>
    <row r="1211" spans="1:15" ht="15.75">
      <c r="A1211" s="14"/>
      <c r="B1211" s="71"/>
      <c r="C1211" s="71"/>
      <c r="D1211" s="14"/>
      <c r="E1211" s="14"/>
      <c r="F1211" s="14"/>
      <c r="G1211" s="71"/>
      <c r="H1211" s="14"/>
      <c r="I1211" s="14"/>
      <c r="J1211" s="14"/>
      <c r="K1211" s="133">
        <v>13243</v>
      </c>
      <c r="L1211" s="137" t="s">
        <v>851</v>
      </c>
      <c r="M1211" s="699">
        <v>1300000</v>
      </c>
    </row>
    <row r="1212" spans="1:15" ht="15.75">
      <c r="A1212" s="14"/>
      <c r="B1212" s="71"/>
      <c r="C1212" s="71"/>
      <c r="D1212" s="14"/>
      <c r="E1212" s="14"/>
      <c r="F1212" s="14"/>
      <c r="G1212" s="71"/>
      <c r="H1212" s="14"/>
      <c r="I1212" s="14"/>
      <c r="J1212" s="14"/>
      <c r="K1212" s="144">
        <v>13396</v>
      </c>
      <c r="L1212" s="137" t="s">
        <v>821</v>
      </c>
      <c r="M1212" s="699">
        <v>1050000</v>
      </c>
    </row>
    <row r="1213" spans="1:15" ht="15.75">
      <c r="A1213" s="14"/>
      <c r="B1213" s="71"/>
      <c r="C1213" s="71"/>
      <c r="D1213" s="14"/>
      <c r="E1213" s="14"/>
      <c r="F1213" s="14"/>
      <c r="G1213" s="71"/>
      <c r="H1213" s="14"/>
      <c r="I1213" s="14"/>
      <c r="J1213" s="14"/>
      <c r="K1213" s="135">
        <v>13411</v>
      </c>
      <c r="L1213" s="137" t="s">
        <v>859</v>
      </c>
      <c r="M1213" s="699">
        <v>900000</v>
      </c>
    </row>
    <row r="1214" spans="1:15" ht="18">
      <c r="A1214" s="31"/>
      <c r="B1214" s="617"/>
      <c r="C1214" s="617"/>
      <c r="D1214" s="1048" t="s">
        <v>80</v>
      </c>
      <c r="E1214" s="1049">
        <f>SUM(E1200)</f>
        <v>1287845</v>
      </c>
      <c r="F1214" s="31"/>
      <c r="G1214" s="617"/>
      <c r="H1214" s="31"/>
      <c r="I1214" s="31"/>
      <c r="J1214" s="31"/>
      <c r="K1214" s="494">
        <v>13256</v>
      </c>
      <c r="L1214" s="180" t="s">
        <v>479</v>
      </c>
      <c r="M1214" s="1044">
        <v>1300000</v>
      </c>
    </row>
    <row r="1215" spans="1:15" ht="18">
      <c r="A1215" s="14"/>
      <c r="B1215" s="71"/>
      <c r="C1215" s="71"/>
      <c r="D1215" s="156"/>
      <c r="E1215" s="902"/>
      <c r="F1215" s="14"/>
      <c r="G1215" s="71"/>
      <c r="H1215" s="14"/>
      <c r="I1215" s="14"/>
      <c r="J1215" s="14"/>
      <c r="K1215" s="1047"/>
      <c r="L1215" s="1045" t="s">
        <v>80</v>
      </c>
      <c r="M1215" s="1046">
        <f>SUM(M1200:M1214)</f>
        <v>19650000</v>
      </c>
    </row>
    <row r="1216" spans="1:15" ht="18" customHeight="1">
      <c r="A1216" s="1627"/>
      <c r="B1216" s="1627"/>
      <c r="C1216" s="1627"/>
      <c r="D1216" s="1627"/>
      <c r="E1216" s="1627"/>
      <c r="F1216" s="1627"/>
      <c r="G1216" s="1627"/>
      <c r="H1216" s="1627"/>
      <c r="I1216" s="1627"/>
      <c r="J1216" s="1627"/>
      <c r="K1216" s="1627"/>
      <c r="L1216" s="1627"/>
      <c r="M1216" s="1627"/>
      <c r="N1216" s="1627"/>
      <c r="O1216" s="1627"/>
    </row>
    <row r="1217" spans="1:15">
      <c r="A1217" s="1627"/>
      <c r="B1217" s="1627"/>
      <c r="C1217" s="1627"/>
      <c r="D1217" s="1627"/>
      <c r="E1217" s="1627"/>
      <c r="F1217" s="1627"/>
      <c r="G1217" s="1627"/>
      <c r="H1217" s="1627"/>
      <c r="I1217" s="1627"/>
      <c r="J1217" s="1627"/>
      <c r="K1217" s="1627"/>
      <c r="L1217" s="1627"/>
      <c r="M1217" s="1627"/>
      <c r="N1217" s="1627"/>
      <c r="O1217" s="1627"/>
    </row>
    <row r="1218" spans="1:15" ht="20.25">
      <c r="A1218" s="1535" t="s">
        <v>68</v>
      </c>
      <c r="B1218" s="1535"/>
      <c r="C1218" s="365"/>
      <c r="D1218" s="979">
        <f>E1144+E1157+E1183+E1196+E1214</f>
        <v>55927845</v>
      </c>
    </row>
    <row r="1219" spans="1:15">
      <c r="A1219" s="1536" t="s">
        <v>69</v>
      </c>
      <c r="B1219" s="1536"/>
      <c r="C1219" s="22"/>
      <c r="D1219" s="20"/>
    </row>
    <row r="1220" spans="1:15">
      <c r="A1220" s="1537" t="s">
        <v>70</v>
      </c>
      <c r="B1220" s="1537"/>
      <c r="C1220" s="101"/>
      <c r="D1220" s="21"/>
    </row>
    <row r="1225" spans="1:15" ht="31.5">
      <c r="A1225" s="1546" t="s">
        <v>860</v>
      </c>
      <c r="B1225" s="1547"/>
      <c r="C1225" s="1547"/>
      <c r="D1225" s="1547"/>
      <c r="E1225" s="1547"/>
      <c r="F1225" s="1547"/>
      <c r="G1225" s="1547"/>
      <c r="H1225" s="1547"/>
      <c r="I1225" s="1547"/>
      <c r="J1225" s="1547"/>
    </row>
    <row r="1226" spans="1:15" ht="23.25">
      <c r="A1226" s="1548" t="s">
        <v>1</v>
      </c>
      <c r="B1226" s="1532"/>
      <c r="C1226" s="1532"/>
      <c r="D1226" s="1531"/>
      <c r="E1226" s="1532"/>
      <c r="F1226" s="1532"/>
      <c r="G1226" s="1532"/>
      <c r="H1226" s="1532"/>
      <c r="I1226" s="1532"/>
      <c r="J1226" s="1532"/>
      <c r="K1226" s="1533" t="s">
        <v>2</v>
      </c>
      <c r="L1226" s="1533"/>
      <c r="M1226" s="1533"/>
      <c r="N1226" s="1533"/>
      <c r="O1226" s="1533"/>
    </row>
    <row r="1227" spans="1:15" ht="30.75">
      <c r="A1227" s="3" t="s">
        <v>3</v>
      </c>
      <c r="B1227" s="361" t="s">
        <v>120</v>
      </c>
      <c r="C1227" s="360" t="s">
        <v>4</v>
      </c>
      <c r="D1227" s="3" t="s">
        <v>5</v>
      </c>
      <c r="E1227" s="361" t="s">
        <v>6</v>
      </c>
      <c r="F1227" s="1" t="s">
        <v>7</v>
      </c>
      <c r="G1227" s="1" t="s">
        <v>8</v>
      </c>
      <c r="H1227" s="1" t="s">
        <v>9</v>
      </c>
      <c r="I1227" s="1" t="s">
        <v>10</v>
      </c>
      <c r="J1227" s="1" t="s">
        <v>11</v>
      </c>
      <c r="K1227" s="68" t="s">
        <v>12</v>
      </c>
      <c r="L1227" s="68" t="s">
        <v>5</v>
      </c>
      <c r="M1227" s="68" t="s">
        <v>13</v>
      </c>
      <c r="N1227" s="129" t="s">
        <v>7</v>
      </c>
      <c r="O1227" s="68" t="s">
        <v>14</v>
      </c>
    </row>
    <row r="1228" spans="1:15" ht="15.75">
      <c r="A1228" s="1556" t="s">
        <v>764</v>
      </c>
      <c r="B1228" s="135">
        <v>13415</v>
      </c>
      <c r="C1228" s="233">
        <v>0.1</v>
      </c>
      <c r="D1228" s="137" t="s">
        <v>861</v>
      </c>
      <c r="E1228" s="143">
        <v>1350000</v>
      </c>
      <c r="F1228" s="478">
        <v>0.12</v>
      </c>
      <c r="G1228" s="278">
        <f>E1228*F1228</f>
        <v>162000</v>
      </c>
      <c r="H1228" s="144" t="s">
        <v>180</v>
      </c>
      <c r="I1228" s="144" t="s">
        <v>242</v>
      </c>
      <c r="J1228" s="596"/>
      <c r="K1228" s="135">
        <v>13598</v>
      </c>
      <c r="L1228" s="137" t="s">
        <v>862</v>
      </c>
      <c r="M1228" s="143">
        <v>1400000</v>
      </c>
      <c r="N1228" s="534">
        <v>0.05</v>
      </c>
      <c r="O1228" s="139">
        <f>M1228*N1228</f>
        <v>70000</v>
      </c>
    </row>
    <row r="1229" spans="1:15" ht="15.75">
      <c r="A1229" s="1552"/>
      <c r="B1229" s="135" t="s">
        <v>863</v>
      </c>
      <c r="C1229" s="233">
        <v>0.1</v>
      </c>
      <c r="D1229" s="137" t="s">
        <v>864</v>
      </c>
      <c r="E1229" s="143">
        <v>1300000</v>
      </c>
      <c r="F1229" s="478">
        <v>0.12</v>
      </c>
      <c r="G1229" s="278">
        <f t="shared" ref="G1229:G1238" si="53">E1229*F1229</f>
        <v>156000</v>
      </c>
      <c r="H1229" s="144" t="s">
        <v>180</v>
      </c>
      <c r="I1229" s="144" t="s">
        <v>100</v>
      </c>
      <c r="J1229" s="596"/>
      <c r="K1229" s="179">
        <v>13418</v>
      </c>
      <c r="L1229" s="180" t="s">
        <v>865</v>
      </c>
      <c r="M1229" s="146">
        <v>1600000</v>
      </c>
      <c r="N1229" s="715">
        <v>0.05</v>
      </c>
      <c r="O1229" s="178">
        <f>M1229*N1229</f>
        <v>80000</v>
      </c>
    </row>
    <row r="1230" spans="1:15" ht="15.75">
      <c r="A1230" s="1552"/>
      <c r="B1230" s="135">
        <v>13430</v>
      </c>
      <c r="C1230" s="233">
        <v>0.1</v>
      </c>
      <c r="D1230" s="137" t="s">
        <v>866</v>
      </c>
      <c r="E1230" s="143">
        <v>1100000</v>
      </c>
      <c r="F1230" s="478">
        <v>0.12</v>
      </c>
      <c r="G1230" s="278">
        <f t="shared" si="53"/>
        <v>132000</v>
      </c>
      <c r="H1230" s="144" t="s">
        <v>180</v>
      </c>
      <c r="I1230" s="144" t="s">
        <v>242</v>
      </c>
      <c r="J1230" s="1102"/>
      <c r="K1230" s="179">
        <v>13643</v>
      </c>
      <c r="L1230" s="180" t="s">
        <v>867</v>
      </c>
      <c r="M1230" s="146">
        <v>1850000</v>
      </c>
      <c r="N1230" s="1112">
        <v>0.04</v>
      </c>
      <c r="O1230" s="178">
        <f>M1230*N1230</f>
        <v>74000</v>
      </c>
    </row>
    <row r="1231" spans="1:15" ht="15.75">
      <c r="A1231" s="1552"/>
      <c r="B1231" s="135">
        <v>13459</v>
      </c>
      <c r="C1231" s="233">
        <v>0.1</v>
      </c>
      <c r="D1231" s="137" t="s">
        <v>868</v>
      </c>
      <c r="E1231" s="143">
        <v>1300000</v>
      </c>
      <c r="F1231" s="478">
        <v>0.06</v>
      </c>
      <c r="G1231" s="278">
        <f t="shared" si="53"/>
        <v>78000</v>
      </c>
      <c r="H1231" s="144" t="s">
        <v>30</v>
      </c>
      <c r="I1231" s="144" t="s">
        <v>242</v>
      </c>
      <c r="J1231" s="1102"/>
      <c r="K1231" s="14"/>
      <c r="L1231" s="14"/>
      <c r="M1231" s="14"/>
      <c r="N1231" s="14"/>
      <c r="O1231" s="14"/>
    </row>
    <row r="1232" spans="1:15" ht="15.75">
      <c r="A1232" s="1552"/>
      <c r="B1232" s="135">
        <v>13479</v>
      </c>
      <c r="C1232" s="233">
        <v>0.1</v>
      </c>
      <c r="D1232" s="137" t="s">
        <v>869</v>
      </c>
      <c r="E1232" s="143">
        <v>1100000</v>
      </c>
      <c r="F1232" s="478">
        <v>0.12</v>
      </c>
      <c r="G1232" s="278">
        <f t="shared" si="53"/>
        <v>132000</v>
      </c>
      <c r="H1232" s="144" t="s">
        <v>180</v>
      </c>
      <c r="I1232" s="144" t="s">
        <v>242</v>
      </c>
      <c r="J1232" s="1102"/>
      <c r="K1232" s="14"/>
      <c r="L1232" s="14"/>
      <c r="M1232" s="14"/>
      <c r="N1232" s="14"/>
      <c r="O1232" s="14"/>
    </row>
    <row r="1233" spans="1:15" ht="15.75">
      <c r="A1233" s="1552"/>
      <c r="B1233" s="135">
        <v>13512</v>
      </c>
      <c r="C1233" s="233">
        <v>0.1</v>
      </c>
      <c r="D1233" s="136" t="s">
        <v>870</v>
      </c>
      <c r="E1233" s="143">
        <v>1450000</v>
      </c>
      <c r="F1233" s="478">
        <v>0.12</v>
      </c>
      <c r="G1233" s="278">
        <f t="shared" si="53"/>
        <v>174000</v>
      </c>
      <c r="H1233" s="144" t="s">
        <v>180</v>
      </c>
      <c r="I1233" s="144" t="s">
        <v>242</v>
      </c>
      <c r="J1233" s="1102"/>
      <c r="K1233" s="14"/>
      <c r="L1233" s="14"/>
      <c r="M1233" s="14"/>
      <c r="N1233" s="14"/>
      <c r="O1233" s="14"/>
    </row>
    <row r="1234" spans="1:15" ht="15.75">
      <c r="A1234" s="1552"/>
      <c r="B1234" s="135">
        <v>13499</v>
      </c>
      <c r="C1234" s="233">
        <v>0.1</v>
      </c>
      <c r="D1234" s="137" t="s">
        <v>871</v>
      </c>
      <c r="E1234" s="143">
        <v>1000000</v>
      </c>
      <c r="F1234" s="478">
        <v>0.12</v>
      </c>
      <c r="G1234" s="278">
        <f t="shared" si="53"/>
        <v>120000</v>
      </c>
      <c r="H1234" s="144" t="s">
        <v>180</v>
      </c>
      <c r="I1234" s="144" t="s">
        <v>333</v>
      </c>
      <c r="J1234" s="1102"/>
      <c r="K1234" s="14"/>
      <c r="L1234" s="14"/>
      <c r="M1234" s="14"/>
      <c r="N1234" s="14"/>
      <c r="O1234" s="14"/>
    </row>
    <row r="1235" spans="1:15" ht="15.75">
      <c r="A1235" s="1552"/>
      <c r="B1235" s="135">
        <v>13553</v>
      </c>
      <c r="C1235" s="233">
        <v>0.1</v>
      </c>
      <c r="D1235" s="137" t="s">
        <v>872</v>
      </c>
      <c r="E1235" s="143">
        <v>950000</v>
      </c>
      <c r="F1235" s="478">
        <v>0.12</v>
      </c>
      <c r="G1235" s="278">
        <f t="shared" si="53"/>
        <v>114000</v>
      </c>
      <c r="H1235" s="144" t="s">
        <v>180</v>
      </c>
      <c r="I1235" s="144" t="s">
        <v>242</v>
      </c>
      <c r="J1235" s="1102"/>
      <c r="K1235" s="14"/>
      <c r="L1235" s="14"/>
      <c r="M1235" s="14"/>
      <c r="N1235" s="14"/>
      <c r="O1235" s="14"/>
    </row>
    <row r="1236" spans="1:15" ht="15.75">
      <c r="A1236" s="1552"/>
      <c r="B1236" s="135">
        <v>13566</v>
      </c>
      <c r="C1236" s="233">
        <v>0.1</v>
      </c>
      <c r="D1236" s="137" t="s">
        <v>873</v>
      </c>
      <c r="E1236" s="143">
        <v>800000</v>
      </c>
      <c r="F1236" s="478">
        <v>0.06</v>
      </c>
      <c r="G1236" s="278">
        <f t="shared" si="53"/>
        <v>48000</v>
      </c>
      <c r="H1236" s="144" t="s">
        <v>30</v>
      </c>
      <c r="I1236" s="144" t="s">
        <v>242</v>
      </c>
      <c r="J1236" s="917"/>
      <c r="K1236" s="14"/>
      <c r="L1236" s="14"/>
      <c r="M1236" s="14"/>
      <c r="N1236" s="14"/>
      <c r="O1236" s="14"/>
    </row>
    <row r="1237" spans="1:15" ht="15.75">
      <c r="A1237" s="1552"/>
      <c r="B1237" s="135">
        <v>13589</v>
      </c>
      <c r="C1237" s="331">
        <v>0.08</v>
      </c>
      <c r="D1237" s="1024" t="s">
        <v>874</v>
      </c>
      <c r="E1237" s="143">
        <v>1200000</v>
      </c>
      <c r="F1237" s="478">
        <v>0.06</v>
      </c>
      <c r="G1237" s="278">
        <f t="shared" si="53"/>
        <v>72000</v>
      </c>
      <c r="H1237" s="144" t="s">
        <v>520</v>
      </c>
      <c r="I1237" s="144" t="s">
        <v>242</v>
      </c>
      <c r="J1237" s="1102"/>
      <c r="K1237" s="14"/>
      <c r="L1237" s="14"/>
      <c r="M1237" s="14"/>
      <c r="N1237" s="14"/>
      <c r="O1237" s="14"/>
    </row>
    <row r="1238" spans="1:15" ht="15.75">
      <c r="A1238" s="1552"/>
      <c r="B1238" s="135">
        <v>13579</v>
      </c>
      <c r="C1238" s="233">
        <v>0.1</v>
      </c>
      <c r="D1238" s="137" t="s">
        <v>875</v>
      </c>
      <c r="E1238" s="143">
        <v>750000</v>
      </c>
      <c r="F1238" s="478">
        <v>7.0000000000000007E-2</v>
      </c>
      <c r="G1238" s="278">
        <f t="shared" si="53"/>
        <v>52500.000000000007</v>
      </c>
      <c r="H1238" s="144" t="s">
        <v>311</v>
      </c>
      <c r="I1238" s="144" t="s">
        <v>333</v>
      </c>
      <c r="J1238" s="1102"/>
      <c r="K1238" s="14"/>
      <c r="L1238" s="14"/>
      <c r="M1238" s="14"/>
      <c r="N1238" s="14"/>
      <c r="O1238" s="14"/>
    </row>
    <row r="1239" spans="1:15" ht="15.75">
      <c r="A1239" s="1552"/>
      <c r="B1239" s="211" t="s">
        <v>297</v>
      </c>
      <c r="C1239" s="267"/>
      <c r="D1239" s="1075" t="s">
        <v>876</v>
      </c>
      <c r="E1239" s="308"/>
      <c r="F1239" s="348"/>
      <c r="G1239" s="268"/>
      <c r="H1239" s="503" t="s">
        <v>30</v>
      </c>
      <c r="I1239" s="503" t="s">
        <v>242</v>
      </c>
      <c r="J1239" s="942" t="s">
        <v>877</v>
      </c>
      <c r="K1239" s="14"/>
      <c r="L1239" s="14"/>
      <c r="M1239" s="156" t="s">
        <v>80</v>
      </c>
      <c r="N1239" s="156"/>
      <c r="O1239" s="154">
        <f>SUM(O1228:O1230)</f>
        <v>224000</v>
      </c>
    </row>
    <row r="1240" spans="1:15" ht="15.75">
      <c r="A1240" s="1552"/>
      <c r="B1240" s="211" t="s">
        <v>297</v>
      </c>
      <c r="C1240" s="267"/>
      <c r="D1240" s="1075" t="s">
        <v>878</v>
      </c>
      <c r="E1240" s="308"/>
      <c r="F1240" s="348"/>
      <c r="G1240" s="268"/>
      <c r="H1240" s="503" t="s">
        <v>180</v>
      </c>
      <c r="I1240" s="503" t="s">
        <v>242</v>
      </c>
      <c r="J1240" s="942" t="s">
        <v>879</v>
      </c>
      <c r="K1240" s="14"/>
      <c r="L1240" s="14"/>
      <c r="M1240" s="14"/>
      <c r="N1240" s="14"/>
      <c r="O1240" s="14"/>
    </row>
    <row r="1241" spans="1:15" ht="15.75">
      <c r="A1241" s="1552"/>
      <c r="B1241" s="211" t="s">
        <v>297</v>
      </c>
      <c r="C1241" s="267"/>
      <c r="D1241" s="225" t="s">
        <v>880</v>
      </c>
      <c r="E1241" s="308"/>
      <c r="F1241" s="348"/>
      <c r="G1241" s="268"/>
      <c r="H1241" s="503" t="s">
        <v>180</v>
      </c>
      <c r="I1241" s="503" t="s">
        <v>242</v>
      </c>
      <c r="J1241" s="1103" t="s">
        <v>881</v>
      </c>
      <c r="K1241" s="14"/>
      <c r="L1241" s="14"/>
      <c r="M1241" s="14"/>
      <c r="N1241" s="14"/>
      <c r="O1241" s="14"/>
    </row>
    <row r="1242" spans="1:15" ht="20.25">
      <c r="A1242" s="1542"/>
      <c r="B1242" s="7"/>
      <c r="C1242" s="7"/>
      <c r="D1242" s="42"/>
      <c r="E1242" s="991">
        <f>SUM(E1228:E1241)</f>
        <v>12300000</v>
      </c>
      <c r="F1242" s="855"/>
      <c r="G1242" s="856">
        <f>SUM(G1228:G1241)</f>
        <v>1240500</v>
      </c>
      <c r="H1242" s="42"/>
      <c r="I1242" s="519"/>
      <c r="J1242" s="6"/>
      <c r="K1242" s="14"/>
      <c r="L1242" s="14"/>
      <c r="M1242" s="906" t="s">
        <v>80</v>
      </c>
      <c r="N1242" s="906"/>
      <c r="O1242" s="897">
        <f>G1242+O1239</f>
        <v>1464500</v>
      </c>
    </row>
    <row r="1246" spans="1:15" ht="23.25">
      <c r="A1246" s="1548" t="s">
        <v>56</v>
      </c>
      <c r="B1246" s="1532"/>
      <c r="C1246" s="1532"/>
      <c r="D1246" s="1531"/>
      <c r="E1246" s="1532"/>
      <c r="F1246" s="1532"/>
      <c r="G1246" s="1532"/>
      <c r="H1246" s="1532"/>
      <c r="I1246" s="1532"/>
      <c r="J1246" s="1549"/>
      <c r="K1246" s="1533" t="s">
        <v>2</v>
      </c>
      <c r="L1246" s="1533"/>
      <c r="M1246" s="1533"/>
      <c r="N1246" s="1533"/>
      <c r="O1246" s="1533"/>
    </row>
    <row r="1247" spans="1:15" ht="30.75">
      <c r="A1247" s="3" t="s">
        <v>3</v>
      </c>
      <c r="B1247" s="361" t="s">
        <v>120</v>
      </c>
      <c r="C1247" s="367" t="s">
        <v>4</v>
      </c>
      <c r="D1247" s="3" t="s">
        <v>5</v>
      </c>
      <c r="E1247" s="361" t="s">
        <v>6</v>
      </c>
      <c r="F1247" s="1" t="s">
        <v>7</v>
      </c>
      <c r="G1247" s="1" t="s">
        <v>8</v>
      </c>
      <c r="H1247" s="361" t="s">
        <v>9</v>
      </c>
      <c r="I1247" s="1" t="s">
        <v>10</v>
      </c>
      <c r="J1247" s="126" t="s">
        <v>11</v>
      </c>
      <c r="K1247" s="68" t="s">
        <v>12</v>
      </c>
      <c r="L1247" s="68" t="s">
        <v>5</v>
      </c>
      <c r="M1247" s="68" t="s">
        <v>13</v>
      </c>
      <c r="N1247" s="129" t="s">
        <v>7</v>
      </c>
      <c r="O1247" s="68" t="s">
        <v>14</v>
      </c>
    </row>
    <row r="1248" spans="1:15" ht="15.75">
      <c r="A1248" s="1527" t="s">
        <v>95</v>
      </c>
      <c r="B1248" s="135">
        <v>13421</v>
      </c>
      <c r="C1248" s="698">
        <v>0.1</v>
      </c>
      <c r="D1248" s="136" t="s">
        <v>882</v>
      </c>
      <c r="E1248" s="1054">
        <v>1500000</v>
      </c>
      <c r="F1248" s="478">
        <v>0.05</v>
      </c>
      <c r="G1248" s="619">
        <f>E1248*F1248</f>
        <v>75000</v>
      </c>
      <c r="H1248" s="995" t="s">
        <v>883</v>
      </c>
      <c r="I1248" s="997" t="s">
        <v>100</v>
      </c>
      <c r="J1248" s="1055"/>
      <c r="K1248" s="135">
        <v>13579</v>
      </c>
      <c r="L1248" s="755" t="s">
        <v>875</v>
      </c>
      <c r="M1248" s="146">
        <v>750000</v>
      </c>
      <c r="N1248" s="534">
        <v>0.05</v>
      </c>
      <c r="O1248" s="139">
        <f>M1248*N1248</f>
        <v>37500</v>
      </c>
    </row>
    <row r="1249" spans="1:15" ht="15.75">
      <c r="A1249" s="1528"/>
      <c r="B1249" s="135">
        <v>13417</v>
      </c>
      <c r="C1249" s="698">
        <v>0.1</v>
      </c>
      <c r="D1249" s="136" t="s">
        <v>884</v>
      </c>
      <c r="E1249" s="699">
        <v>800000</v>
      </c>
      <c r="F1249" s="478">
        <v>0.1</v>
      </c>
      <c r="G1249" s="619">
        <f t="shared" ref="G1249:G1264" si="54">E1249*F1249</f>
        <v>80000</v>
      </c>
      <c r="H1249" s="995" t="s">
        <v>311</v>
      </c>
      <c r="I1249" s="997" t="s">
        <v>242</v>
      </c>
      <c r="J1249" s="998"/>
      <c r="K1249" s="179">
        <v>13563</v>
      </c>
      <c r="L1249" s="1106" t="s">
        <v>885</v>
      </c>
      <c r="M1249" s="143">
        <v>1100000</v>
      </c>
      <c r="N1249" s="1114">
        <v>0.05</v>
      </c>
      <c r="O1249" s="178">
        <f>M1249*N1249</f>
        <v>55000</v>
      </c>
    </row>
    <row r="1250" spans="1:15" ht="15.75">
      <c r="A1250" s="1528"/>
      <c r="B1250" s="135">
        <v>13428</v>
      </c>
      <c r="C1250" s="148">
        <v>0.1</v>
      </c>
      <c r="D1250" s="137" t="s">
        <v>886</v>
      </c>
      <c r="E1250" s="699">
        <v>1500000</v>
      </c>
      <c r="F1250" s="478">
        <v>0.1</v>
      </c>
      <c r="G1250" s="619">
        <f t="shared" si="54"/>
        <v>150000</v>
      </c>
      <c r="H1250" s="995" t="s">
        <v>311</v>
      </c>
      <c r="I1250" s="997" t="s">
        <v>100</v>
      </c>
      <c r="J1250" s="1104"/>
      <c r="K1250" s="179">
        <v>13659</v>
      </c>
      <c r="L1250" s="1106" t="s">
        <v>887</v>
      </c>
      <c r="M1250" s="143">
        <v>2000000</v>
      </c>
      <c r="N1250" s="134">
        <v>0.05</v>
      </c>
      <c r="O1250" s="139">
        <f t="shared" ref="O1250" si="55">M1250*N1250</f>
        <v>100000</v>
      </c>
    </row>
    <row r="1251" spans="1:15" ht="15.75">
      <c r="A1251" s="1528"/>
      <c r="B1251" s="135">
        <v>13447</v>
      </c>
      <c r="C1251" s="698">
        <v>0.1</v>
      </c>
      <c r="D1251" s="136" t="s">
        <v>888</v>
      </c>
      <c r="E1251" s="699">
        <v>1300000</v>
      </c>
      <c r="F1251" s="478">
        <v>0.05</v>
      </c>
      <c r="G1251" s="619">
        <f t="shared" si="54"/>
        <v>65000</v>
      </c>
      <c r="H1251" s="995" t="s">
        <v>889</v>
      </c>
      <c r="I1251" s="997" t="s">
        <v>242</v>
      </c>
      <c r="J1251" s="1104"/>
      <c r="K1251" s="14"/>
      <c r="L1251" s="14"/>
      <c r="M1251" s="63"/>
      <c r="N1251" s="14"/>
      <c r="O1251" s="14"/>
    </row>
    <row r="1252" spans="1:15" ht="15.75">
      <c r="A1252" s="1528"/>
      <c r="B1252" s="135">
        <v>13450</v>
      </c>
      <c r="C1252" s="148">
        <v>0.1</v>
      </c>
      <c r="D1252" s="1002" t="s">
        <v>890</v>
      </c>
      <c r="E1252" s="699">
        <v>1300000</v>
      </c>
      <c r="F1252" s="478">
        <v>0.06</v>
      </c>
      <c r="G1252" s="619">
        <f t="shared" si="54"/>
        <v>78000</v>
      </c>
      <c r="H1252" s="995" t="s">
        <v>30</v>
      </c>
      <c r="I1252" s="997" t="s">
        <v>100</v>
      </c>
      <c r="J1252" s="1104"/>
      <c r="K1252" s="14"/>
      <c r="L1252" s="14"/>
      <c r="M1252" s="14"/>
      <c r="N1252" s="14"/>
      <c r="O1252" s="14"/>
    </row>
    <row r="1253" spans="1:15" ht="15.75">
      <c r="A1253" s="1528"/>
      <c r="B1253" s="135">
        <v>13449</v>
      </c>
      <c r="C1253" s="148">
        <v>0.1</v>
      </c>
      <c r="D1253" s="137" t="s">
        <v>891</v>
      </c>
      <c r="E1253" s="699">
        <v>750000</v>
      </c>
      <c r="F1253" s="478">
        <v>0.1</v>
      </c>
      <c r="G1253" s="619">
        <f t="shared" si="54"/>
        <v>75000</v>
      </c>
      <c r="H1253" s="995" t="s">
        <v>311</v>
      </c>
      <c r="I1253" s="997" t="s">
        <v>242</v>
      </c>
      <c r="J1253" s="1104"/>
      <c r="K1253" s="14"/>
      <c r="L1253" s="14"/>
      <c r="M1253" s="14"/>
      <c r="N1253" s="14"/>
      <c r="O1253" s="14"/>
    </row>
    <row r="1254" spans="1:15" ht="15.75">
      <c r="A1254" s="1528"/>
      <c r="B1254" s="135">
        <v>13492</v>
      </c>
      <c r="C1254" s="478">
        <v>0.1</v>
      </c>
      <c r="D1254" s="1002" t="s">
        <v>892</v>
      </c>
      <c r="E1254" s="699">
        <v>1450000</v>
      </c>
      <c r="F1254" s="478">
        <v>0.1</v>
      </c>
      <c r="G1254" s="619">
        <f t="shared" si="54"/>
        <v>145000</v>
      </c>
      <c r="H1254" s="995" t="s">
        <v>311</v>
      </c>
      <c r="I1254" s="997" t="s">
        <v>100</v>
      </c>
      <c r="J1254" s="1104"/>
      <c r="K1254" s="14"/>
      <c r="L1254" s="14"/>
      <c r="M1254" s="14"/>
      <c r="N1254" s="14"/>
      <c r="O1254" s="14"/>
    </row>
    <row r="1255" spans="1:15" ht="15.75">
      <c r="A1255" s="1528"/>
      <c r="B1255" s="135">
        <v>13491</v>
      </c>
      <c r="C1255" s="478">
        <v>0.1</v>
      </c>
      <c r="D1255" s="136" t="s">
        <v>893</v>
      </c>
      <c r="E1255" s="699">
        <v>1100000</v>
      </c>
      <c r="F1255" s="478">
        <v>0.1</v>
      </c>
      <c r="G1255" s="619">
        <f t="shared" si="54"/>
        <v>110000</v>
      </c>
      <c r="H1255" s="995" t="s">
        <v>311</v>
      </c>
      <c r="I1255" s="997" t="s">
        <v>100</v>
      </c>
      <c r="J1255" s="1104"/>
      <c r="K1255" s="14"/>
      <c r="L1255" s="14"/>
      <c r="M1255" s="14"/>
      <c r="N1255" s="14"/>
      <c r="O1255" s="14"/>
    </row>
    <row r="1256" spans="1:15" ht="15.75">
      <c r="A1256" s="1528"/>
      <c r="B1256" s="135">
        <v>13480</v>
      </c>
      <c r="C1256" s="148">
        <v>0.1</v>
      </c>
      <c r="D1256" s="137" t="s">
        <v>894</v>
      </c>
      <c r="E1256" s="699">
        <v>1200000</v>
      </c>
      <c r="F1256" s="478">
        <v>0.1</v>
      </c>
      <c r="G1256" s="619">
        <f t="shared" si="54"/>
        <v>120000</v>
      </c>
      <c r="H1256" s="995" t="s">
        <v>311</v>
      </c>
      <c r="I1256" s="997" t="s">
        <v>100</v>
      </c>
      <c r="J1256" s="1104"/>
      <c r="K1256" s="14"/>
      <c r="L1256" s="14"/>
      <c r="M1256" s="14"/>
      <c r="N1256" s="14"/>
      <c r="O1256" s="14"/>
    </row>
    <row r="1257" spans="1:15" ht="15.75">
      <c r="A1257" s="1528"/>
      <c r="B1257" s="135">
        <v>13525</v>
      </c>
      <c r="C1257" s="148">
        <v>0.1</v>
      </c>
      <c r="D1257" s="1024" t="s">
        <v>895</v>
      </c>
      <c r="E1257" s="699">
        <v>1450000</v>
      </c>
      <c r="F1257" s="478">
        <v>0.1</v>
      </c>
      <c r="G1257" s="619">
        <f t="shared" si="54"/>
        <v>145000</v>
      </c>
      <c r="H1257" s="995" t="s">
        <v>311</v>
      </c>
      <c r="I1257" s="997" t="s">
        <v>242</v>
      </c>
      <c r="J1257" s="1104"/>
      <c r="K1257" s="14"/>
      <c r="L1257" s="14"/>
      <c r="M1257" s="14"/>
      <c r="N1257" s="14"/>
      <c r="O1257" s="14"/>
    </row>
    <row r="1258" spans="1:15" ht="15.75">
      <c r="A1258" s="1528"/>
      <c r="B1258" s="135">
        <v>13497</v>
      </c>
      <c r="C1258" s="148">
        <v>0.1</v>
      </c>
      <c r="D1258" s="137" t="s">
        <v>896</v>
      </c>
      <c r="E1258" s="699">
        <v>1350000</v>
      </c>
      <c r="F1258" s="478">
        <v>0.1</v>
      </c>
      <c r="G1258" s="619">
        <f t="shared" si="54"/>
        <v>135000</v>
      </c>
      <c r="H1258" s="995" t="s">
        <v>311</v>
      </c>
      <c r="I1258" s="997" t="s">
        <v>100</v>
      </c>
      <c r="J1258" s="1104"/>
      <c r="K1258" s="14"/>
      <c r="L1258" s="14"/>
      <c r="M1258" s="14"/>
      <c r="N1258" s="14"/>
      <c r="O1258" s="14"/>
    </row>
    <row r="1259" spans="1:15" ht="15.75">
      <c r="A1259" s="1528"/>
      <c r="B1259" s="135">
        <v>13527</v>
      </c>
      <c r="C1259" s="140">
        <v>0.08</v>
      </c>
      <c r="D1259" s="136" t="s">
        <v>897</v>
      </c>
      <c r="E1259" s="699">
        <v>1500000</v>
      </c>
      <c r="F1259" s="140">
        <v>0.08</v>
      </c>
      <c r="G1259" s="619">
        <f t="shared" si="54"/>
        <v>120000</v>
      </c>
      <c r="H1259" s="995" t="s">
        <v>311</v>
      </c>
      <c r="I1259" s="997" t="s">
        <v>100</v>
      </c>
      <c r="J1259" s="1104"/>
      <c r="K1259" s="14"/>
      <c r="L1259" s="14"/>
      <c r="M1259" s="14"/>
      <c r="N1259" s="14"/>
      <c r="O1259" s="14"/>
    </row>
    <row r="1260" spans="1:15" ht="15.75">
      <c r="A1260" s="1528"/>
      <c r="B1260" s="135">
        <v>13534</v>
      </c>
      <c r="C1260" s="478">
        <v>0.1</v>
      </c>
      <c r="D1260" s="136" t="s">
        <v>898</v>
      </c>
      <c r="E1260" s="699">
        <v>1450000</v>
      </c>
      <c r="F1260" s="478">
        <v>0.1</v>
      </c>
      <c r="G1260" s="619">
        <f t="shared" si="54"/>
        <v>145000</v>
      </c>
      <c r="H1260" s="995" t="s">
        <v>311</v>
      </c>
      <c r="I1260" s="997" t="s">
        <v>242</v>
      </c>
      <c r="J1260" s="1104"/>
      <c r="K1260" s="14"/>
      <c r="L1260" s="14"/>
      <c r="M1260" s="14"/>
      <c r="N1260" s="14"/>
      <c r="O1260" s="14"/>
    </row>
    <row r="1261" spans="1:15" ht="15.75">
      <c r="A1261" s="1528"/>
      <c r="B1261" s="135">
        <v>13580</v>
      </c>
      <c r="C1261" s="140">
        <v>0.08</v>
      </c>
      <c r="D1261" s="137" t="s">
        <v>899</v>
      </c>
      <c r="E1261" s="699">
        <v>1350000</v>
      </c>
      <c r="F1261" s="140">
        <v>0.05</v>
      </c>
      <c r="G1261" s="619">
        <f t="shared" si="54"/>
        <v>67500</v>
      </c>
      <c r="H1261" s="995" t="s">
        <v>30</v>
      </c>
      <c r="I1261" s="997" t="s">
        <v>242</v>
      </c>
      <c r="J1261" s="1104"/>
      <c r="K1261" s="14"/>
      <c r="L1261" s="14"/>
      <c r="M1261" s="14"/>
      <c r="N1261" s="14"/>
      <c r="O1261" s="14"/>
    </row>
    <row r="1262" spans="1:15" ht="15.75">
      <c r="A1262" s="1528"/>
      <c r="B1262" s="135">
        <v>13554</v>
      </c>
      <c r="C1262" s="148">
        <v>0.1</v>
      </c>
      <c r="D1262" s="137" t="s">
        <v>838</v>
      </c>
      <c r="E1262" s="699">
        <v>1100000</v>
      </c>
      <c r="F1262" s="478">
        <v>0.06</v>
      </c>
      <c r="G1262" s="619">
        <f t="shared" si="54"/>
        <v>66000</v>
      </c>
      <c r="H1262" s="995" t="s">
        <v>30</v>
      </c>
      <c r="I1262" s="997" t="s">
        <v>100</v>
      </c>
      <c r="J1262" s="1104"/>
      <c r="K1262" s="14"/>
      <c r="L1262" s="14"/>
      <c r="M1262" s="14"/>
      <c r="N1262" s="14"/>
      <c r="O1262" s="14"/>
    </row>
    <row r="1263" spans="1:15" ht="15.75">
      <c r="A1263" s="1528"/>
      <c r="B1263" s="135">
        <v>13620</v>
      </c>
      <c r="C1263" s="140">
        <v>0.09</v>
      </c>
      <c r="D1263" s="137" t="s">
        <v>900</v>
      </c>
      <c r="E1263" s="699">
        <v>1350000</v>
      </c>
      <c r="F1263" s="140">
        <v>0.04</v>
      </c>
      <c r="G1263" s="619">
        <f t="shared" si="54"/>
        <v>54000</v>
      </c>
      <c r="H1263" s="995" t="s">
        <v>498</v>
      </c>
      <c r="I1263" s="997" t="s">
        <v>100</v>
      </c>
      <c r="J1263" s="1104"/>
      <c r="K1263" s="14"/>
      <c r="L1263" s="14"/>
      <c r="M1263" s="14"/>
      <c r="N1263" s="14"/>
      <c r="O1263" s="14"/>
    </row>
    <row r="1264" spans="1:15" ht="15.75">
      <c r="A1264" s="1528"/>
      <c r="B1264" s="135">
        <v>13617</v>
      </c>
      <c r="C1264" s="148">
        <v>0.1</v>
      </c>
      <c r="D1264" s="137" t="s">
        <v>901</v>
      </c>
      <c r="E1264" s="699">
        <v>1350000</v>
      </c>
      <c r="F1264" s="478">
        <v>0.1</v>
      </c>
      <c r="G1264" s="619">
        <f t="shared" si="54"/>
        <v>135000</v>
      </c>
      <c r="H1264" s="995" t="s">
        <v>311</v>
      </c>
      <c r="I1264" s="997" t="s">
        <v>100</v>
      </c>
      <c r="J1264" s="1104"/>
      <c r="K1264" s="14"/>
      <c r="L1264" s="14"/>
      <c r="M1264" s="14"/>
      <c r="N1264" s="14"/>
      <c r="O1264" s="14"/>
    </row>
    <row r="1265" spans="1:15" ht="15.75">
      <c r="A1265" s="1528"/>
      <c r="B1265" s="211" t="s">
        <v>297</v>
      </c>
      <c r="C1265" s="285"/>
      <c r="D1265" s="225" t="s">
        <v>902</v>
      </c>
      <c r="E1265" s="749"/>
      <c r="F1265" s="1010"/>
      <c r="G1265" s="1011"/>
      <c r="H1265" s="1011" t="s">
        <v>30</v>
      </c>
      <c r="I1265" s="1006" t="s">
        <v>100</v>
      </c>
      <c r="J1265" s="1105" t="s">
        <v>903</v>
      </c>
      <c r="K1265" s="14"/>
      <c r="L1265" s="14"/>
      <c r="M1265" s="156" t="s">
        <v>80</v>
      </c>
      <c r="N1265" s="156"/>
      <c r="O1265" s="154">
        <f>SUM(O1248:O1250)</f>
        <v>192500</v>
      </c>
    </row>
    <row r="1266" spans="1:15" ht="15.75">
      <c r="A1266" s="1528"/>
      <c r="B1266" s="1006" t="s">
        <v>297</v>
      </c>
      <c r="C1266" s="1056"/>
      <c r="D1266" s="277" t="s">
        <v>904</v>
      </c>
      <c r="E1266" s="749"/>
      <c r="F1266" s="1010"/>
      <c r="G1266" s="1011"/>
      <c r="H1266" s="1011" t="s">
        <v>311</v>
      </c>
      <c r="I1266" s="1006" t="s">
        <v>100</v>
      </c>
      <c r="J1266" s="1105" t="s">
        <v>903</v>
      </c>
      <c r="K1266" s="14"/>
      <c r="L1266" s="14"/>
      <c r="M1266" s="14"/>
      <c r="N1266" s="14"/>
      <c r="O1266" s="14"/>
    </row>
    <row r="1267" spans="1:15" ht="21">
      <c r="A1267" s="1529"/>
      <c r="B1267" s="1018"/>
      <c r="C1267" s="1018"/>
      <c r="D1267" s="1019"/>
      <c r="E1267" s="991">
        <f>SUM(E1248:E1266)</f>
        <v>21800000</v>
      </c>
      <c r="F1267" s="1019"/>
      <c r="G1267" s="1087">
        <f>SUM(G1248:G1266)</f>
        <v>1765500</v>
      </c>
      <c r="H1267" s="1019"/>
      <c r="I1267" s="1019"/>
      <c r="J1267" s="1028"/>
      <c r="K1267" s="14"/>
      <c r="L1267" s="14"/>
      <c r="M1267" s="852" t="s">
        <v>80</v>
      </c>
      <c r="N1267" s="852"/>
      <c r="O1267" s="853">
        <f>G1267+O1265</f>
        <v>1958000</v>
      </c>
    </row>
    <row r="1270" spans="1:15" ht="23.25">
      <c r="A1270" s="1530" t="s">
        <v>465</v>
      </c>
      <c r="B1270" s="1532"/>
      <c r="C1270" s="1532"/>
      <c r="D1270" s="1532"/>
      <c r="E1270" s="1532"/>
      <c r="F1270" s="1532"/>
      <c r="G1270" s="1532"/>
      <c r="H1270" s="1532"/>
      <c r="I1270" s="1532"/>
      <c r="J1270" s="1554"/>
      <c r="K1270" s="1533" t="s">
        <v>2</v>
      </c>
      <c r="L1270" s="1533"/>
      <c r="M1270" s="1533"/>
      <c r="N1270" s="1533"/>
      <c r="O1270" s="1533"/>
    </row>
    <row r="1271" spans="1:15" ht="30.75">
      <c r="A1271" s="126" t="s">
        <v>3</v>
      </c>
      <c r="B1271" s="1" t="s">
        <v>120</v>
      </c>
      <c r="C1271" s="367" t="s">
        <v>4</v>
      </c>
      <c r="D1271" s="1" t="s">
        <v>5</v>
      </c>
      <c r="E1271" s="1" t="s">
        <v>6</v>
      </c>
      <c r="F1271" s="1" t="s">
        <v>7</v>
      </c>
      <c r="G1271" s="1" t="s">
        <v>8</v>
      </c>
      <c r="H1271" s="361" t="s">
        <v>9</v>
      </c>
      <c r="I1271" s="126" t="s">
        <v>10</v>
      </c>
      <c r="J1271" s="3" t="s">
        <v>11</v>
      </c>
      <c r="K1271" s="68" t="s">
        <v>12</v>
      </c>
      <c r="L1271" s="68" t="s">
        <v>5</v>
      </c>
      <c r="M1271" s="68" t="s">
        <v>13</v>
      </c>
      <c r="N1271" s="129" t="s">
        <v>7</v>
      </c>
      <c r="O1271" s="68" t="s">
        <v>14</v>
      </c>
    </row>
    <row r="1272" spans="1:15" ht="15.75">
      <c r="A1272" s="1550" t="s">
        <v>95</v>
      </c>
      <c r="B1272" s="135">
        <v>13475</v>
      </c>
      <c r="C1272" s="478">
        <v>0.1</v>
      </c>
      <c r="D1272" s="137" t="s">
        <v>140</v>
      </c>
      <c r="E1272" s="139">
        <v>1300000</v>
      </c>
      <c r="F1272" s="779">
        <v>0.06</v>
      </c>
      <c r="G1272" s="619">
        <f>E1272*F1272</f>
        <v>78000</v>
      </c>
      <c r="H1272" s="741" t="s">
        <v>30</v>
      </c>
      <c r="I1272" s="739" t="s">
        <v>100</v>
      </c>
      <c r="J1272" s="137"/>
      <c r="K1272" s="135">
        <v>13589</v>
      </c>
      <c r="L1272" s="1089" t="s">
        <v>874</v>
      </c>
      <c r="M1272" s="196">
        <v>1200000</v>
      </c>
      <c r="N1272" s="234">
        <v>0.04</v>
      </c>
      <c r="O1272" s="139">
        <f>M1272*N1272</f>
        <v>48000</v>
      </c>
    </row>
    <row r="1273" spans="1:15" ht="15.75">
      <c r="A1273" s="1550"/>
      <c r="B1273" s="135">
        <v>13501</v>
      </c>
      <c r="C1273" s="140">
        <v>0.08</v>
      </c>
      <c r="D1273" s="137" t="s">
        <v>905</v>
      </c>
      <c r="E1273" s="139">
        <v>1500000</v>
      </c>
      <c r="F1273" s="234">
        <v>0.08</v>
      </c>
      <c r="G1273" s="619">
        <f t="shared" ref="G1273:G1277" si="56">E1273*F1273</f>
        <v>120000</v>
      </c>
      <c r="H1273" s="741" t="s">
        <v>520</v>
      </c>
      <c r="I1273" s="739" t="s">
        <v>242</v>
      </c>
      <c r="J1273" s="137"/>
      <c r="K1273" s="135">
        <v>13592</v>
      </c>
      <c r="L1273" s="755" t="s">
        <v>906</v>
      </c>
      <c r="M1273" s="766">
        <v>1400000</v>
      </c>
      <c r="N1273" s="231">
        <v>0.05</v>
      </c>
      <c r="O1273" s="139">
        <f t="shared" ref="O1273:O1275" si="57">M1273*N1273</f>
        <v>70000</v>
      </c>
    </row>
    <row r="1274" spans="1:15" ht="15.75">
      <c r="A1274" s="1550"/>
      <c r="B1274" s="135">
        <v>13486</v>
      </c>
      <c r="C1274" s="478">
        <v>0.1</v>
      </c>
      <c r="D1274" s="137" t="s">
        <v>126</v>
      </c>
      <c r="E1274" s="139">
        <v>1350000</v>
      </c>
      <c r="F1274" s="779">
        <v>0.06</v>
      </c>
      <c r="G1274" s="619">
        <f t="shared" si="56"/>
        <v>81000</v>
      </c>
      <c r="H1274" s="741" t="s">
        <v>30</v>
      </c>
      <c r="I1274" s="739" t="s">
        <v>100</v>
      </c>
      <c r="J1274" s="137"/>
      <c r="K1274" s="241">
        <v>13484</v>
      </c>
      <c r="L1274" s="1090" t="s">
        <v>907</v>
      </c>
      <c r="M1274" s="766">
        <v>1100000</v>
      </c>
      <c r="N1274" s="231">
        <v>0.05</v>
      </c>
      <c r="O1274" s="139">
        <f t="shared" si="57"/>
        <v>55000</v>
      </c>
    </row>
    <row r="1275" spans="1:15" ht="15.75">
      <c r="A1275" s="1550"/>
      <c r="B1275" s="135">
        <v>13514</v>
      </c>
      <c r="C1275" s="138">
        <v>0.1</v>
      </c>
      <c r="D1275" s="137" t="s">
        <v>908</v>
      </c>
      <c r="E1275" s="139">
        <v>1850000</v>
      </c>
      <c r="F1275" s="779">
        <v>0.1</v>
      </c>
      <c r="G1275" s="619">
        <f t="shared" si="56"/>
        <v>185000</v>
      </c>
      <c r="H1275" s="741" t="s">
        <v>520</v>
      </c>
      <c r="I1275" s="739" t="s">
        <v>242</v>
      </c>
      <c r="J1275" s="137"/>
      <c r="K1275" s="272"/>
      <c r="L1275" s="181"/>
      <c r="M1275" s="1113"/>
      <c r="N1275" s="260"/>
      <c r="O1275" s="550"/>
    </row>
    <row r="1276" spans="1:15" ht="15.75">
      <c r="A1276" s="1550"/>
      <c r="B1276" s="135">
        <v>13563</v>
      </c>
      <c r="C1276" s="138">
        <v>0.1</v>
      </c>
      <c r="D1276" s="137" t="s">
        <v>885</v>
      </c>
      <c r="E1276" s="139">
        <v>1100000</v>
      </c>
      <c r="F1276" s="779">
        <v>0.05</v>
      </c>
      <c r="G1276" s="619">
        <f t="shared" si="56"/>
        <v>55000</v>
      </c>
      <c r="H1276" s="741" t="s">
        <v>311</v>
      </c>
      <c r="I1276" s="739" t="s">
        <v>100</v>
      </c>
      <c r="J1276" s="755"/>
      <c r="K1276" s="14"/>
      <c r="L1276" s="14"/>
      <c r="M1276" s="14"/>
      <c r="N1276" s="14"/>
      <c r="O1276" s="14"/>
    </row>
    <row r="1277" spans="1:15" ht="15.75">
      <c r="A1277" s="1550"/>
      <c r="B1277" s="135">
        <v>13598</v>
      </c>
      <c r="C1277" s="138">
        <v>0.1</v>
      </c>
      <c r="D1277" s="137" t="s">
        <v>862</v>
      </c>
      <c r="E1277" s="139">
        <v>1400000</v>
      </c>
      <c r="F1277" s="779">
        <v>0.05</v>
      </c>
      <c r="G1277" s="619">
        <f t="shared" si="56"/>
        <v>70000</v>
      </c>
      <c r="H1277" s="741" t="s">
        <v>180</v>
      </c>
      <c r="I1277" s="739" t="s">
        <v>100</v>
      </c>
      <c r="J1277" s="755"/>
      <c r="K1277" s="14"/>
      <c r="L1277" s="14"/>
      <c r="M1277" s="14"/>
      <c r="N1277" s="14"/>
      <c r="O1277" s="14"/>
    </row>
    <row r="1278" spans="1:15" ht="15.75">
      <c r="A1278" s="1550"/>
      <c r="B1278" s="135">
        <v>13638</v>
      </c>
      <c r="C1278" s="138">
        <v>0.1</v>
      </c>
      <c r="D1278" s="137" t="s">
        <v>909</v>
      </c>
      <c r="E1278" s="139">
        <v>1400000</v>
      </c>
      <c r="F1278" s="779">
        <v>0.1</v>
      </c>
      <c r="G1278" s="619">
        <f t="shared" ref="G1278" si="58">E1278*F1278</f>
        <v>140000</v>
      </c>
      <c r="H1278" s="741" t="s">
        <v>520</v>
      </c>
      <c r="I1278" s="739" t="s">
        <v>100</v>
      </c>
      <c r="J1278" s="755"/>
      <c r="K1278" s="14"/>
      <c r="L1278" s="14"/>
      <c r="M1278" s="156" t="s">
        <v>80</v>
      </c>
      <c r="N1278" s="156"/>
      <c r="O1278" s="154">
        <f>SUM(O1272:O1277)</f>
        <v>173000</v>
      </c>
    </row>
    <row r="1279" spans="1:15" ht="15.75">
      <c r="A1279" s="1550"/>
      <c r="B1279" s="747" t="s">
        <v>297</v>
      </c>
      <c r="C1279" s="220"/>
      <c r="D1279" s="225" t="s">
        <v>910</v>
      </c>
      <c r="E1279" s="221"/>
      <c r="F1279" s="877"/>
      <c r="G1279" s="943"/>
      <c r="H1279" s="219" t="s">
        <v>180</v>
      </c>
      <c r="I1279" s="784" t="s">
        <v>100</v>
      </c>
      <c r="J1279" s="946" t="s">
        <v>911</v>
      </c>
      <c r="K1279" s="14"/>
      <c r="L1279" s="14"/>
      <c r="M1279" s="14"/>
      <c r="N1279" s="14"/>
      <c r="O1279" s="14"/>
    </row>
    <row r="1280" spans="1:15" ht="20.25">
      <c r="A1280" s="1551"/>
      <c r="B1280" s="38"/>
      <c r="C1280" s="38"/>
      <c r="D1280" s="27"/>
      <c r="E1280" s="1109">
        <f>SUM(E1272:E1279)</f>
        <v>9900000</v>
      </c>
      <c r="F1280" s="27"/>
      <c r="G1280" s="965">
        <f>SUM(G1272:G1279)</f>
        <v>729000</v>
      </c>
      <c r="H1280" s="27"/>
      <c r="I1280" s="966"/>
      <c r="J1280" s="966"/>
      <c r="K1280" s="14"/>
      <c r="L1280" s="14"/>
      <c r="M1280" s="906" t="s">
        <v>80</v>
      </c>
      <c r="N1280" s="906"/>
      <c r="O1280" s="869">
        <f>G1280+O1278</f>
        <v>902000</v>
      </c>
    </row>
    <row r="1281" spans="1:15" ht="46.5">
      <c r="A1281" s="984"/>
      <c r="B1281" s="85"/>
      <c r="C1281" s="85"/>
      <c r="D1281" s="32"/>
      <c r="E1281" s="985"/>
      <c r="F1281" s="32"/>
      <c r="G1281" s="986"/>
      <c r="H1281" s="32"/>
      <c r="I1281" s="32"/>
      <c r="J1281" s="32"/>
    </row>
    <row r="1282" spans="1:15" ht="23.25">
      <c r="A1282" s="1539" t="s">
        <v>912</v>
      </c>
      <c r="B1282" s="1539"/>
      <c r="C1282" s="1539"/>
      <c r="D1282" s="1539"/>
      <c r="E1282" s="1539"/>
      <c r="F1282" s="1539"/>
      <c r="G1282" s="1539"/>
      <c r="H1282" s="1539"/>
      <c r="I1282" s="1539"/>
      <c r="J1282" s="1539"/>
      <c r="K1282" s="1533" t="s">
        <v>2</v>
      </c>
      <c r="L1282" s="1533"/>
      <c r="M1282" s="1533"/>
      <c r="N1282" s="1533"/>
      <c r="O1282" s="1533"/>
    </row>
    <row r="1283" spans="1:15" ht="30.75">
      <c r="A1283" s="3" t="s">
        <v>3</v>
      </c>
      <c r="B1283" s="3" t="s">
        <v>120</v>
      </c>
      <c r="C1283" s="2" t="s">
        <v>4</v>
      </c>
      <c r="D1283" s="3" t="s">
        <v>5</v>
      </c>
      <c r="E1283" s="3" t="s">
        <v>6</v>
      </c>
      <c r="F1283" s="3" t="s">
        <v>7</v>
      </c>
      <c r="G1283" s="3" t="s">
        <v>8</v>
      </c>
      <c r="H1283" s="3" t="s">
        <v>9</v>
      </c>
      <c r="I1283" s="3" t="s">
        <v>10</v>
      </c>
      <c r="J1283" s="3" t="s">
        <v>11</v>
      </c>
      <c r="K1283" s="68" t="s">
        <v>12</v>
      </c>
      <c r="L1283" s="68" t="s">
        <v>5</v>
      </c>
      <c r="M1283" s="68" t="s">
        <v>13</v>
      </c>
      <c r="N1283" s="129" t="s">
        <v>7</v>
      </c>
      <c r="O1283" s="68" t="s">
        <v>14</v>
      </c>
    </row>
    <row r="1284" spans="1:15" ht="15.75">
      <c r="A1284" s="1541" t="s">
        <v>64</v>
      </c>
      <c r="B1284" s="241">
        <v>13484</v>
      </c>
      <c r="C1284" s="583"/>
      <c r="D1284" s="1057" t="s">
        <v>907</v>
      </c>
      <c r="E1284" s="1058">
        <v>1100000</v>
      </c>
      <c r="F1284" s="779">
        <v>0.04</v>
      </c>
      <c r="G1284" s="535">
        <f>E1284*F1284</f>
        <v>44000</v>
      </c>
      <c r="H1284" s="241" t="s">
        <v>520</v>
      </c>
      <c r="I1284" s="241" t="s">
        <v>100</v>
      </c>
      <c r="J1284" s="1086"/>
      <c r="K1284" s="14"/>
      <c r="L1284" s="14"/>
      <c r="M1284" s="14"/>
      <c r="N1284" s="14"/>
      <c r="O1284" s="14"/>
    </row>
    <row r="1285" spans="1:15" ht="15.75">
      <c r="A1285" s="1541"/>
      <c r="B1285" s="135">
        <v>13592</v>
      </c>
      <c r="C1285" s="583"/>
      <c r="D1285" s="137" t="s">
        <v>906</v>
      </c>
      <c r="E1285" s="1058">
        <v>1400000</v>
      </c>
      <c r="F1285" s="779">
        <v>0.04</v>
      </c>
      <c r="G1285" s="535">
        <f>E1285*F1285</f>
        <v>56000</v>
      </c>
      <c r="H1285" s="241" t="s">
        <v>520</v>
      </c>
      <c r="I1285" s="241" t="s">
        <v>242</v>
      </c>
      <c r="J1285" s="1086"/>
      <c r="K1285" s="31"/>
      <c r="L1285" s="31"/>
      <c r="M1285" s="31"/>
      <c r="N1285" s="31"/>
      <c r="O1285" s="31"/>
    </row>
    <row r="1286" spans="1:15" ht="15.75">
      <c r="A1286" s="1552"/>
      <c r="B1286" s="209" t="s">
        <v>297</v>
      </c>
      <c r="C1286" s="267"/>
      <c r="D1286" s="1075" t="s">
        <v>913</v>
      </c>
      <c r="E1286" s="308"/>
      <c r="F1286" s="220"/>
      <c r="G1286" s="268"/>
      <c r="H1286" s="211" t="s">
        <v>914</v>
      </c>
      <c r="I1286" s="211" t="s">
        <v>242</v>
      </c>
      <c r="J1286" s="1107" t="s">
        <v>915</v>
      </c>
      <c r="K1286" s="14"/>
      <c r="L1286" s="14"/>
      <c r="M1286" s="14"/>
      <c r="N1286" s="14"/>
      <c r="O1286" s="14"/>
    </row>
    <row r="1287" spans="1:15" ht="20.25">
      <c r="A1287" s="1542"/>
      <c r="B1287" s="215"/>
      <c r="C1287" s="215"/>
      <c r="D1287" s="214"/>
      <c r="E1287" s="1110">
        <f>SUM(E1284:E1286)</f>
        <v>2500000</v>
      </c>
      <c r="F1287" s="214"/>
      <c r="G1287" s="281">
        <f>SUM(G1284:G1286)</f>
        <v>100000</v>
      </c>
      <c r="H1287" s="214"/>
      <c r="I1287" s="214"/>
      <c r="J1287" s="1108"/>
      <c r="K1287" s="14"/>
      <c r="L1287" s="14"/>
      <c r="M1287" s="906" t="s">
        <v>80</v>
      </c>
      <c r="N1287" s="906"/>
      <c r="O1287" s="869">
        <f>G1287</f>
        <v>100000</v>
      </c>
    </row>
    <row r="1290" spans="1:15" ht="23.25">
      <c r="A1290" s="1530" t="s">
        <v>274</v>
      </c>
      <c r="B1290" s="1531"/>
      <c r="C1290" s="1532"/>
      <c r="D1290" s="1531"/>
      <c r="E1290" s="1531"/>
      <c r="F1290" s="1531"/>
      <c r="G1290" s="1531"/>
      <c r="H1290" s="1532"/>
      <c r="I1290" s="1532"/>
      <c r="J1290" s="1532"/>
      <c r="K1290" s="1533" t="s">
        <v>2</v>
      </c>
      <c r="L1290" s="1533"/>
      <c r="M1290" s="1533"/>
      <c r="N1290" s="1533"/>
      <c r="O1290" s="1533"/>
    </row>
    <row r="1291" spans="1:15" ht="30.75">
      <c r="A1291" s="126" t="s">
        <v>3</v>
      </c>
      <c r="B1291" s="1" t="s">
        <v>120</v>
      </c>
      <c r="C1291" s="367" t="s">
        <v>4</v>
      </c>
      <c r="D1291" s="1" t="s">
        <v>5</v>
      </c>
      <c r="E1291" s="1" t="s">
        <v>6</v>
      </c>
      <c r="F1291" s="1" t="s">
        <v>7</v>
      </c>
      <c r="G1291" s="1" t="s">
        <v>8</v>
      </c>
      <c r="H1291" s="361" t="s">
        <v>9</v>
      </c>
      <c r="I1291" s="1" t="s">
        <v>10</v>
      </c>
      <c r="J1291" s="126" t="s">
        <v>11</v>
      </c>
      <c r="K1291" s="3" t="s">
        <v>12</v>
      </c>
      <c r="L1291" s="3" t="s">
        <v>5</v>
      </c>
      <c r="M1291" s="3" t="s">
        <v>13</v>
      </c>
      <c r="N1291" s="1" t="s">
        <v>7</v>
      </c>
      <c r="O1291" s="1" t="s">
        <v>14</v>
      </c>
    </row>
    <row r="1292" spans="1:15" ht="15.75">
      <c r="A1292" s="14"/>
      <c r="B1292" s="71"/>
      <c r="C1292" s="71"/>
      <c r="D1292" s="14"/>
      <c r="E1292" s="14"/>
      <c r="F1292" s="14"/>
      <c r="G1292" s="71"/>
      <c r="H1292" s="14"/>
      <c r="I1292" s="14"/>
      <c r="J1292" s="14"/>
      <c r="K1292" s="135">
        <v>13459</v>
      </c>
      <c r="L1292" s="137" t="s">
        <v>868</v>
      </c>
      <c r="M1292" s="1082">
        <v>1300000</v>
      </c>
      <c r="N1292" s="545"/>
      <c r="O1292" s="545"/>
    </row>
    <row r="1293" spans="1:15" ht="15.75">
      <c r="A1293" s="14"/>
      <c r="B1293" s="71"/>
      <c r="C1293" s="71"/>
      <c r="D1293" s="14"/>
      <c r="E1293" s="14"/>
      <c r="F1293" s="14"/>
      <c r="G1293" s="71"/>
      <c r="H1293" s="14"/>
      <c r="I1293" s="14"/>
      <c r="J1293" s="14"/>
      <c r="K1293" s="135">
        <v>13566</v>
      </c>
      <c r="L1293" s="137" t="s">
        <v>873</v>
      </c>
      <c r="M1293" s="1082">
        <v>800000</v>
      </c>
      <c r="N1293" s="545"/>
      <c r="O1293" s="545"/>
    </row>
    <row r="1294" spans="1:15" ht="15.75">
      <c r="A1294" s="14"/>
      <c r="B1294" s="71"/>
      <c r="C1294" s="71"/>
      <c r="D1294" s="14"/>
      <c r="E1294" s="14"/>
      <c r="F1294" s="14"/>
      <c r="G1294" s="71"/>
      <c r="H1294" s="14"/>
      <c r="I1294" s="14"/>
      <c r="J1294" s="14"/>
      <c r="K1294" s="135">
        <v>13450</v>
      </c>
      <c r="L1294" s="1083" t="s">
        <v>890</v>
      </c>
      <c r="M1294" s="141">
        <v>1300000</v>
      </c>
      <c r="N1294" s="1085"/>
      <c r="O1294" s="666"/>
    </row>
    <row r="1295" spans="1:15" ht="15.75">
      <c r="A1295" s="31"/>
      <c r="B1295" s="617"/>
      <c r="C1295" s="617"/>
      <c r="D1295" s="31"/>
      <c r="E1295" s="31"/>
      <c r="F1295" s="31"/>
      <c r="G1295" s="617"/>
      <c r="H1295" s="31"/>
      <c r="I1295" s="31"/>
      <c r="J1295" s="31"/>
      <c r="K1295" s="135">
        <v>13580</v>
      </c>
      <c r="L1295" s="137" t="s">
        <v>899</v>
      </c>
      <c r="M1295" s="1084">
        <v>1350000</v>
      </c>
      <c r="N1295" s="545"/>
      <c r="O1295" s="545"/>
    </row>
    <row r="1296" spans="1:15" ht="15.75">
      <c r="A1296" s="14"/>
      <c r="B1296" s="71"/>
      <c r="C1296" s="71"/>
      <c r="D1296" s="14"/>
      <c r="E1296" s="14"/>
      <c r="F1296" s="14"/>
      <c r="G1296" s="71"/>
      <c r="H1296" s="14"/>
      <c r="I1296" s="14"/>
      <c r="J1296" s="14"/>
      <c r="K1296" s="133">
        <v>13554</v>
      </c>
      <c r="L1296" s="137" t="s">
        <v>838</v>
      </c>
      <c r="M1296" s="1084">
        <v>1100000</v>
      </c>
      <c r="N1296" s="666"/>
      <c r="O1296" s="666"/>
    </row>
    <row r="1297" spans="1:15" ht="15.75">
      <c r="A1297" s="14"/>
      <c r="B1297" s="71"/>
      <c r="C1297" s="71"/>
      <c r="D1297" s="14"/>
      <c r="E1297" s="14"/>
      <c r="F1297" s="14"/>
      <c r="G1297" s="71"/>
      <c r="H1297" s="14"/>
      <c r="I1297" s="14"/>
      <c r="J1297" s="14"/>
      <c r="K1297" s="133">
        <v>13475</v>
      </c>
      <c r="L1297" s="137" t="s">
        <v>140</v>
      </c>
      <c r="M1297" s="882">
        <v>1300000</v>
      </c>
      <c r="N1297" s="545"/>
      <c r="O1297" s="545"/>
    </row>
    <row r="1298" spans="1:15" ht="15.75">
      <c r="A1298" s="14"/>
      <c r="B1298" s="71"/>
      <c r="C1298" s="71"/>
      <c r="D1298" s="14"/>
      <c r="E1298" s="14"/>
      <c r="F1298" s="14"/>
      <c r="G1298" s="71"/>
      <c r="H1298" s="14"/>
      <c r="I1298" s="14"/>
      <c r="J1298" s="14"/>
      <c r="K1298" s="133">
        <v>13486</v>
      </c>
      <c r="L1298" s="137" t="s">
        <v>126</v>
      </c>
      <c r="M1298" s="882">
        <v>1350000</v>
      </c>
      <c r="N1298" s="545"/>
      <c r="O1298" s="545"/>
    </row>
    <row r="1299" spans="1:15" ht="15.75">
      <c r="L1299" s="1045" t="s">
        <v>80</v>
      </c>
      <c r="M1299" s="539">
        <f>SUM(M1292:M1298)</f>
        <v>8500000</v>
      </c>
    </row>
    <row r="1301" spans="1:15" ht="18">
      <c r="A1301" s="1535" t="s">
        <v>68</v>
      </c>
      <c r="B1301" s="1535"/>
      <c r="C1301" s="365"/>
      <c r="D1301" s="341">
        <f>E1242+E1267+E1280+E1287</f>
        <v>46500000</v>
      </c>
    </row>
    <row r="1302" spans="1:15">
      <c r="A1302" s="1536" t="s">
        <v>69</v>
      </c>
      <c r="B1302" s="1536"/>
      <c r="C1302" s="22"/>
      <c r="D1302" s="20"/>
    </row>
    <row r="1303" spans="1:15">
      <c r="A1303" s="1537" t="s">
        <v>70</v>
      </c>
      <c r="B1303" s="1537"/>
      <c r="C1303" s="101"/>
      <c r="D1303" s="21"/>
    </row>
    <row r="1306" spans="1:15" ht="31.5">
      <c r="A1306" s="1546" t="s">
        <v>916</v>
      </c>
      <c r="B1306" s="1547"/>
      <c r="C1306" s="1547"/>
      <c r="D1306" s="1547"/>
      <c r="E1306" s="1547"/>
      <c r="F1306" s="1547"/>
      <c r="G1306" s="1547"/>
      <c r="H1306" s="1547"/>
      <c r="I1306" s="1547"/>
      <c r="J1306" s="1547"/>
    </row>
    <row r="1307" spans="1:15" ht="23.25">
      <c r="A1307" s="1548" t="s">
        <v>1</v>
      </c>
      <c r="B1307" s="1532"/>
      <c r="C1307" s="1532"/>
      <c r="D1307" s="1531"/>
      <c r="E1307" s="1532"/>
      <c r="F1307" s="1532"/>
      <c r="G1307" s="1532"/>
      <c r="H1307" s="1532"/>
      <c r="I1307" s="1532"/>
      <c r="J1307" s="1532"/>
      <c r="K1307" s="1533" t="s">
        <v>2</v>
      </c>
      <c r="L1307" s="1533"/>
      <c r="M1307" s="1533"/>
      <c r="N1307" s="1533"/>
      <c r="O1307" s="1533"/>
    </row>
    <row r="1308" spans="1:15" ht="30.75">
      <c r="A1308" s="3" t="s">
        <v>3</v>
      </c>
      <c r="B1308" s="361" t="s">
        <v>120</v>
      </c>
      <c r="C1308" s="360" t="s">
        <v>4</v>
      </c>
      <c r="D1308" s="3" t="s">
        <v>5</v>
      </c>
      <c r="E1308" s="361" t="s">
        <v>6</v>
      </c>
      <c r="F1308" s="1" t="s">
        <v>7</v>
      </c>
      <c r="G1308" s="1" t="s">
        <v>8</v>
      </c>
      <c r="H1308" s="1" t="s">
        <v>9</v>
      </c>
      <c r="I1308" s="1" t="s">
        <v>10</v>
      </c>
      <c r="J1308" s="1" t="s">
        <v>11</v>
      </c>
      <c r="K1308" s="68" t="s">
        <v>12</v>
      </c>
      <c r="L1308" s="68" t="s">
        <v>5</v>
      </c>
      <c r="M1308" s="68" t="s">
        <v>13</v>
      </c>
      <c r="N1308" s="129" t="s">
        <v>7</v>
      </c>
      <c r="O1308" s="68" t="s">
        <v>14</v>
      </c>
    </row>
    <row r="1309" spans="1:15" ht="15.75">
      <c r="A1309" s="1553" t="s">
        <v>95</v>
      </c>
      <c r="B1309" s="135">
        <v>13665</v>
      </c>
      <c r="C1309" s="576">
        <v>0.1</v>
      </c>
      <c r="D1309" s="1024" t="s">
        <v>917</v>
      </c>
      <c r="E1309" s="143">
        <v>1100000</v>
      </c>
      <c r="F1309" s="478">
        <v>0.12</v>
      </c>
      <c r="G1309" s="278">
        <f>E1309*F1309</f>
        <v>132000</v>
      </c>
      <c r="H1309" s="144" t="s">
        <v>180</v>
      </c>
      <c r="I1309" s="144" t="s">
        <v>242</v>
      </c>
      <c r="J1309" s="1102"/>
      <c r="K1309" s="135">
        <v>13674</v>
      </c>
      <c r="L1309" s="137" t="s">
        <v>918</v>
      </c>
      <c r="M1309" s="141">
        <v>1400000</v>
      </c>
      <c r="N1309" s="231">
        <v>0.05</v>
      </c>
      <c r="O1309" s="139">
        <f>M1309*N1309</f>
        <v>70000</v>
      </c>
    </row>
    <row r="1310" spans="1:15" ht="15.75">
      <c r="A1310" s="1552"/>
      <c r="B1310" s="241">
        <v>13685</v>
      </c>
      <c r="C1310" s="331">
        <v>0.08</v>
      </c>
      <c r="D1310" s="137" t="s">
        <v>919</v>
      </c>
      <c r="E1310" s="143">
        <v>1600000</v>
      </c>
      <c r="F1310" s="140">
        <v>0.05</v>
      </c>
      <c r="G1310" s="278">
        <f t="shared" ref="G1310:G1320" si="59">E1310*F1310</f>
        <v>80000</v>
      </c>
      <c r="H1310" s="144" t="s">
        <v>30</v>
      </c>
      <c r="I1310" s="144" t="s">
        <v>242</v>
      </c>
      <c r="J1310" s="1102"/>
      <c r="K1310" s="135">
        <v>13784</v>
      </c>
      <c r="L1310" s="137" t="s">
        <v>920</v>
      </c>
      <c r="M1310" s="143">
        <v>1600000</v>
      </c>
      <c r="N1310" s="234">
        <v>0.04</v>
      </c>
      <c r="O1310" s="139">
        <f t="shared" ref="O1310:O1311" si="60">M1310*N1310</f>
        <v>64000</v>
      </c>
    </row>
    <row r="1311" spans="1:15" ht="15.75">
      <c r="A1311" s="1552"/>
      <c r="B1311" s="241">
        <v>13737</v>
      </c>
      <c r="C1311" s="233">
        <v>0.1</v>
      </c>
      <c r="D1311" s="137" t="s">
        <v>921</v>
      </c>
      <c r="E1311" s="143">
        <v>900000</v>
      </c>
      <c r="F1311" s="478">
        <v>0.12</v>
      </c>
      <c r="G1311" s="278">
        <f t="shared" si="59"/>
        <v>108000</v>
      </c>
      <c r="H1311" s="144" t="s">
        <v>180</v>
      </c>
      <c r="I1311" s="144" t="s">
        <v>100</v>
      </c>
      <c r="J1311" s="1102"/>
      <c r="K1311" s="135">
        <v>13826</v>
      </c>
      <c r="L1311" s="137" t="s">
        <v>922</v>
      </c>
      <c r="M1311" s="143">
        <v>1700000</v>
      </c>
      <c r="N1311" s="231">
        <v>0.05</v>
      </c>
      <c r="O1311" s="139">
        <f t="shared" si="60"/>
        <v>85000</v>
      </c>
    </row>
    <row r="1312" spans="1:15" ht="15.75">
      <c r="A1312" s="1552"/>
      <c r="B1312" s="241">
        <v>13762</v>
      </c>
      <c r="C1312" s="233">
        <v>0.1</v>
      </c>
      <c r="D1312" s="137" t="s">
        <v>923</v>
      </c>
      <c r="E1312" s="143">
        <v>750000</v>
      </c>
      <c r="F1312" s="478">
        <v>0.12</v>
      </c>
      <c r="G1312" s="278">
        <f t="shared" si="59"/>
        <v>90000</v>
      </c>
      <c r="H1312" s="144" t="s">
        <v>180</v>
      </c>
      <c r="I1312" s="144" t="s">
        <v>100</v>
      </c>
      <c r="J1312" s="1102"/>
      <c r="K1312" s="14"/>
      <c r="L1312" s="14"/>
      <c r="M1312" s="14"/>
      <c r="N1312" s="14"/>
      <c r="O1312" s="14"/>
    </row>
    <row r="1313" spans="1:15" ht="15.75">
      <c r="A1313" s="1552"/>
      <c r="B1313" s="241">
        <v>13776</v>
      </c>
      <c r="C1313" s="233">
        <v>0.1</v>
      </c>
      <c r="D1313" s="137" t="s">
        <v>924</v>
      </c>
      <c r="E1313" s="143">
        <v>1200000</v>
      </c>
      <c r="F1313" s="478">
        <v>0.12</v>
      </c>
      <c r="G1313" s="278">
        <f t="shared" si="59"/>
        <v>144000</v>
      </c>
      <c r="H1313" s="144" t="s">
        <v>180</v>
      </c>
      <c r="I1313" s="144" t="s">
        <v>242</v>
      </c>
      <c r="J1313" s="1102"/>
      <c r="K1313" s="14"/>
      <c r="L1313" s="14"/>
      <c r="M1313" s="14"/>
      <c r="N1313" s="14"/>
      <c r="O1313" s="14"/>
    </row>
    <row r="1314" spans="1:15" ht="15.75">
      <c r="A1314" s="1552"/>
      <c r="B1314" s="135">
        <v>13788</v>
      </c>
      <c r="C1314" s="233">
        <v>0.1</v>
      </c>
      <c r="D1314" s="137" t="s">
        <v>925</v>
      </c>
      <c r="E1314" s="143">
        <v>800000</v>
      </c>
      <c r="F1314" s="478">
        <v>0.12</v>
      </c>
      <c r="G1314" s="278">
        <f t="shared" si="59"/>
        <v>96000</v>
      </c>
      <c r="H1314" s="144" t="s">
        <v>180</v>
      </c>
      <c r="I1314" s="144" t="s">
        <v>242</v>
      </c>
      <c r="J1314" s="1102"/>
      <c r="K1314" s="14"/>
      <c r="L1314" s="14"/>
      <c r="M1314" s="14"/>
      <c r="N1314" s="14"/>
      <c r="O1314" s="14"/>
    </row>
    <row r="1315" spans="1:15" ht="15.75">
      <c r="A1315" s="1552"/>
      <c r="B1315" s="135">
        <v>13798</v>
      </c>
      <c r="C1315" s="233">
        <v>0.1</v>
      </c>
      <c r="D1315" s="137" t="s">
        <v>926</v>
      </c>
      <c r="E1315" s="143">
        <v>1000000</v>
      </c>
      <c r="F1315" s="478">
        <v>0.12</v>
      </c>
      <c r="G1315" s="278">
        <f t="shared" si="59"/>
        <v>120000</v>
      </c>
      <c r="H1315" s="144" t="s">
        <v>180</v>
      </c>
      <c r="I1315" s="144" t="s">
        <v>242</v>
      </c>
      <c r="J1315" s="1102"/>
      <c r="K1315" s="14"/>
      <c r="L1315" s="14"/>
      <c r="M1315" s="14"/>
      <c r="N1315" s="14"/>
      <c r="O1315" s="14"/>
    </row>
    <row r="1316" spans="1:15" ht="15.75">
      <c r="A1316" s="1552"/>
      <c r="B1316" s="135">
        <v>13793</v>
      </c>
      <c r="C1316" s="233">
        <v>0.1</v>
      </c>
      <c r="D1316" s="137" t="s">
        <v>927</v>
      </c>
      <c r="E1316" s="143">
        <v>1700000</v>
      </c>
      <c r="F1316" s="478">
        <v>7.0000000000000007E-2</v>
      </c>
      <c r="G1316" s="278">
        <f t="shared" si="59"/>
        <v>119000.00000000001</v>
      </c>
      <c r="H1316" s="144" t="s">
        <v>520</v>
      </c>
      <c r="I1316" s="144" t="s">
        <v>242</v>
      </c>
      <c r="J1316" s="1102"/>
      <c r="K1316" s="14"/>
      <c r="L1316" s="14"/>
      <c r="M1316" s="14"/>
      <c r="N1316" s="14"/>
      <c r="O1316" s="14"/>
    </row>
    <row r="1317" spans="1:15" ht="15.75">
      <c r="A1317" s="1552"/>
      <c r="B1317" s="135">
        <v>13794</v>
      </c>
      <c r="C1317" s="233">
        <v>0.1</v>
      </c>
      <c r="D1317" s="137" t="s">
        <v>928</v>
      </c>
      <c r="E1317" s="143">
        <v>850000</v>
      </c>
      <c r="F1317" s="478">
        <v>0.12</v>
      </c>
      <c r="G1317" s="278">
        <f t="shared" si="59"/>
        <v>102000</v>
      </c>
      <c r="H1317" s="144" t="s">
        <v>180</v>
      </c>
      <c r="I1317" s="144" t="s">
        <v>100</v>
      </c>
      <c r="J1317" s="1102"/>
      <c r="K1317" s="14"/>
      <c r="L1317" s="14"/>
      <c r="M1317" s="14"/>
      <c r="N1317" s="14"/>
      <c r="O1317" s="14"/>
    </row>
    <row r="1318" spans="1:15" ht="15.75">
      <c r="A1318" s="1552"/>
      <c r="B1318" s="241">
        <v>13873</v>
      </c>
      <c r="C1318" s="233">
        <v>0.1</v>
      </c>
      <c r="D1318" s="137" t="s">
        <v>487</v>
      </c>
      <c r="E1318" s="143">
        <v>1600000</v>
      </c>
      <c r="F1318" s="478">
        <v>0.06</v>
      </c>
      <c r="G1318" s="278">
        <f t="shared" si="59"/>
        <v>96000</v>
      </c>
      <c r="H1318" s="144" t="s">
        <v>30</v>
      </c>
      <c r="I1318" s="144" t="s">
        <v>242</v>
      </c>
      <c r="J1318" s="1102"/>
      <c r="K1318" s="14"/>
      <c r="L1318" s="14"/>
      <c r="M1318" s="14"/>
      <c r="N1318" s="14"/>
      <c r="O1318" s="14"/>
    </row>
    <row r="1319" spans="1:15" ht="15.75">
      <c r="A1319" s="1552"/>
      <c r="B1319" s="241">
        <v>13874</v>
      </c>
      <c r="C1319" s="233">
        <v>0.1</v>
      </c>
      <c r="D1319" s="137" t="s">
        <v>929</v>
      </c>
      <c r="E1319" s="143">
        <v>1600000</v>
      </c>
      <c r="F1319" s="478">
        <v>0.12</v>
      </c>
      <c r="G1319" s="278">
        <f t="shared" si="59"/>
        <v>192000</v>
      </c>
      <c r="H1319" s="144" t="s">
        <v>180</v>
      </c>
      <c r="I1319" s="144" t="s">
        <v>100</v>
      </c>
      <c r="J1319" s="1102"/>
      <c r="K1319" s="14"/>
      <c r="L1319" s="14"/>
      <c r="M1319" s="14"/>
      <c r="N1319" s="14"/>
      <c r="O1319" s="14"/>
    </row>
    <row r="1320" spans="1:15" ht="15.75">
      <c r="A1320" s="1552"/>
      <c r="B1320" s="241">
        <v>13877</v>
      </c>
      <c r="C1320" s="331">
        <v>0.08</v>
      </c>
      <c r="D1320" s="137" t="s">
        <v>930</v>
      </c>
      <c r="E1320" s="143">
        <v>1700000</v>
      </c>
      <c r="F1320" s="140">
        <v>0.06</v>
      </c>
      <c r="G1320" s="278">
        <f t="shared" si="59"/>
        <v>102000</v>
      </c>
      <c r="H1320" s="144" t="s">
        <v>520</v>
      </c>
      <c r="I1320" s="144" t="s">
        <v>242</v>
      </c>
      <c r="J1320" s="1102"/>
      <c r="K1320" s="14"/>
      <c r="L1320" s="14"/>
      <c r="M1320" s="14"/>
      <c r="N1320" s="14"/>
      <c r="O1320" s="14"/>
    </row>
    <row r="1321" spans="1:15" ht="15.75">
      <c r="A1321" s="1552"/>
      <c r="B1321" s="211" t="s">
        <v>931</v>
      </c>
      <c r="C1321" s="267"/>
      <c r="D1321" s="225" t="s">
        <v>932</v>
      </c>
      <c r="E1321" s="308"/>
      <c r="F1321" s="348"/>
      <c r="G1321" s="268"/>
      <c r="H1321" s="503"/>
      <c r="I1321" s="503"/>
      <c r="J1321" s="1103" t="s">
        <v>933</v>
      </c>
      <c r="K1321" s="14"/>
      <c r="L1321" s="14"/>
      <c r="M1321" s="14"/>
      <c r="N1321" s="14"/>
      <c r="O1321" s="14"/>
    </row>
    <row r="1322" spans="1:15" ht="15.75">
      <c r="A1322" s="1552"/>
      <c r="B1322" s="211" t="s">
        <v>297</v>
      </c>
      <c r="C1322" s="645"/>
      <c r="D1322" s="225" t="s">
        <v>934</v>
      </c>
      <c r="E1322" s="308"/>
      <c r="F1322" s="348"/>
      <c r="G1322" s="268"/>
      <c r="H1322" s="503" t="s">
        <v>520</v>
      </c>
      <c r="I1322" s="503" t="s">
        <v>100</v>
      </c>
      <c r="J1322" s="942" t="s">
        <v>747</v>
      </c>
      <c r="K1322" s="14"/>
      <c r="L1322" s="14"/>
      <c r="M1322" s="156" t="s">
        <v>80</v>
      </c>
      <c r="N1322" s="156"/>
      <c r="O1322" s="154">
        <f>SUM(O1309:O1313)</f>
        <v>219000</v>
      </c>
    </row>
    <row r="1323" spans="1:15" ht="15.75">
      <c r="A1323" s="1552"/>
      <c r="B1323" s="211" t="s">
        <v>538</v>
      </c>
      <c r="C1323" s="267"/>
      <c r="D1323" s="225" t="s">
        <v>932</v>
      </c>
      <c r="E1323" s="308"/>
      <c r="F1323" s="348"/>
      <c r="G1323" s="268"/>
      <c r="H1323" s="503"/>
      <c r="I1323" s="503"/>
      <c r="J1323" s="942" t="s">
        <v>538</v>
      </c>
      <c r="K1323" s="14"/>
      <c r="L1323" s="14"/>
      <c r="M1323" s="14"/>
      <c r="N1323" s="14"/>
      <c r="O1323" s="14"/>
    </row>
    <row r="1324" spans="1:15" ht="20.25">
      <c r="A1324" s="1542"/>
      <c r="B1324" s="7"/>
      <c r="C1324" s="7"/>
      <c r="D1324" s="42"/>
      <c r="E1324" s="991">
        <f>SUM(E1309:E1323)</f>
        <v>14800000</v>
      </c>
      <c r="F1324" s="855"/>
      <c r="G1324" s="856">
        <f>SUM(G1309:G1323)</f>
        <v>1381000</v>
      </c>
      <c r="H1324" s="42"/>
      <c r="I1324" s="519"/>
      <c r="J1324" s="6"/>
      <c r="K1324" s="14"/>
      <c r="L1324" s="14"/>
      <c r="M1324" s="906" t="s">
        <v>80</v>
      </c>
      <c r="N1324" s="906"/>
      <c r="O1324" s="897">
        <f>G1324+O1322</f>
        <v>1600000</v>
      </c>
    </row>
    <row r="1328" spans="1:15" ht="23.25">
      <c r="A1328" s="1548" t="s">
        <v>56</v>
      </c>
      <c r="B1328" s="1532"/>
      <c r="C1328" s="1532"/>
      <c r="D1328" s="1531"/>
      <c r="E1328" s="1532"/>
      <c r="F1328" s="1532"/>
      <c r="G1328" s="1532"/>
      <c r="H1328" s="1532"/>
      <c r="I1328" s="1532"/>
      <c r="J1328" s="1549"/>
      <c r="K1328" s="1533" t="s">
        <v>2</v>
      </c>
      <c r="L1328" s="1533"/>
      <c r="M1328" s="1533"/>
      <c r="N1328" s="1533"/>
      <c r="O1328" s="1533"/>
    </row>
    <row r="1329" spans="1:15" ht="30.75">
      <c r="A1329" s="3" t="s">
        <v>3</v>
      </c>
      <c r="B1329" s="361" t="s">
        <v>120</v>
      </c>
      <c r="C1329" s="367" t="s">
        <v>4</v>
      </c>
      <c r="D1329" s="3" t="s">
        <v>5</v>
      </c>
      <c r="E1329" s="361" t="s">
        <v>6</v>
      </c>
      <c r="F1329" s="1" t="s">
        <v>7</v>
      </c>
      <c r="G1329" s="1" t="s">
        <v>8</v>
      </c>
      <c r="H1329" s="361" t="s">
        <v>9</v>
      </c>
      <c r="I1329" s="1" t="s">
        <v>10</v>
      </c>
      <c r="J1329" s="126" t="s">
        <v>11</v>
      </c>
      <c r="K1329" s="68" t="s">
        <v>12</v>
      </c>
      <c r="L1329" s="68" t="s">
        <v>5</v>
      </c>
      <c r="M1329" s="68" t="s">
        <v>13</v>
      </c>
      <c r="N1329" s="129" t="s">
        <v>7</v>
      </c>
      <c r="O1329" s="68" t="s">
        <v>14</v>
      </c>
    </row>
    <row r="1330" spans="1:15" ht="15.75">
      <c r="A1330" s="1527" t="s">
        <v>764</v>
      </c>
      <c r="B1330" s="241">
        <v>13674</v>
      </c>
      <c r="C1330" s="148">
        <v>0.1</v>
      </c>
      <c r="D1330" s="137" t="s">
        <v>918</v>
      </c>
      <c r="E1330" s="699">
        <v>1400000</v>
      </c>
      <c r="F1330" s="478">
        <v>0.05</v>
      </c>
      <c r="G1330" s="619">
        <f>E1330*F1330</f>
        <v>70000</v>
      </c>
      <c r="H1330" s="995" t="s">
        <v>180</v>
      </c>
      <c r="I1330" s="997" t="s">
        <v>100</v>
      </c>
      <c r="J1330" s="1266"/>
      <c r="K1330" s="135">
        <v>13744</v>
      </c>
      <c r="L1330" s="1264" t="s">
        <v>935</v>
      </c>
      <c r="M1330" s="143">
        <v>1100000</v>
      </c>
      <c r="N1330" s="534">
        <v>0.05</v>
      </c>
      <c r="O1330" s="139">
        <f>M1330*N1330</f>
        <v>55000</v>
      </c>
    </row>
    <row r="1331" spans="1:15" ht="15.75">
      <c r="A1331" s="1528"/>
      <c r="B1331" s="241">
        <v>13677</v>
      </c>
      <c r="C1331" s="148">
        <v>0.1</v>
      </c>
      <c r="D1331" s="137" t="s">
        <v>936</v>
      </c>
      <c r="E1331" s="699">
        <v>1350000</v>
      </c>
      <c r="F1331" s="478">
        <v>0.1</v>
      </c>
      <c r="G1331" s="619">
        <f t="shared" ref="G1331:G1347" si="61">E1331*F1331</f>
        <v>135000</v>
      </c>
      <c r="H1331" s="995" t="s">
        <v>311</v>
      </c>
      <c r="I1331" s="997" t="s">
        <v>100</v>
      </c>
      <c r="J1331" s="998"/>
      <c r="K1331" s="1267"/>
      <c r="L1331" s="1135"/>
      <c r="M1331" s="589"/>
      <c r="N1331" s="1136"/>
      <c r="O1331" s="588"/>
    </row>
    <row r="1332" spans="1:15" ht="15.75">
      <c r="A1332" s="1528"/>
      <c r="B1332" s="241">
        <v>13671</v>
      </c>
      <c r="C1332" s="140">
        <v>0.08</v>
      </c>
      <c r="D1332" s="137" t="s">
        <v>937</v>
      </c>
      <c r="E1332" s="699">
        <v>1500000</v>
      </c>
      <c r="F1332" s="140">
        <v>0.08</v>
      </c>
      <c r="G1332" s="619">
        <f t="shared" si="61"/>
        <v>120000</v>
      </c>
      <c r="H1332" s="995" t="s">
        <v>311</v>
      </c>
      <c r="I1332" s="997" t="s">
        <v>100</v>
      </c>
      <c r="J1332" s="1104"/>
      <c r="K1332" s="14"/>
      <c r="L1332" s="14"/>
      <c r="M1332" s="14"/>
      <c r="N1332" s="14"/>
      <c r="O1332" s="14"/>
    </row>
    <row r="1333" spans="1:15" ht="15.75">
      <c r="A1333" s="1528"/>
      <c r="B1333" s="241">
        <v>13695</v>
      </c>
      <c r="C1333" s="698">
        <v>0.1</v>
      </c>
      <c r="D1333" s="1002" t="s">
        <v>938</v>
      </c>
      <c r="E1333" s="1054">
        <v>1100000</v>
      </c>
      <c r="F1333" s="478">
        <v>0.1</v>
      </c>
      <c r="G1333" s="619">
        <f t="shared" si="61"/>
        <v>110000</v>
      </c>
      <c r="H1333" s="995" t="s">
        <v>311</v>
      </c>
      <c r="I1333" s="997" t="s">
        <v>100</v>
      </c>
      <c r="J1333" s="1104"/>
      <c r="K1333" s="14"/>
      <c r="L1333" s="14"/>
      <c r="M1333" s="14"/>
      <c r="N1333" s="14"/>
      <c r="O1333" s="14"/>
    </row>
    <row r="1334" spans="1:15" ht="15.75">
      <c r="A1334" s="1528"/>
      <c r="B1334" s="241">
        <v>13712</v>
      </c>
      <c r="C1334" s="148">
        <v>0.1</v>
      </c>
      <c r="D1334" s="136" t="s">
        <v>939</v>
      </c>
      <c r="E1334" s="699">
        <v>1300000</v>
      </c>
      <c r="F1334" s="478">
        <v>0.05</v>
      </c>
      <c r="G1334" s="619">
        <f t="shared" si="61"/>
        <v>65000</v>
      </c>
      <c r="H1334" s="995" t="s">
        <v>940</v>
      </c>
      <c r="I1334" s="997" t="s">
        <v>242</v>
      </c>
      <c r="J1334" s="1104"/>
      <c r="K1334" s="14"/>
      <c r="L1334" s="14"/>
      <c r="M1334" s="14"/>
      <c r="N1334" s="14"/>
      <c r="O1334" s="14"/>
    </row>
    <row r="1335" spans="1:15" ht="15.75">
      <c r="A1335" s="1528"/>
      <c r="B1335" s="241">
        <v>13723</v>
      </c>
      <c r="C1335" s="148">
        <v>0.1</v>
      </c>
      <c r="D1335" s="136" t="s">
        <v>941</v>
      </c>
      <c r="E1335" s="699">
        <v>1250000</v>
      </c>
      <c r="F1335" s="478">
        <v>0.06</v>
      </c>
      <c r="G1335" s="619">
        <f t="shared" si="61"/>
        <v>75000</v>
      </c>
      <c r="H1335" s="995" t="s">
        <v>30</v>
      </c>
      <c r="I1335" s="997" t="s">
        <v>242</v>
      </c>
      <c r="J1335" s="1104"/>
      <c r="K1335" s="14"/>
      <c r="L1335" s="14"/>
      <c r="M1335" s="14"/>
      <c r="N1335" s="14"/>
      <c r="O1335" s="14"/>
    </row>
    <row r="1336" spans="1:15" ht="15.75">
      <c r="A1336" s="1528"/>
      <c r="B1336" s="241">
        <v>13735</v>
      </c>
      <c r="C1336" s="148">
        <v>0.1</v>
      </c>
      <c r="D1336" s="137" t="s">
        <v>942</v>
      </c>
      <c r="E1336" s="699">
        <v>1100000</v>
      </c>
      <c r="F1336" s="478">
        <v>0.06</v>
      </c>
      <c r="G1336" s="619">
        <f t="shared" si="61"/>
        <v>66000</v>
      </c>
      <c r="H1336" s="995" t="s">
        <v>30</v>
      </c>
      <c r="I1336" s="997" t="s">
        <v>242</v>
      </c>
      <c r="J1336" s="1132"/>
      <c r="K1336" s="14"/>
      <c r="L1336" s="14"/>
      <c r="M1336" s="14"/>
      <c r="N1336" s="14"/>
      <c r="O1336" s="14"/>
    </row>
    <row r="1337" spans="1:15" ht="15.75">
      <c r="A1337" s="1528"/>
      <c r="B1337" s="241">
        <v>13758</v>
      </c>
      <c r="C1337" s="148">
        <v>0.1</v>
      </c>
      <c r="D1337" s="137" t="s">
        <v>943</v>
      </c>
      <c r="E1337" s="699">
        <v>1000000</v>
      </c>
      <c r="F1337" s="478">
        <v>0.1</v>
      </c>
      <c r="G1337" s="619">
        <f t="shared" si="61"/>
        <v>100000</v>
      </c>
      <c r="H1337" s="995" t="s">
        <v>311</v>
      </c>
      <c r="I1337" s="997" t="s">
        <v>242</v>
      </c>
      <c r="J1337" s="1132"/>
      <c r="K1337" s="14"/>
      <c r="L1337" s="14"/>
      <c r="M1337" s="14"/>
      <c r="N1337" s="14"/>
      <c r="O1337" s="14"/>
    </row>
    <row r="1338" spans="1:15" ht="15.75">
      <c r="A1338" s="1528"/>
      <c r="B1338" s="241">
        <v>13751</v>
      </c>
      <c r="C1338" s="1118">
        <v>0.1</v>
      </c>
      <c r="D1338" s="180" t="s">
        <v>944</v>
      </c>
      <c r="E1338" s="1044">
        <v>800000</v>
      </c>
      <c r="F1338" s="1119">
        <v>0.1</v>
      </c>
      <c r="G1338" s="619">
        <f t="shared" si="61"/>
        <v>80000</v>
      </c>
      <c r="H1338" s="1120" t="s">
        <v>311</v>
      </c>
      <c r="I1338" s="1121" t="s">
        <v>242</v>
      </c>
      <c r="J1338" s="1104"/>
      <c r="K1338" s="14"/>
      <c r="L1338" s="14"/>
      <c r="M1338" s="14"/>
      <c r="N1338" s="14"/>
      <c r="O1338" s="14"/>
    </row>
    <row r="1339" spans="1:15" ht="15.75">
      <c r="A1339" s="1528"/>
      <c r="B1339" s="144">
        <v>13759</v>
      </c>
      <c r="C1339" s="148">
        <v>0.1</v>
      </c>
      <c r="D1339" s="137" t="s">
        <v>945</v>
      </c>
      <c r="E1339" s="141">
        <v>1500000</v>
      </c>
      <c r="F1339" s="478">
        <v>0.05</v>
      </c>
      <c r="G1339" s="619">
        <f t="shared" si="61"/>
        <v>75000</v>
      </c>
      <c r="H1339" s="995" t="s">
        <v>946</v>
      </c>
      <c r="I1339" s="997" t="s">
        <v>242</v>
      </c>
      <c r="J1339" s="1132"/>
      <c r="K1339" s="14"/>
      <c r="L1339" s="14"/>
      <c r="M1339" s="14"/>
      <c r="N1339" s="14"/>
      <c r="O1339" s="14"/>
    </row>
    <row r="1340" spans="1:15" ht="15.75">
      <c r="A1340" s="1528"/>
      <c r="B1340" s="241">
        <v>13780</v>
      </c>
      <c r="C1340" s="140">
        <v>0.09</v>
      </c>
      <c r="D1340" s="137" t="s">
        <v>947</v>
      </c>
      <c r="E1340" s="699">
        <v>1500000</v>
      </c>
      <c r="F1340" s="140">
        <v>0.08</v>
      </c>
      <c r="G1340" s="619">
        <f t="shared" si="61"/>
        <v>120000</v>
      </c>
      <c r="H1340" s="995" t="s">
        <v>311</v>
      </c>
      <c r="I1340" s="997" t="s">
        <v>242</v>
      </c>
      <c r="J1340" s="1104"/>
      <c r="K1340" s="14"/>
      <c r="L1340" s="14"/>
      <c r="M1340" s="14"/>
      <c r="N1340" s="14"/>
      <c r="O1340" s="14"/>
    </row>
    <row r="1341" spans="1:15" ht="15.75">
      <c r="A1341" s="1528"/>
      <c r="B1341" s="241">
        <v>13810</v>
      </c>
      <c r="C1341" s="478">
        <v>0.1</v>
      </c>
      <c r="D1341" s="137" t="s">
        <v>948</v>
      </c>
      <c r="E1341" s="699">
        <v>1500000</v>
      </c>
      <c r="F1341" s="478">
        <v>0.1</v>
      </c>
      <c r="G1341" s="619">
        <f t="shared" si="61"/>
        <v>150000</v>
      </c>
      <c r="H1341" s="995" t="s">
        <v>311</v>
      </c>
      <c r="I1341" s="997" t="s">
        <v>100</v>
      </c>
      <c r="J1341" s="1104"/>
      <c r="K1341" s="14"/>
      <c r="L1341" s="14"/>
      <c r="M1341" s="14"/>
      <c r="N1341" s="14"/>
      <c r="O1341" s="14"/>
    </row>
    <row r="1342" spans="1:15" ht="15.75">
      <c r="A1342" s="1528"/>
      <c r="B1342" s="241">
        <v>13811</v>
      </c>
      <c r="C1342" s="478">
        <v>0.1</v>
      </c>
      <c r="D1342" s="137" t="s">
        <v>949</v>
      </c>
      <c r="E1342" s="699">
        <v>1250000</v>
      </c>
      <c r="F1342" s="478">
        <v>0.06</v>
      </c>
      <c r="G1342" s="619">
        <f t="shared" si="61"/>
        <v>75000</v>
      </c>
      <c r="H1342" s="995" t="s">
        <v>30</v>
      </c>
      <c r="I1342" s="997" t="s">
        <v>100</v>
      </c>
      <c r="J1342" s="1104"/>
      <c r="K1342" s="14"/>
      <c r="L1342" s="14"/>
      <c r="M1342" s="14"/>
      <c r="N1342" s="14"/>
      <c r="O1342" s="14"/>
    </row>
    <row r="1343" spans="1:15" ht="15.75">
      <c r="A1343" s="1528"/>
      <c r="B1343" s="241">
        <v>13827</v>
      </c>
      <c r="C1343" s="478">
        <v>0.1</v>
      </c>
      <c r="D1343" s="137" t="s">
        <v>950</v>
      </c>
      <c r="E1343" s="699">
        <v>900000</v>
      </c>
      <c r="F1343" s="478">
        <v>0.1</v>
      </c>
      <c r="G1343" s="619">
        <f t="shared" si="61"/>
        <v>90000</v>
      </c>
      <c r="H1343" s="995" t="s">
        <v>311</v>
      </c>
      <c r="I1343" s="997" t="s">
        <v>242</v>
      </c>
      <c r="J1343" s="1104"/>
      <c r="K1343" s="14"/>
      <c r="L1343" s="14"/>
      <c r="M1343" s="14"/>
      <c r="N1343" s="14"/>
      <c r="O1343" s="14"/>
    </row>
    <row r="1344" spans="1:15" ht="15.75">
      <c r="A1344" s="1528"/>
      <c r="B1344" s="135">
        <v>13860</v>
      </c>
      <c r="C1344" s="478">
        <v>0.1</v>
      </c>
      <c r="D1344" s="137" t="s">
        <v>951</v>
      </c>
      <c r="E1344" s="699">
        <v>1650000</v>
      </c>
      <c r="F1344" s="478">
        <v>0.1</v>
      </c>
      <c r="G1344" s="619">
        <f t="shared" si="61"/>
        <v>165000</v>
      </c>
      <c r="H1344" s="995" t="s">
        <v>311</v>
      </c>
      <c r="I1344" s="997" t="s">
        <v>100</v>
      </c>
      <c r="J1344" s="1104"/>
      <c r="K1344" s="14"/>
      <c r="L1344" s="14"/>
      <c r="M1344" s="14"/>
      <c r="N1344" s="14"/>
      <c r="O1344" s="14"/>
    </row>
    <row r="1345" spans="1:15" ht="15.75">
      <c r="A1345" s="1528"/>
      <c r="B1345" s="241">
        <v>13852</v>
      </c>
      <c r="C1345" s="478">
        <v>0.1</v>
      </c>
      <c r="D1345" s="137" t="s">
        <v>952</v>
      </c>
      <c r="E1345" s="699">
        <v>1700000</v>
      </c>
      <c r="F1345" s="478">
        <v>0.1</v>
      </c>
      <c r="G1345" s="619">
        <f t="shared" si="61"/>
        <v>170000</v>
      </c>
      <c r="H1345" s="995" t="s">
        <v>311</v>
      </c>
      <c r="I1345" s="997" t="s">
        <v>100</v>
      </c>
      <c r="J1345" s="1104"/>
      <c r="K1345" s="14"/>
      <c r="L1345" s="14"/>
      <c r="M1345" s="14"/>
      <c r="N1345" s="14"/>
      <c r="O1345" s="14"/>
    </row>
    <row r="1346" spans="1:15" ht="15.75">
      <c r="A1346" s="1528"/>
      <c r="B1346" s="241">
        <v>13881</v>
      </c>
      <c r="C1346" s="478">
        <v>0.1</v>
      </c>
      <c r="D1346" s="137" t="s">
        <v>953</v>
      </c>
      <c r="E1346" s="699">
        <v>1200000</v>
      </c>
      <c r="F1346" s="478">
        <v>0.06</v>
      </c>
      <c r="G1346" s="619">
        <f t="shared" si="61"/>
        <v>72000</v>
      </c>
      <c r="H1346" s="995" t="s">
        <v>30</v>
      </c>
      <c r="I1346" s="997" t="s">
        <v>242</v>
      </c>
      <c r="J1346" s="1104"/>
      <c r="K1346" s="14"/>
      <c r="L1346" s="14"/>
      <c r="M1346" s="14"/>
      <c r="N1346" s="14"/>
      <c r="O1346" s="14"/>
    </row>
    <row r="1347" spans="1:15" ht="15.75">
      <c r="A1347" s="1528"/>
      <c r="B1347" s="135">
        <v>13880</v>
      </c>
      <c r="C1347" s="478">
        <v>0.1</v>
      </c>
      <c r="D1347" s="259" t="s">
        <v>954</v>
      </c>
      <c r="E1347" s="699">
        <v>850000</v>
      </c>
      <c r="F1347" s="478">
        <v>0.06</v>
      </c>
      <c r="G1347" s="619">
        <f t="shared" si="61"/>
        <v>51000</v>
      </c>
      <c r="H1347" s="995" t="s">
        <v>30</v>
      </c>
      <c r="I1347" s="997" t="s">
        <v>100</v>
      </c>
      <c r="J1347" s="1104"/>
      <c r="K1347" s="14"/>
      <c r="L1347" s="14"/>
      <c r="M1347" s="14"/>
      <c r="N1347" s="14"/>
      <c r="O1347" s="14"/>
    </row>
    <row r="1348" spans="1:15" ht="15.75">
      <c r="A1348" s="1528"/>
      <c r="B1348" s="211" t="s">
        <v>955</v>
      </c>
      <c r="C1348" s="285"/>
      <c r="D1348" s="1008" t="s">
        <v>956</v>
      </c>
      <c r="E1348" s="749"/>
      <c r="F1348" s="348"/>
      <c r="G1348" s="943"/>
      <c r="H1348" s="1011"/>
      <c r="I1348" s="1006"/>
      <c r="J1348" s="1133" t="s">
        <v>957</v>
      </c>
      <c r="K1348" s="14"/>
      <c r="L1348" s="14"/>
      <c r="M1348" s="156" t="s">
        <v>80</v>
      </c>
      <c r="N1348" s="156"/>
      <c r="O1348" s="154">
        <f>SUM(O1330:O1331)</f>
        <v>55000</v>
      </c>
    </row>
    <row r="1349" spans="1:15" ht="15.75">
      <c r="A1349" s="1528"/>
      <c r="B1349" s="211" t="s">
        <v>297</v>
      </c>
      <c r="C1349" s="285"/>
      <c r="D1349" s="819" t="s">
        <v>958</v>
      </c>
      <c r="E1349" s="749"/>
      <c r="F1349" s="348"/>
      <c r="G1349" s="943"/>
      <c r="H1349" s="1011"/>
      <c r="I1349" s="1006"/>
      <c r="J1349" s="1105" t="s">
        <v>959</v>
      </c>
      <c r="K1349" s="14"/>
      <c r="L1349" s="14"/>
      <c r="M1349" s="14"/>
      <c r="N1349" s="14"/>
      <c r="O1349" s="14"/>
    </row>
    <row r="1350" spans="1:15" ht="20.25">
      <c r="A1350" s="1529"/>
      <c r="B1350" s="1018"/>
      <c r="C1350" s="1018"/>
      <c r="D1350" s="1019"/>
      <c r="E1350" s="991">
        <f>SUM(E1330:E1349)</f>
        <v>22850000</v>
      </c>
      <c r="F1350" s="1019"/>
      <c r="G1350" s="1087">
        <f>SUM(G1330:G1349)</f>
        <v>1789000</v>
      </c>
      <c r="H1350" s="1019"/>
      <c r="I1350" s="1019"/>
      <c r="J1350" s="1028"/>
      <c r="K1350" s="14"/>
      <c r="L1350" s="14"/>
      <c r="M1350" s="906" t="s">
        <v>80</v>
      </c>
      <c r="N1350" s="906"/>
      <c r="O1350" s="869">
        <f>G1350+O1348</f>
        <v>1844000</v>
      </c>
    </row>
    <row r="1351" spans="1:15">
      <c r="O1351" s="131"/>
    </row>
    <row r="1353" spans="1:15" ht="23.25">
      <c r="A1353" s="1530" t="s">
        <v>465</v>
      </c>
      <c r="B1353" s="1532"/>
      <c r="C1353" s="1532"/>
      <c r="D1353" s="1532"/>
      <c r="E1353" s="1532"/>
      <c r="F1353" s="1532"/>
      <c r="G1353" s="1532"/>
      <c r="H1353" s="1532"/>
      <c r="I1353" s="1532"/>
      <c r="J1353" s="1554"/>
      <c r="K1353" s="1533" t="s">
        <v>2</v>
      </c>
      <c r="L1353" s="1533"/>
      <c r="M1353" s="1533"/>
      <c r="N1353" s="1533"/>
      <c r="O1353" s="1533"/>
    </row>
    <row r="1354" spans="1:15" ht="30.75">
      <c r="A1354" s="126" t="s">
        <v>3</v>
      </c>
      <c r="B1354" s="1" t="s">
        <v>120</v>
      </c>
      <c r="C1354" s="367" t="s">
        <v>4</v>
      </c>
      <c r="D1354" s="1" t="s">
        <v>5</v>
      </c>
      <c r="E1354" s="1" t="s">
        <v>6</v>
      </c>
      <c r="F1354" s="1" t="s">
        <v>7</v>
      </c>
      <c r="G1354" s="1" t="s">
        <v>8</v>
      </c>
      <c r="H1354" s="361" t="s">
        <v>9</v>
      </c>
      <c r="I1354" s="126" t="s">
        <v>10</v>
      </c>
      <c r="J1354" s="3" t="s">
        <v>11</v>
      </c>
      <c r="K1354" s="68" t="s">
        <v>12</v>
      </c>
      <c r="L1354" s="68" t="s">
        <v>5</v>
      </c>
      <c r="M1354" s="68" t="s">
        <v>13</v>
      </c>
      <c r="N1354" s="129" t="s">
        <v>7</v>
      </c>
      <c r="O1354" s="68" t="s">
        <v>14</v>
      </c>
    </row>
    <row r="1355" spans="1:15" ht="15.75">
      <c r="A1355" s="1550" t="s">
        <v>95</v>
      </c>
      <c r="B1355" s="241">
        <v>13673</v>
      </c>
      <c r="C1355" s="138">
        <v>0.1</v>
      </c>
      <c r="D1355" s="137" t="s">
        <v>960</v>
      </c>
      <c r="E1355" s="139">
        <v>1350000</v>
      </c>
      <c r="F1355" s="779">
        <v>0.06</v>
      </c>
      <c r="G1355" s="619">
        <f>E1355*F1355</f>
        <v>81000</v>
      </c>
      <c r="H1355" s="741" t="s">
        <v>30</v>
      </c>
      <c r="I1355" s="739" t="s">
        <v>100</v>
      </c>
      <c r="J1355" s="137"/>
      <c r="K1355" s="135">
        <v>13793</v>
      </c>
      <c r="L1355" s="137" t="s">
        <v>927</v>
      </c>
      <c r="M1355" s="196">
        <v>1700000</v>
      </c>
      <c r="N1355" s="231">
        <v>0.05</v>
      </c>
      <c r="O1355" s="139">
        <f>M1355*N1355</f>
        <v>85000</v>
      </c>
    </row>
    <row r="1356" spans="1:15" ht="15.75">
      <c r="A1356" s="1550"/>
      <c r="B1356" s="241">
        <v>13744</v>
      </c>
      <c r="C1356" s="138">
        <v>0.1</v>
      </c>
      <c r="D1356" s="137" t="s">
        <v>935</v>
      </c>
      <c r="E1356" s="139">
        <v>1100000</v>
      </c>
      <c r="F1356" s="779">
        <v>0.05</v>
      </c>
      <c r="G1356" s="619">
        <f t="shared" ref="G1356:G1361" si="62">E1356*F1356</f>
        <v>55000</v>
      </c>
      <c r="H1356" s="741" t="s">
        <v>311</v>
      </c>
      <c r="I1356" s="739" t="s">
        <v>100</v>
      </c>
      <c r="J1356" s="137"/>
      <c r="K1356" s="241">
        <v>13877</v>
      </c>
      <c r="L1356" s="137" t="s">
        <v>930</v>
      </c>
      <c r="M1356" s="196">
        <v>1700000</v>
      </c>
      <c r="N1356" s="234">
        <v>0.04</v>
      </c>
      <c r="O1356" s="139">
        <f>M1356*N1356</f>
        <v>68000</v>
      </c>
    </row>
    <row r="1357" spans="1:15" ht="15.75">
      <c r="A1357" s="1550"/>
      <c r="B1357" s="135">
        <v>13784</v>
      </c>
      <c r="C1357" s="140">
        <v>0.08</v>
      </c>
      <c r="D1357" s="137" t="s">
        <v>920</v>
      </c>
      <c r="E1357" s="139">
        <v>1650000</v>
      </c>
      <c r="F1357" s="779">
        <v>0.04</v>
      </c>
      <c r="G1357" s="619">
        <f t="shared" si="62"/>
        <v>66000</v>
      </c>
      <c r="H1357" s="741" t="s">
        <v>180</v>
      </c>
      <c r="I1357" s="739" t="s">
        <v>242</v>
      </c>
      <c r="J1357" s="137"/>
      <c r="K1357" s="163"/>
      <c r="L1357" s="896"/>
      <c r="M1357" s="1096"/>
      <c r="N1357" s="260"/>
      <c r="O1357" s="550"/>
    </row>
    <row r="1358" spans="1:15" ht="15.75">
      <c r="A1358" s="1550"/>
      <c r="B1358" s="241">
        <v>13766</v>
      </c>
      <c r="C1358" s="138">
        <v>0.1</v>
      </c>
      <c r="D1358" s="137" t="s">
        <v>961</v>
      </c>
      <c r="E1358" s="139">
        <v>1300000</v>
      </c>
      <c r="F1358" s="779">
        <v>0.06</v>
      </c>
      <c r="G1358" s="619">
        <f t="shared" si="62"/>
        <v>78000</v>
      </c>
      <c r="H1358" s="741" t="s">
        <v>30</v>
      </c>
      <c r="I1358" s="739" t="s">
        <v>100</v>
      </c>
      <c r="J1358" s="137"/>
      <c r="K1358" s="235"/>
      <c r="L1358" s="1117"/>
      <c r="M1358" s="1096"/>
      <c r="N1358" s="260"/>
      <c r="O1358" s="550"/>
    </row>
    <row r="1359" spans="1:15" ht="15.75">
      <c r="A1359" s="1550"/>
      <c r="B1359" s="241">
        <v>13813</v>
      </c>
      <c r="C1359" s="138">
        <v>0.1</v>
      </c>
      <c r="D1359" s="137" t="s">
        <v>962</v>
      </c>
      <c r="E1359" s="139">
        <v>1600000</v>
      </c>
      <c r="F1359" s="779">
        <v>0.1</v>
      </c>
      <c r="G1359" s="619">
        <f t="shared" si="62"/>
        <v>160000</v>
      </c>
      <c r="H1359" s="741" t="s">
        <v>520</v>
      </c>
      <c r="I1359" s="739" t="s">
        <v>242</v>
      </c>
      <c r="J1359" s="137"/>
      <c r="K1359" s="235"/>
      <c r="L1359" s="1117"/>
      <c r="M1359" s="1096"/>
      <c r="N1359" s="260"/>
      <c r="O1359" s="550"/>
    </row>
    <row r="1360" spans="1:15" ht="15.75">
      <c r="A1360" s="1550"/>
      <c r="B1360" s="241">
        <v>13851</v>
      </c>
      <c r="C1360" s="138">
        <v>0.1</v>
      </c>
      <c r="D1360" s="137" t="s">
        <v>963</v>
      </c>
      <c r="E1360" s="139">
        <v>1300000</v>
      </c>
      <c r="F1360" s="779">
        <v>0.06</v>
      </c>
      <c r="G1360" s="619">
        <f t="shared" si="62"/>
        <v>78000</v>
      </c>
      <c r="H1360" s="741" t="s">
        <v>30</v>
      </c>
      <c r="I1360" s="739" t="s">
        <v>100</v>
      </c>
      <c r="J1360" s="137"/>
      <c r="K1360" s="235"/>
      <c r="L1360" s="1117"/>
      <c r="M1360" s="1096"/>
      <c r="N1360" s="260"/>
      <c r="O1360" s="550"/>
    </row>
    <row r="1361" spans="1:15" ht="15.75">
      <c r="A1361" s="1550"/>
      <c r="B1361" s="241">
        <v>13826</v>
      </c>
      <c r="C1361" s="138">
        <v>0.1</v>
      </c>
      <c r="D1361" s="137" t="s">
        <v>922</v>
      </c>
      <c r="E1361" s="139">
        <v>1700000</v>
      </c>
      <c r="F1361" s="779">
        <v>0.05</v>
      </c>
      <c r="G1361" s="619">
        <f t="shared" si="62"/>
        <v>85000</v>
      </c>
      <c r="H1361" s="741" t="s">
        <v>180</v>
      </c>
      <c r="I1361" s="739" t="s">
        <v>242</v>
      </c>
      <c r="J1361" s="137"/>
      <c r="K1361" s="235"/>
      <c r="L1361" s="1117"/>
      <c r="M1361" s="1096" t="s">
        <v>80</v>
      </c>
      <c r="N1361" s="260"/>
      <c r="O1361" s="550">
        <f>SUM(O1355:O1360)</f>
        <v>153000</v>
      </c>
    </row>
    <row r="1362" spans="1:15" ht="15.75">
      <c r="A1362" s="1550"/>
      <c r="B1362" s="503" t="s">
        <v>955</v>
      </c>
      <c r="C1362" s="220"/>
      <c r="D1362" s="225" t="s">
        <v>964</v>
      </c>
      <c r="E1362" s="221"/>
      <c r="F1362" s="877"/>
      <c r="G1362" s="943"/>
      <c r="H1362" s="219"/>
      <c r="I1362" s="784"/>
      <c r="J1362" s="225" t="s">
        <v>965</v>
      </c>
      <c r="K1362" s="235"/>
      <c r="L1362" s="1097"/>
      <c r="M1362" s="1096"/>
      <c r="N1362" s="260"/>
      <c r="O1362" s="550"/>
    </row>
    <row r="1363" spans="1:15" ht="20.25">
      <c r="A1363" s="1550"/>
      <c r="B1363" s="163"/>
      <c r="C1363" s="162"/>
      <c r="D1363" s="165"/>
      <c r="E1363" s="550"/>
      <c r="F1363" s="847"/>
      <c r="G1363" s="895"/>
      <c r="H1363" s="175"/>
      <c r="I1363" s="786"/>
      <c r="J1363" s="165"/>
      <c r="K1363" s="163"/>
      <c r="L1363" s="165"/>
      <c r="M1363" s="906" t="s">
        <v>80</v>
      </c>
      <c r="N1363" s="906"/>
      <c r="O1363" s="869">
        <f>G1364+O1361</f>
        <v>756000</v>
      </c>
    </row>
    <row r="1364" spans="1:15" ht="18">
      <c r="A1364" s="1551"/>
      <c r="B1364" s="38"/>
      <c r="C1364" s="38"/>
      <c r="D1364" s="27"/>
      <c r="E1364" s="1109">
        <f>SUM(E1355:E1363)</f>
        <v>10000000</v>
      </c>
      <c r="F1364" s="27"/>
      <c r="G1364" s="965">
        <f>SUM(G1355:G1363)</f>
        <v>603000</v>
      </c>
      <c r="H1364" s="27"/>
      <c r="I1364" s="966"/>
      <c r="J1364" s="27"/>
    </row>
    <row r="1365" spans="1:15" ht="46.5">
      <c r="A1365" s="984"/>
      <c r="B1365" s="85"/>
      <c r="C1365" s="85"/>
      <c r="D1365" s="32"/>
      <c r="E1365" s="985"/>
      <c r="F1365" s="32"/>
      <c r="G1365" s="986"/>
      <c r="H1365" s="32"/>
      <c r="I1365" s="32"/>
      <c r="J1365" s="32"/>
    </row>
    <row r="1366" spans="1:15" ht="23.25">
      <c r="A1366" s="1539" t="s">
        <v>966</v>
      </c>
      <c r="B1366" s="1539"/>
      <c r="C1366" s="1539"/>
      <c r="D1366" s="1539"/>
      <c r="E1366" s="1539"/>
      <c r="F1366" s="1539"/>
      <c r="G1366" s="1539"/>
      <c r="H1366" s="1539"/>
      <c r="I1366" s="1539"/>
      <c r="J1366" s="1539"/>
      <c r="K1366" s="1533" t="s">
        <v>2</v>
      </c>
      <c r="L1366" s="1533"/>
      <c r="M1366" s="1533"/>
      <c r="N1366" s="1533"/>
      <c r="O1366" s="1533"/>
    </row>
    <row r="1367" spans="1:15" ht="30.75">
      <c r="A1367" s="3" t="s">
        <v>3</v>
      </c>
      <c r="B1367" s="3" t="s">
        <v>120</v>
      </c>
      <c r="C1367" s="2" t="s">
        <v>4</v>
      </c>
      <c r="D1367" s="3" t="s">
        <v>5</v>
      </c>
      <c r="E1367" s="3" t="s">
        <v>6</v>
      </c>
      <c r="F1367" s="3" t="s">
        <v>7</v>
      </c>
      <c r="G1367" s="3" t="s">
        <v>8</v>
      </c>
      <c r="H1367" s="3" t="s">
        <v>9</v>
      </c>
      <c r="I1367" s="3" t="s">
        <v>10</v>
      </c>
      <c r="J1367" s="3" t="s">
        <v>11</v>
      </c>
      <c r="K1367" s="68" t="s">
        <v>12</v>
      </c>
      <c r="L1367" s="68" t="s">
        <v>5</v>
      </c>
      <c r="M1367" s="68" t="s">
        <v>13</v>
      </c>
      <c r="N1367" s="129" t="s">
        <v>7</v>
      </c>
      <c r="O1367" s="68" t="s">
        <v>14</v>
      </c>
    </row>
    <row r="1368" spans="1:15" ht="15.75">
      <c r="A1368" s="1541"/>
      <c r="B1368" s="211" t="s">
        <v>955</v>
      </c>
      <c r="C1368" s="1123"/>
      <c r="D1368" s="225" t="s">
        <v>967</v>
      </c>
      <c r="E1368" s="228"/>
      <c r="F1368" s="877"/>
      <c r="G1368" s="1124"/>
      <c r="H1368" s="209"/>
      <c r="I1368" s="209"/>
      <c r="J1368" s="1125" t="s">
        <v>959</v>
      </c>
      <c r="K1368" s="14"/>
      <c r="L1368" s="14"/>
      <c r="M1368" s="14"/>
      <c r="N1368" s="14"/>
      <c r="O1368" s="14"/>
    </row>
    <row r="1369" spans="1:15" ht="15.75">
      <c r="A1369" s="1552"/>
      <c r="B1369" s="235"/>
      <c r="C1369" s="318"/>
      <c r="D1369" s="1092"/>
      <c r="E1369" s="261"/>
      <c r="F1369" s="162"/>
      <c r="G1369" s="286"/>
      <c r="H1369" s="163"/>
      <c r="I1369" s="163"/>
      <c r="J1369" s="1098"/>
    </row>
    <row r="1370" spans="1:15" ht="15.75">
      <c r="A1370" s="1542"/>
      <c r="B1370" s="215"/>
      <c r="C1370" s="215"/>
      <c r="D1370" s="214"/>
      <c r="E1370" s="332">
        <f>SUM(E1368:E1369)</f>
        <v>0</v>
      </c>
      <c r="F1370" s="214"/>
      <c r="G1370" s="281">
        <f>SUM(G1368:G1369)</f>
        <v>0</v>
      </c>
      <c r="H1370" s="214"/>
      <c r="I1370" s="214"/>
      <c r="J1370" s="214"/>
    </row>
    <row r="1373" spans="1:15" ht="23.25">
      <c r="A1373" s="1530" t="s">
        <v>274</v>
      </c>
      <c r="B1373" s="1531"/>
      <c r="C1373" s="1532"/>
      <c r="D1373" s="1531"/>
      <c r="E1373" s="1531"/>
      <c r="F1373" s="1531"/>
      <c r="G1373" s="1531"/>
      <c r="H1373" s="1532"/>
      <c r="I1373" s="1532"/>
      <c r="J1373" s="1532"/>
      <c r="K1373" s="1533" t="s">
        <v>2</v>
      </c>
      <c r="L1373" s="1533"/>
      <c r="M1373" s="1533"/>
      <c r="N1373" s="1533"/>
      <c r="O1373" s="1533"/>
    </row>
    <row r="1374" spans="1:15" ht="30.75">
      <c r="A1374" s="126" t="s">
        <v>3</v>
      </c>
      <c r="B1374" s="1" t="s">
        <v>120</v>
      </c>
      <c r="C1374" s="367" t="s">
        <v>4</v>
      </c>
      <c r="D1374" s="1" t="s">
        <v>5</v>
      </c>
      <c r="E1374" s="1" t="s">
        <v>6</v>
      </c>
      <c r="F1374" s="1" t="s">
        <v>7</v>
      </c>
      <c r="G1374" s="1" t="s">
        <v>8</v>
      </c>
      <c r="H1374" s="361" t="s">
        <v>9</v>
      </c>
      <c r="I1374" s="1" t="s">
        <v>10</v>
      </c>
      <c r="J1374" s="126" t="s">
        <v>11</v>
      </c>
      <c r="K1374" s="1" t="s">
        <v>12</v>
      </c>
      <c r="L1374" s="1" t="s">
        <v>5</v>
      </c>
      <c r="M1374" s="1" t="s">
        <v>13</v>
      </c>
      <c r="N1374" s="1" t="s">
        <v>7</v>
      </c>
      <c r="O1374" s="1" t="s">
        <v>14</v>
      </c>
    </row>
    <row r="1375" spans="1:15" ht="15.75">
      <c r="A1375" s="14"/>
      <c r="B1375" s="71"/>
      <c r="C1375" s="71"/>
      <c r="D1375" s="14"/>
      <c r="E1375" s="14"/>
      <c r="F1375" s="14"/>
      <c r="G1375" s="71"/>
      <c r="H1375" s="14"/>
      <c r="I1375" s="14"/>
      <c r="J1375" s="954"/>
      <c r="K1375" s="135">
        <v>13685</v>
      </c>
      <c r="L1375" s="137" t="s">
        <v>919</v>
      </c>
      <c r="M1375" s="141">
        <v>1600000</v>
      </c>
      <c r="N1375" s="545"/>
      <c r="O1375" s="545"/>
    </row>
    <row r="1376" spans="1:15" ht="15.75">
      <c r="A1376" s="14"/>
      <c r="B1376" s="71"/>
      <c r="C1376" s="71"/>
      <c r="D1376" s="14"/>
      <c r="E1376" s="14"/>
      <c r="F1376" s="14"/>
      <c r="G1376" s="71"/>
      <c r="H1376" s="14"/>
      <c r="I1376" s="14"/>
      <c r="J1376" s="954"/>
      <c r="K1376" s="241">
        <v>13873</v>
      </c>
      <c r="L1376" s="137" t="s">
        <v>487</v>
      </c>
      <c r="M1376" s="141">
        <v>1600000</v>
      </c>
      <c r="N1376" s="545"/>
      <c r="O1376" s="545"/>
    </row>
    <row r="1377" spans="1:15" ht="15.75">
      <c r="A1377" s="14"/>
      <c r="B1377" s="71"/>
      <c r="C1377" s="71"/>
      <c r="D1377" s="14"/>
      <c r="E1377" s="14"/>
      <c r="F1377" s="14"/>
      <c r="G1377" s="71"/>
      <c r="H1377" s="14"/>
      <c r="I1377" s="14"/>
      <c r="J1377" s="954"/>
      <c r="K1377" s="135">
        <v>13723</v>
      </c>
      <c r="L1377" s="136" t="s">
        <v>941</v>
      </c>
      <c r="M1377" s="141">
        <v>1250000</v>
      </c>
      <c r="N1377" s="545"/>
      <c r="O1377" s="545"/>
    </row>
    <row r="1378" spans="1:15" ht="15.75">
      <c r="A1378" s="31"/>
      <c r="B1378" s="617"/>
      <c r="C1378" s="617"/>
      <c r="D1378" s="31"/>
      <c r="E1378" s="31"/>
      <c r="F1378" s="31"/>
      <c r="G1378" s="617"/>
      <c r="H1378" s="31"/>
      <c r="I1378" s="31"/>
      <c r="J1378" s="1139"/>
      <c r="K1378" s="135">
        <v>13735</v>
      </c>
      <c r="L1378" s="137" t="s">
        <v>942</v>
      </c>
      <c r="M1378" s="141">
        <v>1100000</v>
      </c>
      <c r="N1378" s="545"/>
      <c r="O1378" s="545"/>
    </row>
    <row r="1379" spans="1:15" ht="15.75">
      <c r="A1379" s="14"/>
      <c r="B1379" s="71"/>
      <c r="C1379" s="71"/>
      <c r="D1379" s="14"/>
      <c r="E1379" s="14"/>
      <c r="F1379" s="14"/>
      <c r="G1379" s="71"/>
      <c r="H1379" s="14"/>
      <c r="I1379" s="14"/>
      <c r="J1379" s="954"/>
      <c r="K1379" s="135">
        <v>13811</v>
      </c>
      <c r="L1379" s="137" t="s">
        <v>949</v>
      </c>
      <c r="M1379" s="141">
        <v>1250000</v>
      </c>
      <c r="N1379" s="545"/>
      <c r="O1379" s="545"/>
    </row>
    <row r="1380" spans="1:15" ht="15.75">
      <c r="A1380" s="14"/>
      <c r="B1380" s="71"/>
      <c r="C1380" s="71"/>
      <c r="D1380" s="14"/>
      <c r="E1380" s="14"/>
      <c r="F1380" s="14"/>
      <c r="G1380" s="71"/>
      <c r="H1380" s="14"/>
      <c r="I1380" s="14"/>
      <c r="J1380" s="954"/>
      <c r="K1380" s="241">
        <v>13881</v>
      </c>
      <c r="L1380" s="137" t="s">
        <v>953</v>
      </c>
      <c r="M1380" s="139">
        <v>1200000</v>
      </c>
      <c r="N1380" s="545"/>
      <c r="O1380" s="545"/>
    </row>
    <row r="1381" spans="1:15" ht="15.75">
      <c r="A1381" s="31"/>
      <c r="B1381" s="617"/>
      <c r="C1381" s="617"/>
      <c r="D1381" s="31"/>
      <c r="E1381" s="31"/>
      <c r="F1381" s="31"/>
      <c r="G1381" s="617"/>
      <c r="H1381" s="31"/>
      <c r="I1381" s="31"/>
      <c r="J1381" s="1139"/>
      <c r="K1381" s="135">
        <v>13880</v>
      </c>
      <c r="L1381" s="259" t="s">
        <v>954</v>
      </c>
      <c r="M1381" s="139">
        <v>850000</v>
      </c>
      <c r="N1381" s="545"/>
      <c r="O1381" s="545"/>
    </row>
    <row r="1382" spans="1:15" ht="15.75">
      <c r="A1382" s="14"/>
      <c r="B1382" s="71"/>
      <c r="C1382" s="71"/>
      <c r="D1382" s="14"/>
      <c r="E1382" s="14"/>
      <c r="F1382" s="14"/>
      <c r="G1382" s="71"/>
      <c r="H1382" s="14"/>
      <c r="I1382" s="14"/>
      <c r="J1382" s="14"/>
      <c r="K1382" s="133">
        <v>13673</v>
      </c>
      <c r="L1382" s="259" t="s">
        <v>960</v>
      </c>
      <c r="M1382" s="139">
        <v>1350000</v>
      </c>
      <c r="N1382" s="545"/>
      <c r="O1382" s="545"/>
    </row>
    <row r="1383" spans="1:15" ht="15.75">
      <c r="A1383" s="14"/>
      <c r="B1383" s="71"/>
      <c r="C1383" s="71"/>
      <c r="D1383" s="14"/>
      <c r="E1383" s="14"/>
      <c r="F1383" s="14"/>
      <c r="G1383" s="71"/>
      <c r="H1383" s="14"/>
      <c r="I1383" s="14"/>
      <c r="J1383" s="14"/>
      <c r="K1383" s="133">
        <v>13766</v>
      </c>
      <c r="L1383" s="259" t="s">
        <v>961</v>
      </c>
      <c r="M1383" s="139">
        <v>1300000</v>
      </c>
      <c r="N1383" s="545"/>
      <c r="O1383" s="545"/>
    </row>
    <row r="1384" spans="1:15" ht="15.75">
      <c r="A1384" s="14"/>
      <c r="B1384" s="71"/>
      <c r="C1384" s="71"/>
      <c r="D1384" s="14"/>
      <c r="E1384" s="14"/>
      <c r="F1384" s="14"/>
      <c r="G1384" s="71"/>
      <c r="H1384" s="14"/>
      <c r="I1384" s="14"/>
      <c r="J1384" s="14"/>
      <c r="K1384" s="133">
        <v>13851</v>
      </c>
      <c r="L1384" s="259" t="s">
        <v>968</v>
      </c>
      <c r="M1384" s="139">
        <v>1300000</v>
      </c>
      <c r="N1384" s="545"/>
      <c r="O1384" s="545"/>
    </row>
    <row r="1385" spans="1:15" ht="15.75">
      <c r="L1385" s="1140" t="s">
        <v>80</v>
      </c>
      <c r="M1385" s="1141">
        <f>SUM(M1375:M1381)</f>
        <v>8850000</v>
      </c>
    </row>
    <row r="1387" spans="1:15" ht="18">
      <c r="A1387" s="1535" t="s">
        <v>68</v>
      </c>
      <c r="B1387" s="1535"/>
      <c r="C1387" s="365"/>
      <c r="D1387" s="341">
        <f>E1324+E1350+E1364+E1370</f>
        <v>47650000</v>
      </c>
    </row>
    <row r="1388" spans="1:15">
      <c r="A1388" s="1536" t="s">
        <v>69</v>
      </c>
      <c r="B1388" s="1536"/>
      <c r="C1388" s="22"/>
      <c r="D1388" s="20"/>
    </row>
    <row r="1389" spans="1:15">
      <c r="A1389" s="1537" t="s">
        <v>70</v>
      </c>
      <c r="B1389" s="1537"/>
      <c r="C1389" s="101"/>
      <c r="D1389" s="21"/>
    </row>
    <row r="1393" spans="1:15" ht="31.5">
      <c r="A1393" s="1546" t="s">
        <v>969</v>
      </c>
      <c r="B1393" s="1547"/>
      <c r="C1393" s="1547"/>
      <c r="D1393" s="1547"/>
      <c r="E1393" s="1547"/>
      <c r="F1393" s="1547"/>
      <c r="G1393" s="1547"/>
      <c r="H1393" s="1547"/>
      <c r="I1393" s="1547"/>
      <c r="J1393" s="1547"/>
    </row>
    <row r="1394" spans="1:15" ht="23.25">
      <c r="A1394" s="1548" t="s">
        <v>1</v>
      </c>
      <c r="B1394" s="1532"/>
      <c r="C1394" s="1532"/>
      <c r="D1394" s="1531"/>
      <c r="E1394" s="1532"/>
      <c r="F1394" s="1532"/>
      <c r="G1394" s="1532"/>
      <c r="H1394" s="1532"/>
      <c r="I1394" s="1532"/>
      <c r="J1394" s="1532"/>
      <c r="K1394" s="1533" t="s">
        <v>2</v>
      </c>
      <c r="L1394" s="1533"/>
      <c r="M1394" s="1533"/>
      <c r="N1394" s="1533"/>
      <c r="O1394" s="1533"/>
    </row>
    <row r="1395" spans="1:15" ht="30.75">
      <c r="A1395" s="3" t="s">
        <v>3</v>
      </c>
      <c r="B1395" s="361" t="s">
        <v>120</v>
      </c>
      <c r="C1395" s="360" t="s">
        <v>4</v>
      </c>
      <c r="D1395" s="3" t="s">
        <v>5</v>
      </c>
      <c r="E1395" s="361" t="s">
        <v>6</v>
      </c>
      <c r="F1395" s="1" t="s">
        <v>7</v>
      </c>
      <c r="G1395" s="1" t="s">
        <v>8</v>
      </c>
      <c r="H1395" s="1" t="s">
        <v>9</v>
      </c>
      <c r="I1395" s="1" t="s">
        <v>10</v>
      </c>
      <c r="J1395" s="1" t="s">
        <v>11</v>
      </c>
      <c r="K1395" s="68" t="s">
        <v>12</v>
      </c>
      <c r="L1395" s="68" t="s">
        <v>5</v>
      </c>
      <c r="M1395" s="68" t="s">
        <v>13</v>
      </c>
      <c r="N1395" s="129" t="s">
        <v>7</v>
      </c>
      <c r="O1395" s="68" t="s">
        <v>14</v>
      </c>
    </row>
    <row r="1396" spans="1:15" ht="15.75">
      <c r="A1396" s="1553" t="s">
        <v>970</v>
      </c>
      <c r="B1396" s="241">
        <v>13892</v>
      </c>
      <c r="C1396" s="233">
        <v>0.1</v>
      </c>
      <c r="D1396" s="1002" t="s">
        <v>971</v>
      </c>
      <c r="E1396" s="143">
        <v>1250000</v>
      </c>
      <c r="F1396" s="478">
        <v>0.05</v>
      </c>
      <c r="G1396" s="278">
        <f>E1396*F1396</f>
        <v>62500</v>
      </c>
      <c r="H1396" s="144" t="s">
        <v>30</v>
      </c>
      <c r="I1396" s="144" t="s">
        <v>242</v>
      </c>
      <c r="J1396" s="1102"/>
      <c r="K1396" s="135">
        <v>13908</v>
      </c>
      <c r="L1396" s="1250" t="s">
        <v>972</v>
      </c>
      <c r="M1396" s="141">
        <v>1050000</v>
      </c>
      <c r="N1396" s="231">
        <v>0.04</v>
      </c>
      <c r="O1396" s="139">
        <f>M1396*N1396</f>
        <v>42000</v>
      </c>
    </row>
    <row r="1397" spans="1:15" ht="15.75">
      <c r="A1397" s="1552"/>
      <c r="B1397" s="241">
        <v>13905</v>
      </c>
      <c r="C1397" s="233">
        <v>0.1</v>
      </c>
      <c r="D1397" s="137" t="s">
        <v>973</v>
      </c>
      <c r="E1397" s="143">
        <v>880000</v>
      </c>
      <c r="F1397" s="478">
        <v>0.08</v>
      </c>
      <c r="G1397" s="278">
        <f t="shared" ref="G1397:G1399" si="63">E1397*F1397</f>
        <v>70400</v>
      </c>
      <c r="H1397" s="144" t="s">
        <v>180</v>
      </c>
      <c r="I1397" s="144" t="s">
        <v>100</v>
      </c>
      <c r="J1397" s="1102"/>
      <c r="K1397" s="235"/>
      <c r="L1397" s="165"/>
      <c r="M1397" s="261"/>
      <c r="N1397" s="260"/>
      <c r="O1397" s="27"/>
    </row>
    <row r="1398" spans="1:15" ht="15.75">
      <c r="A1398" s="1552"/>
      <c r="B1398" s="241">
        <v>13923</v>
      </c>
      <c r="C1398" s="331">
        <v>0.08</v>
      </c>
      <c r="D1398" s="259" t="s">
        <v>974</v>
      </c>
      <c r="E1398" s="143">
        <v>1600000</v>
      </c>
      <c r="F1398" s="140">
        <v>0.06</v>
      </c>
      <c r="G1398" s="278">
        <f t="shared" si="63"/>
        <v>96000</v>
      </c>
      <c r="H1398" s="144" t="s">
        <v>180</v>
      </c>
      <c r="I1398" s="144" t="s">
        <v>242</v>
      </c>
      <c r="J1398" s="1102"/>
      <c r="K1398" s="27"/>
      <c r="L1398" s="27"/>
      <c r="M1398" s="27"/>
      <c r="N1398" s="27"/>
      <c r="O1398" s="27"/>
    </row>
    <row r="1399" spans="1:15" ht="15.75">
      <c r="A1399" s="1552"/>
      <c r="B1399" s="241">
        <v>13928</v>
      </c>
      <c r="C1399" s="233">
        <v>0.1</v>
      </c>
      <c r="D1399" s="137" t="s">
        <v>975</v>
      </c>
      <c r="E1399" s="143">
        <v>1300000</v>
      </c>
      <c r="F1399" s="478">
        <v>0.05</v>
      </c>
      <c r="G1399" s="278">
        <f t="shared" si="63"/>
        <v>65000</v>
      </c>
      <c r="H1399" s="144" t="s">
        <v>30</v>
      </c>
      <c r="I1399" s="144" t="s">
        <v>242</v>
      </c>
      <c r="J1399" s="1102"/>
      <c r="K1399" s="27"/>
      <c r="L1399" s="27"/>
      <c r="M1399" s="165" t="s">
        <v>80</v>
      </c>
      <c r="N1399" s="165"/>
      <c r="O1399" s="550">
        <f>SUM(O1396:O1398)</f>
        <v>42000</v>
      </c>
    </row>
    <row r="1400" spans="1:15" ht="15.75">
      <c r="A1400" s="1552"/>
      <c r="B1400" s="211" t="s">
        <v>245</v>
      </c>
      <c r="C1400" s="267"/>
      <c r="D1400" s="757" t="s">
        <v>976</v>
      </c>
      <c r="E1400" s="308"/>
      <c r="F1400" s="348"/>
      <c r="G1400" s="268"/>
      <c r="H1400" s="503"/>
      <c r="I1400" s="503"/>
      <c r="J1400" s="942" t="s">
        <v>977</v>
      </c>
      <c r="K1400" s="27"/>
      <c r="L1400" s="27"/>
      <c r="M1400" s="27"/>
      <c r="N1400" s="27"/>
      <c r="O1400" s="27"/>
    </row>
    <row r="1401" spans="1:15" ht="23.25">
      <c r="A1401" s="1542"/>
      <c r="B1401" s="7"/>
      <c r="C1401" s="7"/>
      <c r="D1401" s="42"/>
      <c r="E1401" s="991">
        <f>SUM(E1396:E1400)</f>
        <v>5030000</v>
      </c>
      <c r="F1401" s="855"/>
      <c r="G1401" s="856">
        <v>296400</v>
      </c>
      <c r="H1401" s="42"/>
      <c r="I1401" s="519"/>
      <c r="J1401" s="6"/>
      <c r="K1401" s="14"/>
      <c r="L1401" s="14"/>
      <c r="M1401" s="1251" t="s">
        <v>80</v>
      </c>
      <c r="N1401" s="1251"/>
      <c r="O1401" s="1252">
        <f>G1401+O1399</f>
        <v>338400</v>
      </c>
    </row>
    <row r="1404" spans="1:15" ht="23.25">
      <c r="A1404" s="1548" t="s">
        <v>56</v>
      </c>
      <c r="B1404" s="1532"/>
      <c r="C1404" s="1532"/>
      <c r="D1404" s="1531"/>
      <c r="E1404" s="1532"/>
      <c r="F1404" s="1532"/>
      <c r="G1404" s="1532"/>
      <c r="H1404" s="1532"/>
      <c r="I1404" s="1532"/>
      <c r="J1404" s="1549"/>
      <c r="K1404" s="1533" t="s">
        <v>2</v>
      </c>
      <c r="L1404" s="1533"/>
      <c r="M1404" s="1533"/>
      <c r="N1404" s="1533"/>
      <c r="O1404" s="1533"/>
    </row>
    <row r="1405" spans="1:15" ht="30.75">
      <c r="A1405" s="3" t="s">
        <v>3</v>
      </c>
      <c r="B1405" s="361" t="s">
        <v>120</v>
      </c>
      <c r="C1405" s="367" t="s">
        <v>4</v>
      </c>
      <c r="D1405" s="3" t="s">
        <v>5</v>
      </c>
      <c r="E1405" s="361" t="s">
        <v>6</v>
      </c>
      <c r="F1405" s="1" t="s">
        <v>7</v>
      </c>
      <c r="G1405" s="1" t="s">
        <v>8</v>
      </c>
      <c r="H1405" s="361" t="s">
        <v>9</v>
      </c>
      <c r="I1405" s="1" t="s">
        <v>10</v>
      </c>
      <c r="J1405" s="126" t="s">
        <v>11</v>
      </c>
      <c r="K1405" s="68" t="s">
        <v>12</v>
      </c>
      <c r="L1405" s="68" t="s">
        <v>5</v>
      </c>
      <c r="M1405" s="68" t="s">
        <v>13</v>
      </c>
      <c r="N1405" s="129" t="s">
        <v>7</v>
      </c>
      <c r="O1405" s="68" t="s">
        <v>14</v>
      </c>
    </row>
    <row r="1406" spans="1:15" ht="15.75">
      <c r="A1406" s="1543" t="s">
        <v>764</v>
      </c>
      <c r="B1406" s="135">
        <v>13884</v>
      </c>
      <c r="C1406" s="188">
        <v>0.1</v>
      </c>
      <c r="D1406" s="137" t="s">
        <v>978</v>
      </c>
      <c r="E1406" s="699">
        <v>700000</v>
      </c>
      <c r="F1406" s="478">
        <v>0.1</v>
      </c>
      <c r="G1406" s="619">
        <f>E1406*F1406</f>
        <v>70000</v>
      </c>
      <c r="H1406" s="995" t="s">
        <v>311</v>
      </c>
      <c r="I1406" s="997" t="s">
        <v>100</v>
      </c>
      <c r="J1406" s="1104"/>
      <c r="K1406" s="241">
        <v>13933</v>
      </c>
      <c r="L1406" s="1057" t="s">
        <v>979</v>
      </c>
      <c r="M1406" s="1058">
        <v>1600000</v>
      </c>
      <c r="N1406" s="231">
        <v>0.05</v>
      </c>
      <c r="O1406" s="139">
        <f>M1406*N1406</f>
        <v>80000</v>
      </c>
    </row>
    <row r="1407" spans="1:15" ht="15.75">
      <c r="A1407" s="1528"/>
      <c r="B1407" s="241">
        <v>13910</v>
      </c>
      <c r="C1407" s="478">
        <v>0.1</v>
      </c>
      <c r="D1407" s="137" t="s">
        <v>980</v>
      </c>
      <c r="E1407" s="699">
        <v>1450000</v>
      </c>
      <c r="F1407" s="478">
        <v>0.1</v>
      </c>
      <c r="G1407" s="619">
        <f t="shared" ref="G1407:G1416" si="64">E1407*F1407</f>
        <v>145000</v>
      </c>
      <c r="H1407" s="995" t="s">
        <v>311</v>
      </c>
      <c r="I1407" s="997" t="s">
        <v>100</v>
      </c>
      <c r="J1407" s="1104"/>
      <c r="K1407" s="241">
        <v>14069</v>
      </c>
      <c r="L1407" s="1057" t="s">
        <v>981</v>
      </c>
      <c r="M1407" s="1058">
        <v>750000</v>
      </c>
      <c r="N1407" s="231">
        <v>0.05</v>
      </c>
      <c r="O1407" s="139">
        <f t="shared" ref="O1407:O1411" si="65">M1407*N1407</f>
        <v>37500</v>
      </c>
    </row>
    <row r="1408" spans="1:15" ht="15.75">
      <c r="A1408" s="1528"/>
      <c r="B1408" s="241">
        <v>13953</v>
      </c>
      <c r="C1408" s="148">
        <v>0.1</v>
      </c>
      <c r="D1408" s="136" t="s">
        <v>982</v>
      </c>
      <c r="E1408" s="699">
        <v>1500000</v>
      </c>
      <c r="F1408" s="478">
        <v>0.1</v>
      </c>
      <c r="G1408" s="619">
        <f t="shared" si="64"/>
        <v>150000</v>
      </c>
      <c r="H1408" s="995" t="s">
        <v>311</v>
      </c>
      <c r="I1408" s="997" t="s">
        <v>242</v>
      </c>
      <c r="J1408" s="1104"/>
      <c r="K1408" s="241">
        <v>14090</v>
      </c>
      <c r="L1408" s="1057" t="s">
        <v>983</v>
      </c>
      <c r="M1408" s="1058">
        <v>1150000</v>
      </c>
      <c r="N1408" s="231">
        <v>0.05</v>
      </c>
      <c r="O1408" s="139">
        <f t="shared" si="65"/>
        <v>57500</v>
      </c>
    </row>
    <row r="1409" spans="1:15" ht="15.75">
      <c r="A1409" s="1528"/>
      <c r="B1409" s="241">
        <v>13932</v>
      </c>
      <c r="C1409" s="148">
        <v>0.1</v>
      </c>
      <c r="D1409" s="259" t="s">
        <v>984</v>
      </c>
      <c r="E1409" s="699">
        <v>1500000</v>
      </c>
      <c r="F1409" s="478">
        <v>0.1</v>
      </c>
      <c r="G1409" s="619">
        <f t="shared" si="64"/>
        <v>150000</v>
      </c>
      <c r="H1409" s="995" t="s">
        <v>311</v>
      </c>
      <c r="I1409" s="1121" t="s">
        <v>100</v>
      </c>
      <c r="J1409" s="1132"/>
      <c r="K1409" s="241">
        <v>13965</v>
      </c>
      <c r="L1409" s="137" t="s">
        <v>985</v>
      </c>
      <c r="M1409" s="1058">
        <v>1150000</v>
      </c>
      <c r="N1409" s="231">
        <v>0.05</v>
      </c>
      <c r="O1409" s="139">
        <f t="shared" si="65"/>
        <v>57500</v>
      </c>
    </row>
    <row r="1410" spans="1:15" ht="15.75">
      <c r="A1410" s="1528"/>
      <c r="B1410" s="241">
        <v>13987</v>
      </c>
      <c r="C1410" s="140">
        <v>0.08</v>
      </c>
      <c r="D1410" s="136" t="s">
        <v>986</v>
      </c>
      <c r="E1410" s="699">
        <v>650000</v>
      </c>
      <c r="F1410" s="140">
        <v>0.08</v>
      </c>
      <c r="G1410" s="619">
        <f t="shared" si="64"/>
        <v>52000</v>
      </c>
      <c r="H1410" s="997" t="s">
        <v>311</v>
      </c>
      <c r="I1410" s="995" t="s">
        <v>242</v>
      </c>
      <c r="J1410" s="998"/>
      <c r="K1410" s="241">
        <v>14092</v>
      </c>
      <c r="L1410" s="259" t="s">
        <v>987</v>
      </c>
      <c r="M1410" s="143">
        <v>950000</v>
      </c>
      <c r="N1410" s="231">
        <v>0.05</v>
      </c>
      <c r="O1410" s="139">
        <f t="shared" si="65"/>
        <v>47500</v>
      </c>
    </row>
    <row r="1411" spans="1:15" ht="15.75">
      <c r="A1411" s="1528"/>
      <c r="B1411" s="241">
        <v>13992</v>
      </c>
      <c r="C1411" s="1118">
        <v>0.1</v>
      </c>
      <c r="D1411" s="259" t="s">
        <v>988</v>
      </c>
      <c r="E1411" s="1044">
        <v>1400000</v>
      </c>
      <c r="F1411" s="1119">
        <v>0.1</v>
      </c>
      <c r="G1411" s="619">
        <f t="shared" si="64"/>
        <v>140000</v>
      </c>
      <c r="H1411" s="1121" t="s">
        <v>311</v>
      </c>
      <c r="I1411" s="1120" t="s">
        <v>989</v>
      </c>
      <c r="J1411" s="1257"/>
      <c r="K1411" s="241">
        <v>14089</v>
      </c>
      <c r="L1411" s="259" t="s">
        <v>990</v>
      </c>
      <c r="M1411" s="143">
        <v>1050000</v>
      </c>
      <c r="N1411" s="231">
        <v>0.05</v>
      </c>
      <c r="O1411" s="139">
        <f t="shared" si="65"/>
        <v>52500</v>
      </c>
    </row>
    <row r="1412" spans="1:15" ht="15.75">
      <c r="A1412" s="1528"/>
      <c r="B1412" s="241">
        <v>14036</v>
      </c>
      <c r="C1412" s="1118">
        <v>0.1</v>
      </c>
      <c r="D1412" s="259" t="s">
        <v>991</v>
      </c>
      <c r="E1412" s="1044">
        <v>1800000</v>
      </c>
      <c r="F1412" s="1119">
        <v>0.1</v>
      </c>
      <c r="G1412" s="619">
        <f t="shared" si="64"/>
        <v>180000</v>
      </c>
      <c r="H1412" s="995" t="s">
        <v>311</v>
      </c>
      <c r="I1412" s="995" t="s">
        <v>989</v>
      </c>
      <c r="J1412" s="998"/>
      <c r="K1412" s="1253"/>
      <c r="L1412" s="27"/>
      <c r="M1412" s="27"/>
      <c r="N1412" s="27"/>
      <c r="O1412" s="27"/>
    </row>
    <row r="1413" spans="1:15" ht="15.75">
      <c r="A1413" s="1528"/>
      <c r="B1413" s="241">
        <v>14031</v>
      </c>
      <c r="C1413" s="1118">
        <v>0.1</v>
      </c>
      <c r="D1413" s="259" t="s">
        <v>238</v>
      </c>
      <c r="E1413" s="1044">
        <v>1200000</v>
      </c>
      <c r="F1413" s="1119">
        <v>0.06</v>
      </c>
      <c r="G1413" s="619">
        <f t="shared" si="64"/>
        <v>72000</v>
      </c>
      <c r="H1413" s="995" t="s">
        <v>30</v>
      </c>
      <c r="I1413" s="995" t="s">
        <v>100</v>
      </c>
      <c r="J1413" s="998"/>
      <c r="K1413" s="1253"/>
      <c r="L1413" s="27"/>
      <c r="M1413" s="27"/>
      <c r="N1413" s="27"/>
      <c r="O1413" s="27"/>
    </row>
    <row r="1414" spans="1:15" ht="15.75">
      <c r="A1414" s="1528"/>
      <c r="B1414" s="241">
        <v>14054</v>
      </c>
      <c r="C1414" s="1262">
        <v>0.1</v>
      </c>
      <c r="D1414" s="1024" t="s">
        <v>992</v>
      </c>
      <c r="E1414" s="1044">
        <v>1400000</v>
      </c>
      <c r="F1414" s="1119">
        <v>0.06</v>
      </c>
      <c r="G1414" s="619">
        <f t="shared" si="64"/>
        <v>84000</v>
      </c>
      <c r="H1414" s="995" t="s">
        <v>30</v>
      </c>
      <c r="I1414" s="995" t="s">
        <v>242</v>
      </c>
      <c r="J1414" s="998"/>
      <c r="K1414" s="1253"/>
      <c r="L1414" s="27"/>
      <c r="M1414" s="27"/>
      <c r="N1414" s="27"/>
      <c r="O1414" s="27"/>
    </row>
    <row r="1415" spans="1:15" ht="15.75">
      <c r="A1415" s="1528"/>
      <c r="B1415" s="241">
        <v>14070</v>
      </c>
      <c r="C1415" s="1262">
        <v>0.1</v>
      </c>
      <c r="D1415" s="1024" t="s">
        <v>993</v>
      </c>
      <c r="E1415" s="1044">
        <v>3700000</v>
      </c>
      <c r="F1415" s="1119">
        <v>0.05</v>
      </c>
      <c r="G1415" s="619">
        <f t="shared" si="64"/>
        <v>185000</v>
      </c>
      <c r="H1415" s="995" t="s">
        <v>741</v>
      </c>
      <c r="I1415" s="995" t="s">
        <v>100</v>
      </c>
      <c r="J1415" s="998"/>
      <c r="K1415" s="1253"/>
      <c r="L1415" s="27"/>
      <c r="M1415" s="27"/>
      <c r="N1415" s="27"/>
      <c r="O1415" s="27"/>
    </row>
    <row r="1416" spans="1:15" ht="15.75">
      <c r="A1416" s="1528"/>
      <c r="B1416" s="241">
        <v>14077</v>
      </c>
      <c r="C1416" s="1262">
        <v>0.1</v>
      </c>
      <c r="D1416" s="1024" t="s">
        <v>267</v>
      </c>
      <c r="E1416" s="1044">
        <v>1400000</v>
      </c>
      <c r="F1416" s="1119">
        <v>0.06</v>
      </c>
      <c r="G1416" s="619">
        <f t="shared" si="64"/>
        <v>84000</v>
      </c>
      <c r="H1416" s="995" t="s">
        <v>30</v>
      </c>
      <c r="I1416" s="995" t="s">
        <v>989</v>
      </c>
      <c r="J1416" s="998"/>
      <c r="K1416" s="1253"/>
      <c r="L1416" s="27"/>
      <c r="M1416" s="27"/>
      <c r="N1416" s="27"/>
      <c r="O1416" s="27"/>
    </row>
    <row r="1417" spans="1:15" ht="15.75">
      <c r="A1417" s="1528"/>
      <c r="B1417" s="209" t="s">
        <v>245</v>
      </c>
      <c r="C1417" s="1247"/>
      <c r="D1417" s="225" t="s">
        <v>994</v>
      </c>
      <c r="E1417" s="1248"/>
      <c r="F1417" s="1249"/>
      <c r="G1417" s="1256"/>
      <c r="H1417" s="1011"/>
      <c r="I1417" s="1011"/>
      <c r="J1417" s="567" t="s">
        <v>995</v>
      </c>
      <c r="K1417" s="27"/>
      <c r="L1417" s="27"/>
      <c r="M1417" s="27"/>
      <c r="N1417" s="27"/>
      <c r="O1417" s="27"/>
    </row>
    <row r="1418" spans="1:15" ht="15.75">
      <c r="A1418" s="1528"/>
      <c r="B1418" s="209" t="s">
        <v>245</v>
      </c>
      <c r="C1418" s="1247"/>
      <c r="D1418" s="225" t="s">
        <v>996</v>
      </c>
      <c r="E1418" s="749"/>
      <c r="F1418" s="348"/>
      <c r="G1418" s="943"/>
      <c r="H1418" s="1011"/>
      <c r="I1418" s="1006"/>
      <c r="J1418" s="1258" t="s">
        <v>997</v>
      </c>
      <c r="K1418" s="27"/>
      <c r="L1418" s="27"/>
      <c r="M1418" s="165" t="s">
        <v>80</v>
      </c>
      <c r="N1418" s="27"/>
      <c r="O1418" s="550">
        <f>SUM(O1406:O1417)</f>
        <v>332500</v>
      </c>
    </row>
    <row r="1419" spans="1:15" ht="15.75">
      <c r="A1419" s="1528"/>
      <c r="B1419" s="209" t="s">
        <v>245</v>
      </c>
      <c r="C1419" s="348"/>
      <c r="D1419" s="225" t="s">
        <v>998</v>
      </c>
      <c r="E1419" s="749"/>
      <c r="F1419" s="348"/>
      <c r="G1419" s="943"/>
      <c r="H1419" s="1011"/>
      <c r="I1419" s="1006"/>
      <c r="J1419" s="1258"/>
      <c r="K1419" s="27"/>
      <c r="L1419" s="27"/>
      <c r="M1419" s="27"/>
      <c r="N1419" s="27"/>
      <c r="O1419" s="27"/>
    </row>
    <row r="1420" spans="1:15" ht="23.25">
      <c r="A1420" s="1528"/>
      <c r="B1420" s="163"/>
      <c r="C1420" s="788"/>
      <c r="D1420" s="165"/>
      <c r="E1420" s="1272">
        <f>SUM(E1406:E1419)</f>
        <v>16700000</v>
      </c>
      <c r="F1420" s="659"/>
      <c r="G1420" s="895">
        <f>SUM(G1406:G1419)</f>
        <v>1312000</v>
      </c>
      <c r="H1420" s="999"/>
      <c r="I1420" s="1093"/>
      <c r="J1420" s="1134"/>
      <c r="K1420" s="27"/>
      <c r="L1420" s="27"/>
      <c r="M1420" s="1252" t="s">
        <v>80</v>
      </c>
      <c r="N1420" s="680"/>
      <c r="O1420" s="1252">
        <f>G1420+O1418</f>
        <v>1644500</v>
      </c>
    </row>
    <row r="1423" spans="1:15" ht="23.25">
      <c r="A1423" s="1530" t="s">
        <v>465</v>
      </c>
      <c r="B1423" s="1532"/>
      <c r="C1423" s="1532"/>
      <c r="D1423" s="1532"/>
      <c r="E1423" s="1532"/>
      <c r="F1423" s="1532"/>
      <c r="G1423" s="1532"/>
      <c r="H1423" s="1532"/>
      <c r="I1423" s="1532"/>
      <c r="J1423" s="1554"/>
      <c r="K1423" s="1555" t="s">
        <v>2</v>
      </c>
      <c r="L1423" s="1555"/>
      <c r="M1423" s="1533"/>
      <c r="N1423" s="1533"/>
      <c r="O1423" s="1533"/>
    </row>
    <row r="1424" spans="1:15" ht="30.75">
      <c r="A1424" s="126" t="s">
        <v>3</v>
      </c>
      <c r="B1424" s="1" t="s">
        <v>120</v>
      </c>
      <c r="C1424" s="367" t="s">
        <v>4</v>
      </c>
      <c r="D1424" s="1" t="s">
        <v>5</v>
      </c>
      <c r="E1424" s="1" t="s">
        <v>6</v>
      </c>
      <c r="F1424" s="1" t="s">
        <v>7</v>
      </c>
      <c r="G1424" s="1" t="s">
        <v>8</v>
      </c>
      <c r="H1424" s="361" t="s">
        <v>9</v>
      </c>
      <c r="I1424" s="126" t="s">
        <v>10</v>
      </c>
      <c r="J1424" s="1283" t="s">
        <v>11</v>
      </c>
      <c r="K1424" s="3" t="s">
        <v>12</v>
      </c>
      <c r="L1424" s="3" t="s">
        <v>5</v>
      </c>
      <c r="M1424" s="657" t="s">
        <v>13</v>
      </c>
      <c r="N1424" s="129" t="s">
        <v>7</v>
      </c>
      <c r="O1424" s="68" t="s">
        <v>14</v>
      </c>
    </row>
    <row r="1425" spans="1:15" ht="15.75" customHeight="1">
      <c r="A1425" s="1550" t="s">
        <v>95</v>
      </c>
      <c r="B1425" s="241">
        <v>13908</v>
      </c>
      <c r="C1425" s="138">
        <v>0.1</v>
      </c>
      <c r="D1425" s="1024" t="s">
        <v>972</v>
      </c>
      <c r="E1425" s="139">
        <v>1100000</v>
      </c>
      <c r="F1425" s="779">
        <v>0.05</v>
      </c>
      <c r="G1425" s="619">
        <f>E1425*F1425</f>
        <v>55000</v>
      </c>
      <c r="H1425" s="741" t="s">
        <v>180</v>
      </c>
      <c r="I1425" s="739" t="s">
        <v>989</v>
      </c>
      <c r="J1425" s="137"/>
      <c r="K1425" s="241">
        <v>14128</v>
      </c>
      <c r="L1425" s="1057" t="s">
        <v>999</v>
      </c>
      <c r="M1425" s="196">
        <v>1700000</v>
      </c>
      <c r="N1425" s="231">
        <v>0.05</v>
      </c>
      <c r="O1425" s="139">
        <f>M1425*N1425</f>
        <v>85000</v>
      </c>
    </row>
    <row r="1426" spans="1:15" ht="15.75" customHeight="1">
      <c r="A1426" s="1550"/>
      <c r="B1426" s="241">
        <v>13919</v>
      </c>
      <c r="C1426" s="138">
        <v>0.1</v>
      </c>
      <c r="D1426" s="137" t="s">
        <v>1000</v>
      </c>
      <c r="E1426" s="139">
        <v>1100000</v>
      </c>
      <c r="F1426" s="779">
        <v>0.1</v>
      </c>
      <c r="G1426" s="619">
        <f t="shared" ref="G1426:G1433" si="66">E1426*F1426</f>
        <v>110000</v>
      </c>
      <c r="H1426" s="741" t="s">
        <v>520</v>
      </c>
      <c r="I1426" s="739" t="s">
        <v>100</v>
      </c>
      <c r="J1426" s="137"/>
      <c r="K1426" s="163"/>
      <c r="L1426" s="1094"/>
      <c r="M1426" s="1095"/>
      <c r="N1426" s="260"/>
      <c r="O1426" s="550"/>
    </row>
    <row r="1427" spans="1:15" ht="15.75" customHeight="1">
      <c r="A1427" s="1550"/>
      <c r="B1427" s="241">
        <v>13965</v>
      </c>
      <c r="C1427" s="478">
        <v>0.1</v>
      </c>
      <c r="D1427" s="137" t="s">
        <v>985</v>
      </c>
      <c r="E1427" s="139">
        <v>1150000</v>
      </c>
      <c r="F1427" s="779">
        <v>0.05</v>
      </c>
      <c r="G1427" s="619">
        <f t="shared" si="66"/>
        <v>57500</v>
      </c>
      <c r="H1427" s="741" t="s">
        <v>311</v>
      </c>
      <c r="I1427" s="739" t="s">
        <v>989</v>
      </c>
      <c r="J1427" s="137"/>
      <c r="K1427" s="163"/>
      <c r="L1427" s="896"/>
      <c r="M1427" s="1096"/>
      <c r="N1427" s="260"/>
      <c r="O1427" s="550"/>
    </row>
    <row r="1428" spans="1:15" ht="15.75" customHeight="1">
      <c r="A1428" s="1550"/>
      <c r="B1428" s="241">
        <v>13985</v>
      </c>
      <c r="C1428" s="138">
        <v>0.1</v>
      </c>
      <c r="D1428" s="136" t="s">
        <v>1001</v>
      </c>
      <c r="E1428" s="139">
        <v>1150000</v>
      </c>
      <c r="F1428" s="779">
        <v>0.1</v>
      </c>
      <c r="G1428" s="619">
        <f t="shared" si="66"/>
        <v>115000</v>
      </c>
      <c r="H1428" s="741" t="s">
        <v>520</v>
      </c>
      <c r="I1428" s="739" t="s">
        <v>242</v>
      </c>
      <c r="J1428" s="137"/>
      <c r="K1428" s="235"/>
      <c r="L1428" s="1117"/>
      <c r="M1428" s="1096"/>
      <c r="N1428" s="260"/>
      <c r="O1428" s="550"/>
    </row>
    <row r="1429" spans="1:15" ht="15.75" customHeight="1">
      <c r="A1429" s="1550"/>
      <c r="B1429" s="241">
        <v>14012</v>
      </c>
      <c r="C1429" s="138">
        <v>0.1</v>
      </c>
      <c r="D1429" s="137" t="s">
        <v>1002</v>
      </c>
      <c r="E1429" s="139">
        <v>1100000</v>
      </c>
      <c r="F1429" s="779">
        <v>0.1</v>
      </c>
      <c r="G1429" s="619">
        <f t="shared" si="66"/>
        <v>110000</v>
      </c>
      <c r="H1429" s="741" t="s">
        <v>520</v>
      </c>
      <c r="I1429" s="739" t="s">
        <v>100</v>
      </c>
      <c r="J1429" s="137"/>
      <c r="K1429" s="272"/>
      <c r="L1429" s="181"/>
      <c r="M1429" s="1113"/>
      <c r="N1429" s="1284"/>
      <c r="O1429" s="959"/>
    </row>
    <row r="1430" spans="1:15" ht="15.75" customHeight="1">
      <c r="A1430" s="1550"/>
      <c r="B1430" s="241">
        <v>14023</v>
      </c>
      <c r="C1430" s="138">
        <v>0.1</v>
      </c>
      <c r="D1430" s="136" t="s">
        <v>1003</v>
      </c>
      <c r="E1430" s="139">
        <v>1600000</v>
      </c>
      <c r="F1430" s="779">
        <v>0.1</v>
      </c>
      <c r="G1430" s="619">
        <f t="shared" si="66"/>
        <v>160000</v>
      </c>
      <c r="H1430" s="741" t="s">
        <v>520</v>
      </c>
      <c r="I1430" s="739" t="s">
        <v>242</v>
      </c>
      <c r="J1430" s="755"/>
      <c r="K1430" s="27"/>
      <c r="L1430" s="27"/>
      <c r="M1430" s="27"/>
      <c r="N1430" s="27"/>
      <c r="O1430" s="27"/>
    </row>
    <row r="1431" spans="1:15" ht="15.75" customHeight="1">
      <c r="A1431" s="1550"/>
      <c r="B1431" s="241">
        <v>14078</v>
      </c>
      <c r="C1431" s="138">
        <v>0.1</v>
      </c>
      <c r="D1431" s="136" t="s">
        <v>1004</v>
      </c>
      <c r="E1431" s="139">
        <v>1750000</v>
      </c>
      <c r="F1431" s="779">
        <v>0.1</v>
      </c>
      <c r="G1431" s="619">
        <f t="shared" si="66"/>
        <v>175000</v>
      </c>
      <c r="H1431" s="741" t="s">
        <v>520</v>
      </c>
      <c r="I1431" s="739" t="s">
        <v>989</v>
      </c>
      <c r="J1431" s="755"/>
      <c r="K1431" s="27"/>
      <c r="L1431" s="27"/>
      <c r="M1431" s="27"/>
      <c r="N1431" s="27"/>
      <c r="O1431" s="27"/>
    </row>
    <row r="1432" spans="1:15" ht="15.75" customHeight="1">
      <c r="A1432" s="1550"/>
      <c r="B1432" s="241">
        <v>14017</v>
      </c>
      <c r="C1432" s="138">
        <v>0.1</v>
      </c>
      <c r="D1432" s="137" t="s">
        <v>529</v>
      </c>
      <c r="E1432" s="139">
        <v>1100000</v>
      </c>
      <c r="F1432" s="779">
        <v>0.06</v>
      </c>
      <c r="G1432" s="619">
        <f t="shared" si="66"/>
        <v>66000</v>
      </c>
      <c r="H1432" s="741" t="s">
        <v>30</v>
      </c>
      <c r="I1432" s="739" t="s">
        <v>100</v>
      </c>
      <c r="J1432" s="755"/>
      <c r="K1432" s="27"/>
      <c r="L1432" s="27"/>
      <c r="M1432" s="27"/>
      <c r="N1432" s="27"/>
      <c r="O1432" s="27"/>
    </row>
    <row r="1433" spans="1:15" ht="15.75" customHeight="1">
      <c r="A1433" s="1550"/>
      <c r="B1433" s="241">
        <v>14093</v>
      </c>
      <c r="C1433" s="140">
        <v>0.08</v>
      </c>
      <c r="D1433" s="137" t="s">
        <v>1005</v>
      </c>
      <c r="E1433" s="139">
        <v>1600000</v>
      </c>
      <c r="F1433" s="234">
        <v>0.04</v>
      </c>
      <c r="G1433" s="619">
        <f t="shared" si="66"/>
        <v>64000</v>
      </c>
      <c r="H1433" s="741" t="s">
        <v>1006</v>
      </c>
      <c r="I1433" s="739" t="s">
        <v>242</v>
      </c>
      <c r="J1433" s="755"/>
      <c r="K1433" s="27"/>
      <c r="L1433" s="27"/>
      <c r="M1433" s="165" t="s">
        <v>80</v>
      </c>
      <c r="N1433" s="27"/>
      <c r="O1433" s="550">
        <f>SUM(O1425:O1432)</f>
        <v>85000</v>
      </c>
    </row>
    <row r="1434" spans="1:15" ht="15.75" customHeight="1">
      <c r="A1434" s="1550"/>
      <c r="B1434" s="211" t="s">
        <v>245</v>
      </c>
      <c r="C1434" s="220"/>
      <c r="D1434" s="225" t="s">
        <v>1007</v>
      </c>
      <c r="E1434" s="221"/>
      <c r="F1434" s="877"/>
      <c r="G1434" s="943"/>
      <c r="H1434" s="219"/>
      <c r="I1434" s="784"/>
      <c r="J1434" s="946" t="s">
        <v>1008</v>
      </c>
      <c r="K1434" s="27"/>
      <c r="L1434" s="27"/>
      <c r="M1434" s="27"/>
      <c r="N1434" s="27"/>
      <c r="O1434" s="27"/>
    </row>
    <row r="1435" spans="1:15" ht="22.5" customHeight="1">
      <c r="A1435" s="1551"/>
      <c r="B1435" s="38"/>
      <c r="C1435" s="38"/>
      <c r="D1435" s="27"/>
      <c r="E1435" s="1109">
        <f>SUM(E1425:E1433)</f>
        <v>11650000</v>
      </c>
      <c r="F1435" s="27"/>
      <c r="G1435" s="965">
        <f>SUM(G1425:G1434)</f>
        <v>912500</v>
      </c>
      <c r="H1435" s="27"/>
      <c r="I1435" s="966"/>
      <c r="J1435" s="966"/>
      <c r="K1435" s="27"/>
      <c r="L1435" s="27"/>
      <c r="M1435" s="1252" t="s">
        <v>80</v>
      </c>
      <c r="N1435" s="680"/>
      <c r="O1435" s="1252">
        <f>G1435+O1433</f>
        <v>997500</v>
      </c>
    </row>
    <row r="1436" spans="1:15" ht="46.5">
      <c r="A1436" s="984"/>
      <c r="B1436" s="85"/>
      <c r="C1436" s="85"/>
      <c r="D1436" s="32"/>
      <c r="E1436" s="985"/>
      <c r="F1436" s="32"/>
      <c r="G1436" s="986"/>
      <c r="H1436" s="32"/>
      <c r="I1436" s="32"/>
      <c r="J1436" s="32"/>
    </row>
    <row r="1437" spans="1:15" ht="23.25">
      <c r="A1437" s="1539" t="s">
        <v>966</v>
      </c>
      <c r="B1437" s="1539"/>
      <c r="C1437" s="1539"/>
      <c r="D1437" s="1539"/>
      <c r="E1437" s="1539"/>
      <c r="F1437" s="1539"/>
      <c r="G1437" s="1539"/>
      <c r="H1437" s="1539"/>
      <c r="I1437" s="1539"/>
      <c r="J1437" s="1539"/>
      <c r="K1437" s="1533" t="s">
        <v>2</v>
      </c>
      <c r="L1437" s="1533"/>
      <c r="M1437" s="1533"/>
      <c r="N1437" s="1533"/>
      <c r="O1437" s="1533"/>
    </row>
    <row r="1438" spans="1:15" ht="30.75">
      <c r="A1438" s="3" t="s">
        <v>3</v>
      </c>
      <c r="B1438" s="3" t="s">
        <v>120</v>
      </c>
      <c r="C1438" s="2" t="s">
        <v>4</v>
      </c>
      <c r="D1438" s="3" t="s">
        <v>5</v>
      </c>
      <c r="E1438" s="3" t="s">
        <v>6</v>
      </c>
      <c r="F1438" s="3" t="s">
        <v>7</v>
      </c>
      <c r="G1438" s="3" t="s">
        <v>8</v>
      </c>
      <c r="H1438" s="3" t="s">
        <v>9</v>
      </c>
      <c r="I1438" s="3" t="s">
        <v>10</v>
      </c>
      <c r="J1438" s="3" t="s">
        <v>11</v>
      </c>
      <c r="K1438" s="68" t="s">
        <v>12</v>
      </c>
      <c r="L1438" s="68" t="s">
        <v>5</v>
      </c>
      <c r="M1438" s="68" t="s">
        <v>13</v>
      </c>
      <c r="N1438" s="129" t="s">
        <v>7</v>
      </c>
      <c r="O1438" s="68" t="s">
        <v>14</v>
      </c>
    </row>
    <row r="1439" spans="1:15" ht="15.75">
      <c r="A1439" s="1541" t="s">
        <v>1009</v>
      </c>
      <c r="B1439" s="241">
        <v>13933</v>
      </c>
      <c r="C1439" s="583">
        <v>0.1</v>
      </c>
      <c r="D1439" s="1057" t="s">
        <v>979</v>
      </c>
      <c r="E1439" s="1058">
        <v>1600000</v>
      </c>
      <c r="F1439" s="779">
        <v>0.04</v>
      </c>
      <c r="G1439" s="535">
        <f>E1439*F1439</f>
        <v>64000</v>
      </c>
      <c r="H1439" s="241" t="s">
        <v>311</v>
      </c>
      <c r="I1439" s="241" t="s">
        <v>100</v>
      </c>
      <c r="J1439" s="1086"/>
      <c r="K1439" s="14"/>
      <c r="L1439" s="14"/>
      <c r="M1439" s="14"/>
      <c r="N1439" s="14"/>
      <c r="O1439" s="14"/>
    </row>
    <row r="1440" spans="1:15" ht="15.75">
      <c r="A1440" s="1541"/>
      <c r="B1440" s="241">
        <v>14069</v>
      </c>
      <c r="C1440" s="583">
        <v>0.1</v>
      </c>
      <c r="D1440" s="1057" t="s">
        <v>981</v>
      </c>
      <c r="E1440" s="1058">
        <v>750000</v>
      </c>
      <c r="F1440" s="779">
        <v>0.04</v>
      </c>
      <c r="G1440" s="535">
        <f t="shared" ref="G1440:G1441" si="67">E1440*F1440</f>
        <v>30000</v>
      </c>
      <c r="H1440" s="241" t="s">
        <v>311</v>
      </c>
      <c r="I1440" s="241" t="s">
        <v>242</v>
      </c>
      <c r="J1440" s="1086"/>
      <c r="K1440" s="14"/>
      <c r="L1440" s="14"/>
      <c r="M1440" s="14"/>
      <c r="N1440" s="14"/>
      <c r="O1440" s="14"/>
    </row>
    <row r="1441" spans="1:15" ht="15.75">
      <c r="A1441" s="1541"/>
      <c r="B1441" s="241">
        <v>14090</v>
      </c>
      <c r="C1441" s="583">
        <v>0.1</v>
      </c>
      <c r="D1441" s="1057" t="s">
        <v>983</v>
      </c>
      <c r="E1441" s="1058">
        <v>1150000</v>
      </c>
      <c r="F1441" s="779">
        <v>0.04</v>
      </c>
      <c r="G1441" s="535">
        <f t="shared" si="67"/>
        <v>46000</v>
      </c>
      <c r="H1441" s="241" t="s">
        <v>311</v>
      </c>
      <c r="I1441" s="241" t="s">
        <v>989</v>
      </c>
      <c r="J1441" s="1086"/>
      <c r="K1441" s="14"/>
      <c r="L1441" s="14"/>
      <c r="M1441" s="14"/>
      <c r="N1441" s="14"/>
      <c r="O1441" s="14"/>
    </row>
    <row r="1442" spans="1:15" ht="15.75">
      <c r="A1442" s="1552"/>
      <c r="B1442" s="209" t="s">
        <v>297</v>
      </c>
      <c r="C1442" s="267"/>
      <c r="D1442" s="1075" t="s">
        <v>1010</v>
      </c>
      <c r="E1442" s="308"/>
      <c r="F1442" s="220"/>
      <c r="G1442" s="268"/>
      <c r="H1442" s="211"/>
      <c r="I1442" s="211"/>
      <c r="J1442" s="1107" t="s">
        <v>1011</v>
      </c>
      <c r="K1442" s="14"/>
      <c r="L1442" s="14"/>
      <c r="M1442" s="14"/>
      <c r="N1442" s="14"/>
      <c r="O1442" s="14"/>
    </row>
    <row r="1443" spans="1:15" ht="23.25">
      <c r="A1443" s="1542"/>
      <c r="B1443" s="215"/>
      <c r="C1443" s="215"/>
      <c r="D1443" s="214"/>
      <c r="E1443" s="1109">
        <f>SUM(E1439:E1442)</f>
        <v>3500000</v>
      </c>
      <c r="F1443" s="214"/>
      <c r="G1443" s="965">
        <f>SUM(G1439:G1442)</f>
        <v>140000</v>
      </c>
      <c r="H1443" s="214"/>
      <c r="I1443" s="214"/>
      <c r="J1443" s="1108"/>
      <c r="K1443" s="14"/>
      <c r="L1443" s="14"/>
      <c r="M1443" s="1251" t="s">
        <v>80</v>
      </c>
      <c r="N1443" s="680"/>
      <c r="O1443" s="1252">
        <f>G1443</f>
        <v>140000</v>
      </c>
    </row>
    <row r="1446" spans="1:15" ht="23.25">
      <c r="A1446" s="1539" t="s">
        <v>1012</v>
      </c>
      <c r="B1446" s="1540"/>
      <c r="C1446" s="1540"/>
      <c r="D1446" s="1540"/>
      <c r="E1446" s="1540"/>
      <c r="F1446" s="1540"/>
      <c r="G1446" s="1540"/>
      <c r="H1446" s="1540"/>
      <c r="I1446" s="1540"/>
      <c r="J1446" s="1540"/>
      <c r="K1446" s="1555" t="s">
        <v>2</v>
      </c>
      <c r="L1446" s="1533"/>
      <c r="M1446" s="1533"/>
      <c r="N1446" s="1533"/>
      <c r="O1446" s="1533"/>
    </row>
    <row r="1447" spans="1:15" ht="30.75">
      <c r="A1447" s="126" t="s">
        <v>3</v>
      </c>
      <c r="B1447" s="3" t="s">
        <v>120</v>
      </c>
      <c r="C1447" s="2" t="s">
        <v>4</v>
      </c>
      <c r="D1447" s="3" t="s">
        <v>5</v>
      </c>
      <c r="E1447" s="3" t="s">
        <v>6</v>
      </c>
      <c r="F1447" s="3" t="s">
        <v>7</v>
      </c>
      <c r="G1447" s="3" t="s">
        <v>8</v>
      </c>
      <c r="H1447" s="3" t="s">
        <v>9</v>
      </c>
      <c r="I1447" s="3" t="s">
        <v>10</v>
      </c>
      <c r="J1447" s="1283" t="s">
        <v>11</v>
      </c>
      <c r="K1447" s="3" t="s">
        <v>12</v>
      </c>
      <c r="L1447" s="657" t="s">
        <v>5</v>
      </c>
      <c r="M1447" s="68" t="s">
        <v>13</v>
      </c>
      <c r="N1447" s="129" t="s">
        <v>7</v>
      </c>
      <c r="O1447" s="68" t="s">
        <v>14</v>
      </c>
    </row>
    <row r="1448" spans="1:15" ht="15.75">
      <c r="A1448" s="1541" t="s">
        <v>1013</v>
      </c>
      <c r="B1448" s="135">
        <v>14027</v>
      </c>
      <c r="C1448" s="138">
        <v>0.1</v>
      </c>
      <c r="D1448" s="136" t="s">
        <v>1014</v>
      </c>
      <c r="E1448" s="143">
        <v>900000</v>
      </c>
      <c r="F1448" s="779">
        <v>0.08</v>
      </c>
      <c r="G1448" s="535">
        <f>E1448*F1448</f>
        <v>72000</v>
      </c>
      <c r="H1448" s="135" t="s">
        <v>1015</v>
      </c>
      <c r="I1448" s="135" t="s">
        <v>242</v>
      </c>
      <c r="J1448" s="1273"/>
      <c r="K1448" s="135">
        <v>13962</v>
      </c>
      <c r="L1448" s="1285" t="s">
        <v>1016</v>
      </c>
      <c r="M1448" s="146">
        <v>1800000</v>
      </c>
      <c r="N1448" s="232">
        <v>0.04</v>
      </c>
      <c r="O1448" s="178">
        <f>M1448*N1448</f>
        <v>72000</v>
      </c>
    </row>
    <row r="1449" spans="1:15" ht="15.75">
      <c r="A1449" s="1541"/>
      <c r="B1449" s="135">
        <v>14026</v>
      </c>
      <c r="C1449" s="138">
        <v>0.1</v>
      </c>
      <c r="D1449" s="136" t="s">
        <v>1017</v>
      </c>
      <c r="E1449" s="143">
        <v>1600000</v>
      </c>
      <c r="F1449" s="779">
        <v>0.05</v>
      </c>
      <c r="G1449" s="535">
        <f t="shared" ref="G1449:G1452" si="68">E1449*F1449</f>
        <v>80000</v>
      </c>
      <c r="H1449" s="135" t="s">
        <v>30</v>
      </c>
      <c r="I1449" s="135" t="s">
        <v>242</v>
      </c>
      <c r="J1449" s="1273"/>
      <c r="K1449" s="63"/>
      <c r="L1449" s="14"/>
      <c r="M1449" s="14"/>
      <c r="N1449" s="14"/>
      <c r="O1449" s="14"/>
    </row>
    <row r="1450" spans="1:15" ht="15.75">
      <c r="A1450" s="1541"/>
      <c r="B1450" s="135">
        <v>14092</v>
      </c>
      <c r="C1450" s="478">
        <v>0.1</v>
      </c>
      <c r="D1450" s="259" t="s">
        <v>1018</v>
      </c>
      <c r="E1450" s="143">
        <v>950000</v>
      </c>
      <c r="F1450" s="779">
        <v>0.04</v>
      </c>
      <c r="G1450" s="535">
        <f t="shared" si="68"/>
        <v>38000</v>
      </c>
      <c r="H1450" s="241" t="s">
        <v>311</v>
      </c>
      <c r="I1450" s="241" t="s">
        <v>989</v>
      </c>
      <c r="J1450" s="1274"/>
      <c r="K1450" s="14"/>
      <c r="L1450" s="14"/>
      <c r="M1450" s="14"/>
      <c r="N1450" s="14"/>
      <c r="O1450" s="14"/>
    </row>
    <row r="1451" spans="1:15" ht="15.75">
      <c r="A1451" s="1552"/>
      <c r="B1451" s="241">
        <v>14080</v>
      </c>
      <c r="C1451" s="478">
        <v>0.1</v>
      </c>
      <c r="D1451" s="1057" t="s">
        <v>1019</v>
      </c>
      <c r="E1451" s="143">
        <v>700000</v>
      </c>
      <c r="F1451" s="779">
        <v>0.08</v>
      </c>
      <c r="G1451" s="535">
        <f t="shared" si="68"/>
        <v>56000</v>
      </c>
      <c r="H1451" s="241" t="s">
        <v>1015</v>
      </c>
      <c r="I1451" s="241" t="s">
        <v>242</v>
      </c>
      <c r="J1451" s="1274"/>
      <c r="K1451" s="14"/>
      <c r="L1451" s="14"/>
      <c r="M1451" s="165" t="s">
        <v>80</v>
      </c>
      <c r="N1451" s="14"/>
      <c r="O1451" s="550">
        <f>SUM(O1448:O1450)</f>
        <v>72000</v>
      </c>
    </row>
    <row r="1452" spans="1:15" ht="15.75">
      <c r="A1452" s="1552"/>
      <c r="B1452" s="241">
        <v>14128</v>
      </c>
      <c r="C1452" s="478">
        <v>0.1</v>
      </c>
      <c r="D1452" s="1057" t="s">
        <v>999</v>
      </c>
      <c r="E1452" s="143">
        <v>1700000</v>
      </c>
      <c r="F1452" s="779">
        <v>0.04</v>
      </c>
      <c r="G1452" s="535">
        <f t="shared" si="68"/>
        <v>68000</v>
      </c>
      <c r="H1452" s="241" t="s">
        <v>520</v>
      </c>
      <c r="I1452" s="241" t="s">
        <v>989</v>
      </c>
      <c r="J1452" s="1274"/>
      <c r="K1452" s="14"/>
      <c r="L1452" s="14"/>
      <c r="M1452" s="14"/>
      <c r="N1452" s="14"/>
      <c r="O1452" s="14"/>
    </row>
    <row r="1453" spans="1:15" ht="23.25">
      <c r="A1453" s="1542"/>
      <c r="B1453" s="1261"/>
      <c r="C1453" s="1261"/>
      <c r="D1453" s="63"/>
      <c r="E1453" s="1109">
        <f>SUM(E1448:E1452)</f>
        <v>5850000</v>
      </c>
      <c r="F1453" s="63"/>
      <c r="G1453" s="965">
        <f>SUM(G1448:G1452)</f>
        <v>314000</v>
      </c>
      <c r="H1453" s="63"/>
      <c r="I1453" s="63"/>
      <c r="J1453" s="321"/>
      <c r="K1453" s="14"/>
      <c r="L1453" s="14"/>
      <c r="M1453" s="1251" t="s">
        <v>80</v>
      </c>
      <c r="N1453" s="680"/>
      <c r="O1453" s="1252">
        <f>O1451+G1453</f>
        <v>386000</v>
      </c>
    </row>
    <row r="1458" spans="1:15" ht="23.25">
      <c r="A1458" s="1530" t="s">
        <v>274</v>
      </c>
      <c r="B1458" s="1531"/>
      <c r="C1458" s="1532"/>
      <c r="D1458" s="1531"/>
      <c r="E1458" s="1531"/>
      <c r="F1458" s="1531"/>
      <c r="G1458" s="1531"/>
      <c r="H1458" s="1532"/>
      <c r="I1458" s="1532"/>
      <c r="J1458" s="1532"/>
      <c r="K1458" s="1533" t="s">
        <v>2</v>
      </c>
      <c r="L1458" s="1533"/>
      <c r="M1458" s="1533"/>
      <c r="N1458" s="1533"/>
      <c r="O1458" s="1533"/>
    </row>
    <row r="1459" spans="1:15" ht="30.75">
      <c r="A1459" s="126" t="s">
        <v>3</v>
      </c>
      <c r="B1459" s="1" t="s">
        <v>120</v>
      </c>
      <c r="C1459" s="367" t="s">
        <v>4</v>
      </c>
      <c r="D1459" s="3" t="s">
        <v>5</v>
      </c>
      <c r="E1459" s="361" t="s">
        <v>6</v>
      </c>
      <c r="F1459" s="1" t="s">
        <v>7</v>
      </c>
      <c r="G1459" s="1" t="s">
        <v>8</v>
      </c>
      <c r="H1459" s="361" t="s">
        <v>9</v>
      </c>
      <c r="I1459" s="1" t="s">
        <v>10</v>
      </c>
      <c r="J1459" s="126" t="s">
        <v>11</v>
      </c>
      <c r="K1459" s="3" t="s">
        <v>12</v>
      </c>
      <c r="L1459" s="3" t="s">
        <v>5</v>
      </c>
      <c r="M1459" s="3" t="s">
        <v>13</v>
      </c>
      <c r="N1459" s="1" t="s">
        <v>7</v>
      </c>
      <c r="O1459" s="1" t="s">
        <v>14</v>
      </c>
    </row>
    <row r="1460" spans="1:15" ht="15.75">
      <c r="A1460" s="1628"/>
      <c r="B1460" s="241">
        <v>14121</v>
      </c>
      <c r="C1460" s="753">
        <v>0.1</v>
      </c>
      <c r="D1460" s="136" t="s">
        <v>1020</v>
      </c>
      <c r="E1460" s="558">
        <v>1056200</v>
      </c>
      <c r="F1460" s="545"/>
      <c r="G1460" s="1260"/>
      <c r="H1460" s="741" t="s">
        <v>30</v>
      </c>
      <c r="I1460" s="739" t="s">
        <v>100</v>
      </c>
      <c r="J1460" s="1275" t="s">
        <v>1021</v>
      </c>
      <c r="K1460" s="241">
        <v>13892</v>
      </c>
      <c r="L1460" s="137" t="s">
        <v>971</v>
      </c>
      <c r="M1460" s="1082">
        <v>1250000</v>
      </c>
      <c r="N1460" s="545"/>
      <c r="O1460" s="545"/>
    </row>
    <row r="1461" spans="1:15" ht="15.75">
      <c r="A1461" s="1534"/>
      <c r="B1461" s="241">
        <v>14127</v>
      </c>
      <c r="C1461" s="753">
        <v>0.1</v>
      </c>
      <c r="D1461" s="242" t="s">
        <v>1022</v>
      </c>
      <c r="E1461" s="558">
        <v>1500000</v>
      </c>
      <c r="F1461" s="545"/>
      <c r="G1461" s="1260"/>
      <c r="H1461" s="741" t="s">
        <v>1015</v>
      </c>
      <c r="I1461" s="739" t="s">
        <v>1023</v>
      </c>
      <c r="J1461" s="1275" t="s">
        <v>1024</v>
      </c>
      <c r="K1461" s="241">
        <v>13928</v>
      </c>
      <c r="L1461" s="137" t="s">
        <v>975</v>
      </c>
      <c r="M1461" s="1082">
        <v>1300000</v>
      </c>
      <c r="N1461" s="545"/>
      <c r="O1461" s="545"/>
    </row>
    <row r="1462" spans="1:15" ht="15.75">
      <c r="A1462" s="1534"/>
      <c r="B1462" s="71"/>
      <c r="C1462" s="71"/>
      <c r="D1462" s="14"/>
      <c r="E1462" s="14"/>
      <c r="F1462" s="14"/>
      <c r="G1462" s="71"/>
      <c r="H1462" s="14"/>
      <c r="I1462" s="14"/>
      <c r="J1462" s="14"/>
      <c r="K1462" s="241">
        <v>14031</v>
      </c>
      <c r="L1462" s="259" t="s">
        <v>238</v>
      </c>
      <c r="M1462" s="141">
        <v>1200000</v>
      </c>
      <c r="N1462" s="1085"/>
      <c r="O1462" s="666"/>
    </row>
    <row r="1463" spans="1:15" ht="15.75">
      <c r="A1463" s="1534"/>
      <c r="B1463" s="617"/>
      <c r="C1463" s="617"/>
      <c r="D1463" s="31"/>
      <c r="E1463" s="31"/>
      <c r="F1463" s="31"/>
      <c r="G1463" s="617"/>
      <c r="H1463" s="31"/>
      <c r="I1463" s="31"/>
      <c r="J1463" s="31"/>
      <c r="K1463" s="241">
        <v>14054</v>
      </c>
      <c r="L1463" s="1024" t="s">
        <v>992</v>
      </c>
      <c r="M1463" s="1084">
        <v>1400000</v>
      </c>
      <c r="N1463" s="545"/>
      <c r="O1463" s="545"/>
    </row>
    <row r="1464" spans="1:15" ht="15.75">
      <c r="A1464" s="1534"/>
      <c r="B1464" s="71"/>
      <c r="C1464" s="71"/>
      <c r="D1464" s="14"/>
      <c r="E1464" s="14"/>
      <c r="F1464" s="14"/>
      <c r="G1464" s="71"/>
      <c r="H1464" s="14"/>
      <c r="I1464" s="14"/>
      <c r="J1464" s="14"/>
      <c r="K1464" s="241">
        <v>14077</v>
      </c>
      <c r="L1464" s="137" t="s">
        <v>1025</v>
      </c>
      <c r="M1464" s="1084">
        <v>1400000</v>
      </c>
      <c r="N1464" s="666"/>
      <c r="O1464" s="666"/>
    </row>
    <row r="1465" spans="1:15" ht="15.75">
      <c r="A1465" s="1534"/>
      <c r="B1465" s="71"/>
      <c r="C1465" s="71"/>
      <c r="D1465" s="14"/>
      <c r="E1465" s="14"/>
      <c r="F1465" s="14"/>
      <c r="G1465" s="71"/>
      <c r="H1465" s="14"/>
      <c r="I1465" s="14"/>
      <c r="J1465" s="14"/>
      <c r="K1465" s="241">
        <v>14017</v>
      </c>
      <c r="L1465" s="137" t="s">
        <v>529</v>
      </c>
      <c r="M1465" s="1084">
        <v>1100000</v>
      </c>
      <c r="N1465" s="666"/>
      <c r="O1465" s="666"/>
    </row>
    <row r="1466" spans="1:15" ht="15.75">
      <c r="A1466" s="1534"/>
      <c r="B1466" s="71"/>
      <c r="C1466" s="71"/>
      <c r="D1466" s="14"/>
      <c r="E1466" s="14"/>
      <c r="F1466" s="14"/>
      <c r="G1466" s="71"/>
      <c r="H1466" s="14"/>
      <c r="I1466" s="14"/>
      <c r="J1466" s="14"/>
      <c r="K1466" s="135">
        <v>14026</v>
      </c>
      <c r="L1466" s="137" t="s">
        <v>1017</v>
      </c>
      <c r="M1466" s="882">
        <v>1600000</v>
      </c>
      <c r="N1466" s="545"/>
      <c r="O1466" s="545"/>
    </row>
    <row r="1467" spans="1:15" ht="15.75">
      <c r="A1467" s="1629"/>
      <c r="B1467" s="71"/>
      <c r="C1467" s="71"/>
      <c r="D1467" s="14"/>
      <c r="E1467" s="1282">
        <f>SUM(E1460:E1466)</f>
        <v>2556200</v>
      </c>
      <c r="F1467" s="14"/>
      <c r="G1467" s="71"/>
      <c r="H1467" s="14"/>
      <c r="I1467" s="14"/>
      <c r="J1467" s="14"/>
      <c r="K1467" s="263"/>
      <c r="L1467" s="165"/>
      <c r="M1467" s="884"/>
      <c r="N1467" s="27"/>
      <c r="O1467" s="27"/>
    </row>
    <row r="1468" spans="1:15" ht="15.75">
      <c r="L1468" s="1045" t="s">
        <v>80</v>
      </c>
      <c r="M1468" s="539">
        <f>SUM(M1460:M1467)</f>
        <v>9250000</v>
      </c>
    </row>
    <row r="1470" spans="1:15" ht="20.25">
      <c r="A1470" s="1535" t="s">
        <v>68</v>
      </c>
      <c r="B1470" s="1535"/>
      <c r="C1470" s="365"/>
      <c r="D1470" s="979">
        <f>SUM(E1401+E1420+E1435+E1443+E1453+E1467)</f>
        <v>45286200</v>
      </c>
    </row>
    <row r="1471" spans="1:15">
      <c r="A1471" s="1536" t="s">
        <v>69</v>
      </c>
      <c r="B1471" s="1536"/>
      <c r="C1471" s="22"/>
      <c r="D1471" s="20"/>
    </row>
    <row r="1472" spans="1:15">
      <c r="A1472" s="1537" t="s">
        <v>70</v>
      </c>
      <c r="B1472" s="1537"/>
      <c r="C1472" s="101"/>
      <c r="D1472" s="21"/>
    </row>
    <row r="1476" spans="1:15" ht="31.5">
      <c r="A1476" s="1546" t="s">
        <v>1026</v>
      </c>
      <c r="B1476" s="1547"/>
      <c r="C1476" s="1547"/>
      <c r="D1476" s="1547"/>
      <c r="E1476" s="1547"/>
      <c r="F1476" s="1547"/>
      <c r="G1476" s="1547"/>
      <c r="H1476" s="1547"/>
      <c r="I1476" s="1547"/>
      <c r="J1476" s="1547"/>
    </row>
    <row r="1477" spans="1:15" ht="23.25">
      <c r="A1477" s="1548" t="s">
        <v>56</v>
      </c>
      <c r="B1477" s="1532"/>
      <c r="C1477" s="1532"/>
      <c r="D1477" s="1531"/>
      <c r="E1477" s="1532"/>
      <c r="F1477" s="1532"/>
      <c r="G1477" s="1532"/>
      <c r="H1477" s="1532"/>
      <c r="I1477" s="1532"/>
      <c r="J1477" s="1549"/>
      <c r="K1477" s="1533" t="s">
        <v>2</v>
      </c>
      <c r="L1477" s="1533"/>
      <c r="M1477" s="1533"/>
      <c r="N1477" s="1533"/>
      <c r="O1477" s="1533"/>
    </row>
    <row r="1478" spans="1:15" ht="30.75">
      <c r="A1478" s="1" t="s">
        <v>3</v>
      </c>
      <c r="B1478" s="361" t="s">
        <v>120</v>
      </c>
      <c r="C1478" s="367" t="s">
        <v>4</v>
      </c>
      <c r="D1478" s="3" t="s">
        <v>5</v>
      </c>
      <c r="E1478" s="361" t="s">
        <v>6</v>
      </c>
      <c r="F1478" s="1" t="s">
        <v>7</v>
      </c>
      <c r="G1478" s="1" t="s">
        <v>8</v>
      </c>
      <c r="H1478" s="361" t="s">
        <v>9</v>
      </c>
      <c r="I1478" s="1" t="s">
        <v>10</v>
      </c>
      <c r="J1478" s="126" t="s">
        <v>11</v>
      </c>
      <c r="K1478" s="68" t="s">
        <v>12</v>
      </c>
      <c r="L1478" s="68" t="s">
        <v>5</v>
      </c>
      <c r="M1478" s="68" t="s">
        <v>13</v>
      </c>
      <c r="N1478" s="129" t="s">
        <v>7</v>
      </c>
      <c r="O1478" s="68" t="s">
        <v>14</v>
      </c>
    </row>
    <row r="1479" spans="1:15" ht="15.75">
      <c r="A1479" s="1545" t="s">
        <v>95</v>
      </c>
      <c r="B1479" s="241">
        <v>14135</v>
      </c>
      <c r="C1479" s="1262">
        <v>0.1</v>
      </c>
      <c r="D1479" s="1024" t="s">
        <v>1027</v>
      </c>
      <c r="E1479" s="1044">
        <v>1600000</v>
      </c>
      <c r="F1479" s="1119">
        <v>0.1</v>
      </c>
      <c r="G1479" s="1287">
        <f>E1479*F1479</f>
        <v>160000</v>
      </c>
      <c r="H1479" s="995" t="s">
        <v>311</v>
      </c>
      <c r="I1479" s="995" t="s">
        <v>989</v>
      </c>
      <c r="J1479" s="1257"/>
      <c r="K1479" s="135">
        <v>14165</v>
      </c>
      <c r="L1479" s="259" t="s">
        <v>1028</v>
      </c>
      <c r="M1479" s="699">
        <v>1800000</v>
      </c>
      <c r="N1479" s="232">
        <v>0.05</v>
      </c>
      <c r="O1479" s="178">
        <f>M1479*N1479</f>
        <v>90000</v>
      </c>
    </row>
    <row r="1480" spans="1:15" ht="15.75">
      <c r="A1480" s="1545"/>
      <c r="B1480" s="241">
        <v>14140</v>
      </c>
      <c r="C1480" s="148">
        <v>0.1</v>
      </c>
      <c r="D1480" s="259" t="s">
        <v>1029</v>
      </c>
      <c r="E1480" s="699">
        <v>1300000</v>
      </c>
      <c r="F1480" s="478">
        <v>0.06</v>
      </c>
      <c r="G1480" s="1287">
        <f t="shared" ref="G1480:G1494" si="69">E1480*F1480</f>
        <v>78000</v>
      </c>
      <c r="H1480" s="995" t="s">
        <v>30</v>
      </c>
      <c r="I1480" s="997" t="s">
        <v>100</v>
      </c>
      <c r="J1480" s="998"/>
      <c r="K1480" s="238">
        <v>14131</v>
      </c>
      <c r="L1480" s="259" t="s">
        <v>1030</v>
      </c>
      <c r="M1480" s="699">
        <v>900000</v>
      </c>
      <c r="N1480" s="232">
        <v>0.05</v>
      </c>
      <c r="O1480" s="178">
        <f t="shared" ref="O1480:O1481" si="70">M1480*N1480</f>
        <v>45000</v>
      </c>
    </row>
    <row r="1481" spans="1:15" ht="15.75">
      <c r="A1481" s="1545"/>
      <c r="B1481" s="241">
        <v>14142</v>
      </c>
      <c r="C1481" s="148">
        <v>0.1</v>
      </c>
      <c r="D1481" s="1024" t="s">
        <v>1031</v>
      </c>
      <c r="E1481" s="699">
        <v>950000</v>
      </c>
      <c r="F1481" s="478">
        <v>0.1</v>
      </c>
      <c r="G1481" s="1287">
        <f t="shared" si="69"/>
        <v>95000</v>
      </c>
      <c r="H1481" s="995" t="s">
        <v>311</v>
      </c>
      <c r="I1481" s="1121" t="s">
        <v>989</v>
      </c>
      <c r="J1481" s="998"/>
      <c r="K1481" s="133">
        <v>14203</v>
      </c>
      <c r="L1481" s="136" t="s">
        <v>1032</v>
      </c>
      <c r="M1481" s="699">
        <v>1200000</v>
      </c>
      <c r="N1481" s="232">
        <v>0.05</v>
      </c>
      <c r="O1481" s="178">
        <f t="shared" si="70"/>
        <v>60000</v>
      </c>
    </row>
    <row r="1482" spans="1:15" ht="15.75">
      <c r="A1482" s="1545"/>
      <c r="B1482" s="241">
        <v>14178</v>
      </c>
      <c r="C1482" s="478">
        <v>0.1</v>
      </c>
      <c r="D1482" s="137" t="s">
        <v>1033</v>
      </c>
      <c r="E1482" s="699">
        <v>1250000</v>
      </c>
      <c r="F1482" s="478">
        <v>0.06</v>
      </c>
      <c r="G1482" s="1287">
        <f t="shared" si="69"/>
        <v>75000</v>
      </c>
      <c r="H1482" s="995" t="s">
        <v>30</v>
      </c>
      <c r="I1482" s="997" t="s">
        <v>242</v>
      </c>
      <c r="J1482" s="1328"/>
      <c r="K1482" s="27"/>
      <c r="L1482" s="27"/>
      <c r="M1482" s="27"/>
      <c r="N1482" s="27"/>
      <c r="O1482" s="27"/>
    </row>
    <row r="1483" spans="1:15" ht="15.75">
      <c r="A1483" s="1545"/>
      <c r="B1483" s="241">
        <v>14167</v>
      </c>
      <c r="C1483" s="1262">
        <v>0.1</v>
      </c>
      <c r="D1483" s="1024" t="s">
        <v>1034</v>
      </c>
      <c r="E1483" s="1044">
        <v>900000</v>
      </c>
      <c r="F1483" s="1119">
        <v>0.1</v>
      </c>
      <c r="G1483" s="1287">
        <f t="shared" si="69"/>
        <v>90000</v>
      </c>
      <c r="H1483" s="995" t="s">
        <v>311</v>
      </c>
      <c r="I1483" s="995" t="s">
        <v>242</v>
      </c>
      <c r="J1483" s="998"/>
      <c r="K1483" s="1253"/>
      <c r="L1483" s="27"/>
      <c r="M1483" s="27"/>
      <c r="N1483" s="27"/>
      <c r="O1483" s="27"/>
    </row>
    <row r="1484" spans="1:15" ht="15.75">
      <c r="A1484" s="1545"/>
      <c r="B1484" s="241">
        <v>14177</v>
      </c>
      <c r="C1484" s="1118">
        <v>0.1</v>
      </c>
      <c r="D1484" s="259" t="s">
        <v>1035</v>
      </c>
      <c r="E1484" s="1044">
        <v>750000</v>
      </c>
      <c r="F1484" s="1119">
        <v>0.06</v>
      </c>
      <c r="G1484" s="1287">
        <f t="shared" si="69"/>
        <v>45000</v>
      </c>
      <c r="H1484" s="995" t="s">
        <v>30</v>
      </c>
      <c r="I1484" s="995" t="s">
        <v>242</v>
      </c>
      <c r="J1484" s="998"/>
      <c r="K1484" s="1253"/>
      <c r="L1484" s="27"/>
      <c r="M1484" s="27"/>
      <c r="N1484" s="27"/>
      <c r="O1484" s="27"/>
    </row>
    <row r="1485" spans="1:15" ht="15.75">
      <c r="A1485" s="1545"/>
      <c r="B1485" s="241">
        <v>14160</v>
      </c>
      <c r="C1485" s="1118">
        <v>0.1</v>
      </c>
      <c r="D1485" s="259" t="s">
        <v>1036</v>
      </c>
      <c r="E1485" s="1044">
        <v>750000</v>
      </c>
      <c r="F1485" s="1119">
        <v>0.05</v>
      </c>
      <c r="G1485" s="1287">
        <f t="shared" si="69"/>
        <v>37500</v>
      </c>
      <c r="H1485" s="995" t="s">
        <v>1037</v>
      </c>
      <c r="I1485" s="995" t="s">
        <v>100</v>
      </c>
      <c r="J1485" s="998"/>
      <c r="K1485" s="1253"/>
      <c r="L1485" s="27"/>
      <c r="M1485" s="27"/>
      <c r="N1485" s="27"/>
      <c r="O1485" s="27"/>
    </row>
    <row r="1486" spans="1:15" ht="15.75">
      <c r="A1486" s="1545"/>
      <c r="B1486" s="135">
        <v>14210</v>
      </c>
      <c r="C1486" s="1262">
        <v>0.1</v>
      </c>
      <c r="D1486" s="1024" t="s">
        <v>1038</v>
      </c>
      <c r="E1486" s="1044">
        <v>1700000</v>
      </c>
      <c r="F1486" s="1119">
        <v>0.1</v>
      </c>
      <c r="G1486" s="1287">
        <f t="shared" si="69"/>
        <v>170000</v>
      </c>
      <c r="H1486" s="995" t="s">
        <v>311</v>
      </c>
      <c r="I1486" s="995" t="s">
        <v>242</v>
      </c>
      <c r="J1486" s="998"/>
      <c r="K1486" s="1253"/>
      <c r="L1486" s="27"/>
      <c r="M1486" s="27"/>
      <c r="N1486" s="27"/>
      <c r="O1486" s="27"/>
    </row>
    <row r="1487" spans="1:15" ht="15.75">
      <c r="A1487" s="1545"/>
      <c r="B1487" s="241">
        <v>14264</v>
      </c>
      <c r="C1487" s="1262">
        <v>0.1</v>
      </c>
      <c r="D1487" s="1024" t="s">
        <v>1039</v>
      </c>
      <c r="E1487" s="1044">
        <v>1500000</v>
      </c>
      <c r="F1487" s="1119">
        <v>0.06</v>
      </c>
      <c r="G1487" s="1287">
        <f t="shared" si="69"/>
        <v>90000</v>
      </c>
      <c r="H1487" s="995" t="s">
        <v>30</v>
      </c>
      <c r="I1487" s="995" t="s">
        <v>989</v>
      </c>
      <c r="J1487" s="998"/>
      <c r="K1487" s="1253"/>
      <c r="L1487" s="27"/>
      <c r="M1487" s="27"/>
      <c r="N1487" s="27"/>
      <c r="O1487" s="27"/>
    </row>
    <row r="1488" spans="1:15" ht="15.75">
      <c r="A1488" s="1545"/>
      <c r="B1488" s="241">
        <v>14228</v>
      </c>
      <c r="C1488" s="1314">
        <v>0.08</v>
      </c>
      <c r="D1488" s="1024" t="s">
        <v>1040</v>
      </c>
      <c r="E1488" s="1044">
        <v>1450000</v>
      </c>
      <c r="F1488" s="1329">
        <v>0.08</v>
      </c>
      <c r="G1488" s="1287">
        <f t="shared" si="69"/>
        <v>116000</v>
      </c>
      <c r="H1488" s="995" t="s">
        <v>311</v>
      </c>
      <c r="I1488" s="995" t="s">
        <v>989</v>
      </c>
      <c r="J1488" s="998"/>
      <c r="K1488" s="1253"/>
      <c r="L1488" s="27"/>
      <c r="M1488" s="27"/>
      <c r="N1488" s="27"/>
      <c r="O1488" s="27"/>
    </row>
    <row r="1489" spans="1:16" ht="15.75">
      <c r="A1489" s="1545"/>
      <c r="B1489" s="241">
        <v>14239</v>
      </c>
      <c r="C1489" s="1262">
        <v>0.1</v>
      </c>
      <c r="D1489" s="1316" t="s">
        <v>1041</v>
      </c>
      <c r="E1489" s="1044">
        <v>1500000</v>
      </c>
      <c r="F1489" s="1119">
        <v>0.1</v>
      </c>
      <c r="G1489" s="1287">
        <f t="shared" si="69"/>
        <v>150000</v>
      </c>
      <c r="H1489" s="995" t="s">
        <v>311</v>
      </c>
      <c r="I1489" s="995" t="s">
        <v>100</v>
      </c>
      <c r="J1489" s="998"/>
      <c r="K1489" s="1253"/>
      <c r="L1489" s="27"/>
      <c r="M1489" s="27"/>
      <c r="N1489" s="27"/>
      <c r="O1489" s="27"/>
    </row>
    <row r="1490" spans="1:16" ht="15.75">
      <c r="A1490" s="1545"/>
      <c r="B1490" s="241">
        <v>14287</v>
      </c>
      <c r="C1490" s="1281">
        <v>0.1</v>
      </c>
      <c r="D1490" s="652" t="s">
        <v>1042</v>
      </c>
      <c r="E1490" s="699">
        <v>1600000</v>
      </c>
      <c r="F1490" s="478">
        <v>0.1</v>
      </c>
      <c r="G1490" s="1287">
        <f t="shared" si="69"/>
        <v>160000</v>
      </c>
      <c r="H1490" s="997" t="s">
        <v>311</v>
      </c>
      <c r="I1490" s="995" t="s">
        <v>100</v>
      </c>
      <c r="J1490" s="998"/>
      <c r="K1490" s="1253"/>
      <c r="L1490" s="27"/>
      <c r="M1490" s="27"/>
      <c r="N1490" s="27"/>
      <c r="O1490" s="27"/>
    </row>
    <row r="1491" spans="1:16" ht="15.75">
      <c r="A1491" s="1545"/>
      <c r="B1491" s="135">
        <v>14220</v>
      </c>
      <c r="C1491" s="140">
        <v>0.08</v>
      </c>
      <c r="D1491" s="137" t="s">
        <v>1043</v>
      </c>
      <c r="E1491" s="699">
        <v>2200000</v>
      </c>
      <c r="F1491" s="140">
        <v>0.04</v>
      </c>
      <c r="G1491" s="1287">
        <f t="shared" si="69"/>
        <v>88000</v>
      </c>
      <c r="H1491" s="995" t="s">
        <v>1044</v>
      </c>
      <c r="I1491" s="997" t="s">
        <v>242</v>
      </c>
      <c r="J1491" s="1104"/>
      <c r="K1491" s="27"/>
      <c r="L1491" s="27"/>
      <c r="M1491" s="27"/>
      <c r="N1491" s="27"/>
      <c r="O1491" s="27"/>
    </row>
    <row r="1492" spans="1:16" ht="15.75">
      <c r="A1492" s="1545"/>
      <c r="B1492" s="241">
        <v>14227</v>
      </c>
      <c r="C1492" s="478">
        <v>0.1</v>
      </c>
      <c r="D1492" s="137" t="s">
        <v>1045</v>
      </c>
      <c r="E1492" s="699">
        <v>1500000</v>
      </c>
      <c r="F1492" s="478">
        <v>0.1</v>
      </c>
      <c r="G1492" s="1287">
        <f t="shared" si="69"/>
        <v>150000</v>
      </c>
      <c r="H1492" s="995" t="s">
        <v>311</v>
      </c>
      <c r="I1492" s="997" t="s">
        <v>100</v>
      </c>
      <c r="J1492" s="1104"/>
      <c r="K1492" s="27"/>
      <c r="L1492" s="27"/>
      <c r="M1492" s="27"/>
      <c r="N1492" s="27"/>
      <c r="O1492" s="27"/>
    </row>
    <row r="1493" spans="1:16" ht="18">
      <c r="A1493" s="1545"/>
      <c r="B1493" s="135">
        <v>14290</v>
      </c>
      <c r="C1493" s="1118">
        <v>0.1</v>
      </c>
      <c r="D1493" s="243" t="s">
        <v>1046</v>
      </c>
      <c r="E1493" s="1044">
        <v>1750000</v>
      </c>
      <c r="F1493" s="1119">
        <v>0.1</v>
      </c>
      <c r="G1493" s="1287">
        <f t="shared" si="69"/>
        <v>175000</v>
      </c>
      <c r="H1493" s="995" t="s">
        <v>311</v>
      </c>
      <c r="I1493" s="995" t="s">
        <v>242</v>
      </c>
      <c r="J1493" s="581"/>
      <c r="K1493" s="27"/>
      <c r="L1493" s="27"/>
      <c r="M1493" s="1335" t="s">
        <v>80</v>
      </c>
      <c r="N1493" s="1335"/>
      <c r="O1493" s="1335">
        <f>SUM(O1479:O1483)</f>
        <v>195000</v>
      </c>
    </row>
    <row r="1494" spans="1:16" ht="15.75">
      <c r="A1494" s="1545"/>
      <c r="B1494" s="241">
        <v>14336</v>
      </c>
      <c r="C1494" s="478">
        <v>0.1</v>
      </c>
      <c r="D1494" s="137" t="s">
        <v>1047</v>
      </c>
      <c r="E1494" s="699">
        <v>1550000</v>
      </c>
      <c r="F1494" s="478">
        <v>0.1</v>
      </c>
      <c r="G1494" s="1287">
        <f t="shared" si="69"/>
        <v>155000</v>
      </c>
      <c r="H1494" s="995" t="s">
        <v>311</v>
      </c>
      <c r="I1494" s="997" t="s">
        <v>100</v>
      </c>
      <c r="J1494" s="1104"/>
      <c r="K1494" s="27"/>
      <c r="L1494" s="27"/>
      <c r="M1494" s="811"/>
      <c r="N1494" s="811"/>
      <c r="O1494" s="811"/>
    </row>
    <row r="1495" spans="1:16" ht="21">
      <c r="A1495" s="1545"/>
      <c r="B1495" s="263"/>
      <c r="C1495" s="788"/>
      <c r="D1495" s="165"/>
      <c r="E1495" s="1332">
        <f>SUM(E1479:E1494)</f>
        <v>22250000</v>
      </c>
      <c r="F1495" s="659"/>
      <c r="G1495" s="895">
        <f>SUM(G1479:G1494)</f>
        <v>1834500</v>
      </c>
      <c r="H1495" s="999"/>
      <c r="I1495" s="1093"/>
      <c r="J1495" s="1134"/>
      <c r="K1495" s="27"/>
      <c r="L1495" s="27"/>
      <c r="M1495" s="1333" t="s">
        <v>80</v>
      </c>
      <c r="N1495" s="1333"/>
      <c r="O1495" s="1334">
        <f>G1495+O1493</f>
        <v>2029500</v>
      </c>
    </row>
    <row r="1496" spans="1:16">
      <c r="A1496" s="32"/>
      <c r="B1496" s="85"/>
      <c r="C1496" s="85"/>
      <c r="D1496" s="32"/>
      <c r="E1496" s="32"/>
      <c r="F1496" s="32"/>
      <c r="G1496" s="85"/>
      <c r="H1496" s="32"/>
      <c r="I1496" s="32"/>
      <c r="J1496" s="32"/>
    </row>
    <row r="1497" spans="1:16">
      <c r="A1497" s="32"/>
      <c r="B1497" s="85"/>
      <c r="C1497" s="85"/>
      <c r="D1497" s="32"/>
      <c r="E1497" s="32"/>
      <c r="F1497" s="32"/>
      <c r="G1497" s="85"/>
      <c r="H1497" s="32"/>
      <c r="I1497" s="32"/>
      <c r="J1497" s="32"/>
    </row>
    <row r="1498" spans="1:16" ht="23.25">
      <c r="A1498" s="1548" t="s">
        <v>465</v>
      </c>
      <c r="B1498" s="1532"/>
      <c r="C1498" s="1532"/>
      <c r="D1498" s="1531"/>
      <c r="E1498" s="1532"/>
      <c r="F1498" s="1532"/>
      <c r="G1498" s="1532"/>
      <c r="H1498" s="1532"/>
      <c r="I1498" s="1532"/>
      <c r="J1498" s="1549"/>
      <c r="K1498" s="1533" t="s">
        <v>2</v>
      </c>
      <c r="L1498" s="1533"/>
      <c r="M1498" s="1533"/>
      <c r="N1498" s="1533"/>
      <c r="O1498" s="1533"/>
    </row>
    <row r="1499" spans="1:16" ht="30.75">
      <c r="A1499" s="1" t="s">
        <v>3</v>
      </c>
      <c r="B1499" s="361" t="s">
        <v>120</v>
      </c>
      <c r="C1499" s="367" t="s">
        <v>4</v>
      </c>
      <c r="D1499" s="3" t="s">
        <v>5</v>
      </c>
      <c r="E1499" s="361" t="s">
        <v>6</v>
      </c>
      <c r="F1499" s="1" t="s">
        <v>7</v>
      </c>
      <c r="G1499" s="1" t="s">
        <v>8</v>
      </c>
      <c r="H1499" s="361" t="s">
        <v>9</v>
      </c>
      <c r="I1499" s="1" t="s">
        <v>10</v>
      </c>
      <c r="J1499" s="126" t="s">
        <v>11</v>
      </c>
      <c r="K1499" s="68" t="s">
        <v>12</v>
      </c>
      <c r="L1499" s="68" t="s">
        <v>5</v>
      </c>
      <c r="M1499" s="68" t="s">
        <v>13</v>
      </c>
      <c r="N1499" s="129" t="s">
        <v>7</v>
      </c>
      <c r="O1499" s="68" t="s">
        <v>14</v>
      </c>
      <c r="P1499" s="1280"/>
    </row>
    <row r="1500" spans="1:16" ht="15.75" customHeight="1">
      <c r="A1500" s="1527" t="s">
        <v>1048</v>
      </c>
      <c r="B1500" s="241">
        <v>14136</v>
      </c>
      <c r="C1500" s="478">
        <v>0.1</v>
      </c>
      <c r="D1500" s="137" t="s">
        <v>1049</v>
      </c>
      <c r="E1500" s="139">
        <v>1800000</v>
      </c>
      <c r="F1500" s="779">
        <v>0.1</v>
      </c>
      <c r="G1500" s="619">
        <f>E1500*F1500</f>
        <v>180000</v>
      </c>
      <c r="H1500" s="741" t="s">
        <v>520</v>
      </c>
      <c r="I1500" s="739" t="s">
        <v>242</v>
      </c>
      <c r="J1500" s="137"/>
      <c r="K1500" s="133">
        <v>14244</v>
      </c>
      <c r="L1500" s="1024" t="s">
        <v>1050</v>
      </c>
      <c r="M1500" s="143">
        <v>1600000</v>
      </c>
      <c r="N1500" s="232">
        <v>0.05</v>
      </c>
      <c r="O1500" s="178">
        <f>M1500*N1500</f>
        <v>80000</v>
      </c>
    </row>
    <row r="1501" spans="1:16" ht="15.75" customHeight="1">
      <c r="A1501" s="1528"/>
      <c r="B1501" s="241">
        <v>14143</v>
      </c>
      <c r="C1501" s="1118">
        <v>0.1</v>
      </c>
      <c r="D1501" s="259" t="s">
        <v>1051</v>
      </c>
      <c r="E1501" s="1044">
        <v>1350000</v>
      </c>
      <c r="F1501" s="1119">
        <v>0.06</v>
      </c>
      <c r="G1501" s="619">
        <f t="shared" ref="G1501:G1513" si="71">E1501*F1501</f>
        <v>81000</v>
      </c>
      <c r="H1501" s="1121" t="s">
        <v>30</v>
      </c>
      <c r="I1501" s="1120" t="s">
        <v>91</v>
      </c>
      <c r="J1501" s="1257"/>
      <c r="K1501" s="133">
        <v>14265</v>
      </c>
      <c r="L1501" s="1024" t="s">
        <v>1052</v>
      </c>
      <c r="M1501" s="143">
        <v>1600000</v>
      </c>
      <c r="N1501" s="232">
        <v>0.05</v>
      </c>
      <c r="O1501" s="178">
        <f t="shared" ref="O1501:O1502" si="72">M1501*N1501</f>
        <v>80000</v>
      </c>
    </row>
    <row r="1502" spans="1:16" ht="15.75" customHeight="1">
      <c r="A1502" s="1528"/>
      <c r="B1502" s="241">
        <v>14148</v>
      </c>
      <c r="C1502" s="478">
        <v>0.1</v>
      </c>
      <c r="D1502" s="137" t="s">
        <v>1053</v>
      </c>
      <c r="E1502" s="139">
        <v>1900000</v>
      </c>
      <c r="F1502" s="779">
        <v>0.1</v>
      </c>
      <c r="G1502" s="619">
        <f t="shared" si="71"/>
        <v>190000</v>
      </c>
      <c r="H1502" s="741" t="s">
        <v>520</v>
      </c>
      <c r="I1502" s="739" t="s">
        <v>242</v>
      </c>
      <c r="J1502" s="137"/>
      <c r="K1502" s="133">
        <v>14284</v>
      </c>
      <c r="L1502" s="1057" t="s">
        <v>1054</v>
      </c>
      <c r="M1502" s="143">
        <v>1450000</v>
      </c>
      <c r="N1502" s="232">
        <v>0.05</v>
      </c>
      <c r="O1502" s="178">
        <f t="shared" si="72"/>
        <v>72500</v>
      </c>
    </row>
    <row r="1503" spans="1:16" ht="15.75" customHeight="1">
      <c r="A1503" s="1528"/>
      <c r="B1503" s="241">
        <v>14169</v>
      </c>
      <c r="C1503" s="478">
        <v>0.1</v>
      </c>
      <c r="D1503" s="137" t="s">
        <v>1055</v>
      </c>
      <c r="E1503" s="139">
        <v>1400000</v>
      </c>
      <c r="F1503" s="779">
        <v>0.1</v>
      </c>
      <c r="G1503" s="619">
        <f t="shared" si="71"/>
        <v>140000</v>
      </c>
      <c r="H1503" s="741" t="s">
        <v>520</v>
      </c>
      <c r="I1503" s="739" t="s">
        <v>989</v>
      </c>
      <c r="J1503" s="137"/>
      <c r="K1503" s="27"/>
      <c r="L1503" s="27"/>
      <c r="M1503" s="27"/>
      <c r="N1503" s="27"/>
      <c r="O1503" s="27"/>
    </row>
    <row r="1504" spans="1:16" ht="15.75" customHeight="1">
      <c r="A1504" s="1528"/>
      <c r="B1504" s="241">
        <v>14185</v>
      </c>
      <c r="C1504" s="478">
        <v>0.1</v>
      </c>
      <c r="D1504" s="137" t="s">
        <v>1056</v>
      </c>
      <c r="E1504" s="139">
        <v>1700000</v>
      </c>
      <c r="F1504" s="779">
        <v>0.06</v>
      </c>
      <c r="G1504" s="619">
        <f t="shared" si="71"/>
        <v>102000</v>
      </c>
      <c r="H1504" s="741" t="s">
        <v>30</v>
      </c>
      <c r="I1504" s="739" t="s">
        <v>100</v>
      </c>
      <c r="J1504" s="137"/>
      <c r="K1504" s="27"/>
      <c r="L1504" s="27"/>
      <c r="M1504" s="27"/>
      <c r="N1504" s="27"/>
      <c r="O1504" s="27"/>
    </row>
    <row r="1505" spans="1:15" ht="15.75" customHeight="1">
      <c r="A1505" s="1528"/>
      <c r="B1505" s="135">
        <v>14165</v>
      </c>
      <c r="C1505" s="478">
        <v>0.1</v>
      </c>
      <c r="D1505" s="259" t="s">
        <v>1028</v>
      </c>
      <c r="E1505" s="699">
        <v>1800000</v>
      </c>
      <c r="F1505" s="478">
        <v>0.05</v>
      </c>
      <c r="G1505" s="619">
        <f t="shared" si="71"/>
        <v>90000</v>
      </c>
      <c r="H1505" s="997" t="s">
        <v>311</v>
      </c>
      <c r="I1505" s="995" t="s">
        <v>100</v>
      </c>
      <c r="J1505" s="998"/>
      <c r="K1505" s="1253"/>
      <c r="L1505" s="27"/>
      <c r="M1505" s="27"/>
      <c r="N1505" s="27"/>
      <c r="O1505" s="27"/>
    </row>
    <row r="1506" spans="1:15" ht="15.75" customHeight="1">
      <c r="A1506" s="1528"/>
      <c r="B1506" s="135">
        <v>14236</v>
      </c>
      <c r="C1506" s="1118">
        <v>0.1</v>
      </c>
      <c r="D1506" s="136" t="s">
        <v>1057</v>
      </c>
      <c r="E1506" s="1044">
        <v>2100000</v>
      </c>
      <c r="F1506" s="1119">
        <v>0.1</v>
      </c>
      <c r="G1506" s="619">
        <f t="shared" si="71"/>
        <v>210000</v>
      </c>
      <c r="H1506" s="995" t="s">
        <v>520</v>
      </c>
      <c r="I1506" s="995" t="s">
        <v>242</v>
      </c>
      <c r="J1506" s="998"/>
      <c r="K1506" s="1253"/>
      <c r="L1506" s="27"/>
      <c r="M1506" s="27"/>
      <c r="N1506" s="27"/>
      <c r="O1506" s="27"/>
    </row>
    <row r="1507" spans="1:15" ht="15.75" customHeight="1">
      <c r="A1507" s="1528"/>
      <c r="B1507" s="135">
        <v>14180</v>
      </c>
      <c r="C1507" s="1118">
        <v>0.1</v>
      </c>
      <c r="D1507" s="259" t="s">
        <v>1058</v>
      </c>
      <c r="E1507" s="1044">
        <v>700000</v>
      </c>
      <c r="F1507" s="1119">
        <v>0.05</v>
      </c>
      <c r="G1507" s="619">
        <f t="shared" si="71"/>
        <v>35000</v>
      </c>
      <c r="H1507" s="995" t="s">
        <v>1059</v>
      </c>
      <c r="I1507" s="995" t="s">
        <v>100</v>
      </c>
      <c r="J1507" s="998"/>
      <c r="K1507" s="1253"/>
      <c r="L1507" s="27"/>
      <c r="M1507" s="27"/>
      <c r="N1507" s="27"/>
      <c r="O1507" s="27"/>
    </row>
    <row r="1508" spans="1:15" ht="15.75" customHeight="1">
      <c r="A1508" s="1528"/>
      <c r="B1508" s="241">
        <v>14270</v>
      </c>
      <c r="C1508" s="478">
        <v>0.1</v>
      </c>
      <c r="D1508" s="1232" t="s">
        <v>1060</v>
      </c>
      <c r="E1508" s="699">
        <v>1500000</v>
      </c>
      <c r="F1508" s="478">
        <v>0.1</v>
      </c>
      <c r="G1508" s="619">
        <f t="shared" si="71"/>
        <v>150000</v>
      </c>
      <c r="H1508" s="995" t="s">
        <v>520</v>
      </c>
      <c r="I1508" s="997" t="s">
        <v>100</v>
      </c>
      <c r="J1508" s="1104"/>
      <c r="K1508" s="1253"/>
      <c r="L1508" s="27"/>
      <c r="M1508" s="27"/>
      <c r="N1508" s="27"/>
      <c r="O1508" s="27"/>
    </row>
    <row r="1509" spans="1:15" ht="15.75" customHeight="1">
      <c r="A1509" s="1528"/>
      <c r="B1509" s="241">
        <v>14294</v>
      </c>
      <c r="C1509" s="1314">
        <v>0.08</v>
      </c>
      <c r="D1509" s="259" t="s">
        <v>1061</v>
      </c>
      <c r="E1509" s="1044">
        <v>1650000</v>
      </c>
      <c r="F1509" s="1329">
        <v>0.05</v>
      </c>
      <c r="G1509" s="619">
        <f t="shared" si="71"/>
        <v>82500</v>
      </c>
      <c r="H1509" s="995" t="s">
        <v>30</v>
      </c>
      <c r="I1509" s="995" t="s">
        <v>989</v>
      </c>
      <c r="J1509" s="998"/>
      <c r="K1509" s="1253"/>
      <c r="L1509" s="27"/>
      <c r="M1509" s="27"/>
      <c r="N1509" s="27"/>
      <c r="O1509" s="27"/>
    </row>
    <row r="1510" spans="1:15" ht="15.75" customHeight="1">
      <c r="A1510" s="1528"/>
      <c r="B1510" s="241">
        <v>14299</v>
      </c>
      <c r="C1510" s="1262">
        <v>0.1</v>
      </c>
      <c r="D1510" s="1024" t="s">
        <v>1062</v>
      </c>
      <c r="E1510" s="1044">
        <v>2100000</v>
      </c>
      <c r="F1510" s="1119">
        <v>0.1</v>
      </c>
      <c r="G1510" s="619">
        <f t="shared" si="71"/>
        <v>210000</v>
      </c>
      <c r="H1510" s="995" t="s">
        <v>520</v>
      </c>
      <c r="I1510" s="995" t="s">
        <v>242</v>
      </c>
      <c r="J1510" s="998"/>
      <c r="K1510" s="1253"/>
      <c r="L1510" s="27"/>
      <c r="M1510" s="27"/>
      <c r="N1510" s="27"/>
      <c r="O1510" s="27"/>
    </row>
    <row r="1511" spans="1:15" ht="15.75" customHeight="1">
      <c r="A1511" s="1528"/>
      <c r="B1511" s="241">
        <v>14286</v>
      </c>
      <c r="C1511" s="140">
        <v>0.08</v>
      </c>
      <c r="D1511" s="259" t="s">
        <v>1063</v>
      </c>
      <c r="E1511" s="699">
        <v>1250000</v>
      </c>
      <c r="F1511" s="140">
        <v>0.04</v>
      </c>
      <c r="G1511" s="619">
        <f t="shared" si="71"/>
        <v>50000</v>
      </c>
      <c r="H1511" s="995" t="s">
        <v>1015</v>
      </c>
      <c r="I1511" s="997" t="s">
        <v>989</v>
      </c>
      <c r="J1511" s="1104"/>
      <c r="K1511" s="1253"/>
      <c r="L1511" s="27"/>
      <c r="M1511" s="27"/>
      <c r="N1511" s="27"/>
      <c r="O1511" s="27"/>
    </row>
    <row r="1512" spans="1:15" ht="15.75" customHeight="1">
      <c r="A1512" s="1528"/>
      <c r="B1512" s="241">
        <v>14320</v>
      </c>
      <c r="C1512" s="1118">
        <v>0.1</v>
      </c>
      <c r="D1512" s="136" t="s">
        <v>1064</v>
      </c>
      <c r="E1512" s="1044">
        <v>1600000</v>
      </c>
      <c r="F1512" s="1119">
        <v>0.1</v>
      </c>
      <c r="G1512" s="619">
        <f t="shared" si="71"/>
        <v>160000</v>
      </c>
      <c r="H1512" s="995" t="s">
        <v>520</v>
      </c>
      <c r="I1512" s="995" t="s">
        <v>100</v>
      </c>
      <c r="J1512" s="581"/>
      <c r="K1512" s="27"/>
      <c r="L1512" s="27"/>
      <c r="M1512" s="27"/>
      <c r="N1512" s="27"/>
      <c r="O1512" s="27"/>
    </row>
    <row r="1513" spans="1:15" ht="15.75" customHeight="1">
      <c r="A1513" s="1528"/>
      <c r="B1513" s="133">
        <v>14333</v>
      </c>
      <c r="C1513" s="478">
        <v>0.1</v>
      </c>
      <c r="D1513" s="136" t="s">
        <v>1065</v>
      </c>
      <c r="E1513" s="699">
        <v>1700000</v>
      </c>
      <c r="F1513" s="478">
        <v>0.05</v>
      </c>
      <c r="G1513" s="619">
        <f t="shared" si="71"/>
        <v>85000</v>
      </c>
      <c r="H1513" s="995" t="s">
        <v>1015</v>
      </c>
      <c r="I1513" s="997" t="s">
        <v>989</v>
      </c>
      <c r="J1513" s="1104"/>
      <c r="K1513" s="27"/>
      <c r="L1513" s="27"/>
      <c r="M1513" s="27"/>
      <c r="N1513" s="27"/>
      <c r="O1513" s="27"/>
    </row>
    <row r="1514" spans="1:15" ht="27" customHeight="1">
      <c r="A1514" s="1528"/>
      <c r="B1514" s="814" t="s">
        <v>297</v>
      </c>
      <c r="C1514" s="348"/>
      <c r="D1514" s="225" t="s">
        <v>1066</v>
      </c>
      <c r="E1514" s="749"/>
      <c r="F1514" s="348"/>
      <c r="G1514" s="943"/>
      <c r="H1514" s="1011"/>
      <c r="I1514" s="1006"/>
      <c r="J1514" s="1311" t="s">
        <v>1067</v>
      </c>
      <c r="K1514" s="27"/>
      <c r="L1514" s="27"/>
      <c r="M1514" s="1335" t="s">
        <v>80</v>
      </c>
      <c r="N1514" s="1335"/>
      <c r="O1514" s="902">
        <f>SUM(O1500:O1502)</f>
        <v>232500</v>
      </c>
    </row>
    <row r="1515" spans="1:15" ht="26.25" customHeight="1">
      <c r="A1515" s="1528"/>
      <c r="B1515" s="814" t="s">
        <v>297</v>
      </c>
      <c r="C1515" s="348"/>
      <c r="D1515" s="225" t="s">
        <v>1068</v>
      </c>
      <c r="E1515" s="749"/>
      <c r="F1515" s="348"/>
      <c r="G1515" s="943"/>
      <c r="H1515" s="1011"/>
      <c r="I1515" s="1006"/>
      <c r="J1515" s="1313" t="s">
        <v>1069</v>
      </c>
      <c r="K1515" s="27"/>
      <c r="L1515" s="27"/>
      <c r="M1515" s="27"/>
      <c r="N1515" s="27"/>
      <c r="O1515" s="27"/>
    </row>
    <row r="1516" spans="1:15" ht="22.5" customHeight="1">
      <c r="A1516" s="1529"/>
      <c r="B1516" s="263"/>
      <c r="C1516" s="659"/>
      <c r="D1516" s="165"/>
      <c r="E1516" s="1332">
        <f>SUM(E1500:E1515)</f>
        <v>22550000</v>
      </c>
      <c r="F1516" s="659"/>
      <c r="G1516" s="895">
        <f>SUM(G1500:G1515)</f>
        <v>1765500</v>
      </c>
      <c r="H1516" s="999"/>
      <c r="I1516" s="1093"/>
      <c r="J1516" s="1134"/>
      <c r="K1516" s="27"/>
      <c r="L1516" s="27"/>
      <c r="M1516" s="852" t="s">
        <v>80</v>
      </c>
      <c r="N1516" s="852"/>
      <c r="O1516" s="853">
        <f>G1516+O1514</f>
        <v>1998000</v>
      </c>
    </row>
    <row r="1517" spans="1:15" s="1545" customFormat="1" ht="18" customHeight="1">
      <c r="A1517" s="1543"/>
      <c r="B1517" s="1544"/>
      <c r="C1517" s="1544"/>
      <c r="D1517" s="1544"/>
      <c r="E1517" s="1544"/>
      <c r="F1517" s="1544"/>
      <c r="G1517" s="1544"/>
      <c r="H1517" s="1544"/>
      <c r="I1517" s="1544"/>
      <c r="J1517" s="1544"/>
      <c r="K1517" s="1544"/>
      <c r="L1517" s="1544"/>
      <c r="M1517" s="1544"/>
      <c r="N1517" s="1544"/>
      <c r="O1517" s="1544"/>
    </row>
    <row r="1518" spans="1:15" s="1545" customFormat="1" ht="15.75" customHeight="1">
      <c r="A1518" s="1543"/>
      <c r="B1518" s="1544"/>
      <c r="C1518" s="1544"/>
      <c r="D1518" s="1544"/>
      <c r="E1518" s="1544"/>
      <c r="F1518" s="1544"/>
      <c r="G1518" s="1544"/>
      <c r="H1518" s="1544"/>
      <c r="I1518" s="1544"/>
      <c r="J1518" s="1544"/>
      <c r="K1518" s="1544"/>
      <c r="L1518" s="1544"/>
      <c r="M1518" s="1544"/>
      <c r="N1518" s="1544"/>
      <c r="O1518" s="1544"/>
    </row>
    <row r="1519" spans="1:15" ht="23.25">
      <c r="A1519" s="1539" t="s">
        <v>1070</v>
      </c>
      <c r="B1519" s="1539"/>
      <c r="C1519" s="1539"/>
      <c r="D1519" s="1539"/>
      <c r="E1519" s="1539"/>
      <c r="F1519" s="1539"/>
      <c r="G1519" s="1539"/>
      <c r="H1519" s="1539"/>
      <c r="I1519" s="1539"/>
      <c r="J1519" s="1539"/>
      <c r="K1519" s="1533" t="s">
        <v>2</v>
      </c>
      <c r="L1519" s="1533"/>
      <c r="M1519" s="1533"/>
      <c r="N1519" s="1533"/>
      <c r="O1519" s="1533"/>
    </row>
    <row r="1520" spans="1:15" ht="30.75">
      <c r="A1520" s="3" t="s">
        <v>3</v>
      </c>
      <c r="B1520" s="3" t="s">
        <v>120</v>
      </c>
      <c r="C1520" s="2" t="s">
        <v>4</v>
      </c>
      <c r="D1520" s="3" t="s">
        <v>5</v>
      </c>
      <c r="E1520" s="3" t="s">
        <v>6</v>
      </c>
      <c r="F1520" s="3" t="s">
        <v>7</v>
      </c>
      <c r="G1520" s="3" t="s">
        <v>8</v>
      </c>
      <c r="H1520" s="3" t="s">
        <v>9</v>
      </c>
      <c r="I1520" s="3" t="s">
        <v>10</v>
      </c>
      <c r="J1520" s="3" t="s">
        <v>11</v>
      </c>
      <c r="K1520" s="68" t="s">
        <v>12</v>
      </c>
      <c r="L1520" s="68" t="s">
        <v>5</v>
      </c>
      <c r="M1520" s="68" t="s">
        <v>13</v>
      </c>
      <c r="N1520" s="129" t="s">
        <v>7</v>
      </c>
      <c r="O1520" s="68" t="s">
        <v>14</v>
      </c>
    </row>
    <row r="1521" spans="1:15" ht="15.75">
      <c r="A1521" s="1541">
        <v>2</v>
      </c>
      <c r="B1521" s="241">
        <v>14131</v>
      </c>
      <c r="C1521" s="583">
        <v>0.1</v>
      </c>
      <c r="D1521" s="259" t="s">
        <v>1030</v>
      </c>
      <c r="E1521" s="1058">
        <v>900000</v>
      </c>
      <c r="F1521" s="779">
        <v>0.04</v>
      </c>
      <c r="G1521" s="535">
        <f>E1521*F1521</f>
        <v>36000</v>
      </c>
      <c r="H1521" s="241" t="s">
        <v>311</v>
      </c>
      <c r="I1521" s="241" t="s">
        <v>989</v>
      </c>
      <c r="J1521" s="1288"/>
      <c r="K1521" s="14"/>
      <c r="L1521" s="14"/>
      <c r="M1521" s="14"/>
      <c r="N1521" s="14"/>
      <c r="O1521" s="14"/>
    </row>
    <row r="1522" spans="1:15" ht="15.75">
      <c r="A1522" s="1541"/>
      <c r="B1522" s="209" t="s">
        <v>1071</v>
      </c>
      <c r="C1522" s="1123"/>
      <c r="D1522" s="757" t="s">
        <v>1072</v>
      </c>
      <c r="E1522" s="228"/>
      <c r="F1522" s="877"/>
      <c r="G1522" s="1124"/>
      <c r="H1522" s="209"/>
      <c r="I1522" s="1301"/>
      <c r="J1522" s="277" t="s">
        <v>1073</v>
      </c>
    </row>
    <row r="1523" spans="1:15" ht="15.75">
      <c r="A1523" s="1542"/>
      <c r="B1523" s="215"/>
      <c r="C1523" s="215"/>
      <c r="D1523" s="214"/>
      <c r="E1523" s="1043">
        <f>SUM(E1521:E1522)</f>
        <v>900000</v>
      </c>
      <c r="F1523" s="1040"/>
      <c r="G1523" s="281">
        <f>SUM(G1521:G1522)</f>
        <v>36000</v>
      </c>
      <c r="H1523" s="214"/>
      <c r="I1523" s="214"/>
      <c r="J1523" s="214"/>
    </row>
    <row r="1524" spans="1:15" ht="15.75">
      <c r="E1524" s="1045" t="s">
        <v>1074</v>
      </c>
      <c r="F1524" s="680"/>
      <c r="G1524" s="1302">
        <v>36000</v>
      </c>
    </row>
    <row r="1526" spans="1:15" ht="23.25">
      <c r="A1526" s="1539" t="s">
        <v>1075</v>
      </c>
      <c r="B1526" s="1540"/>
      <c r="C1526" s="1540"/>
      <c r="D1526" s="1540"/>
      <c r="E1526" s="1540"/>
      <c r="F1526" s="1540"/>
      <c r="G1526" s="1540"/>
      <c r="H1526" s="1540"/>
      <c r="I1526" s="1540"/>
      <c r="J1526" s="1540"/>
      <c r="K1526" s="1533" t="s">
        <v>2</v>
      </c>
      <c r="L1526" s="1533"/>
      <c r="M1526" s="1533"/>
      <c r="N1526" s="1533"/>
      <c r="O1526" s="1533"/>
    </row>
    <row r="1527" spans="1:15" ht="30.75">
      <c r="A1527" s="126" t="s">
        <v>3</v>
      </c>
      <c r="B1527" s="3" t="s">
        <v>120</v>
      </c>
      <c r="C1527" s="2" t="s">
        <v>4</v>
      </c>
      <c r="D1527" s="3" t="s">
        <v>5</v>
      </c>
      <c r="E1527" s="3" t="s">
        <v>6</v>
      </c>
      <c r="F1527" s="3" t="s">
        <v>7</v>
      </c>
      <c r="G1527" s="3" t="s">
        <v>8</v>
      </c>
      <c r="H1527" s="3" t="s">
        <v>9</v>
      </c>
      <c r="I1527" s="3" t="s">
        <v>10</v>
      </c>
      <c r="J1527" s="3" t="s">
        <v>11</v>
      </c>
      <c r="K1527" s="657" t="s">
        <v>12</v>
      </c>
      <c r="L1527" s="68" t="s">
        <v>5</v>
      </c>
      <c r="M1527" s="68" t="s">
        <v>13</v>
      </c>
      <c r="N1527" s="129" t="s">
        <v>7</v>
      </c>
      <c r="O1527" s="68" t="s">
        <v>14</v>
      </c>
    </row>
    <row r="1528" spans="1:15" ht="15.75">
      <c r="A1528" s="1538" t="s">
        <v>1076</v>
      </c>
      <c r="B1528" s="238">
        <v>14183</v>
      </c>
      <c r="C1528" s="138">
        <v>0.1</v>
      </c>
      <c r="D1528" s="259" t="s">
        <v>1077</v>
      </c>
      <c r="E1528" s="143">
        <v>1000000</v>
      </c>
      <c r="F1528" s="779">
        <v>0.04</v>
      </c>
      <c r="G1528" s="535">
        <f>E1528*F1528</f>
        <v>40000</v>
      </c>
      <c r="H1528" s="135" t="s">
        <v>180</v>
      </c>
      <c r="I1528" s="135" t="s">
        <v>989</v>
      </c>
      <c r="J1528" s="1273"/>
      <c r="K1528" s="241">
        <v>14286</v>
      </c>
      <c r="L1528" s="259" t="s">
        <v>1063</v>
      </c>
      <c r="M1528" s="699">
        <v>1250000</v>
      </c>
      <c r="N1528" s="232">
        <v>0.03</v>
      </c>
      <c r="O1528" s="178">
        <f>M1528*N1528</f>
        <v>37500</v>
      </c>
    </row>
    <row r="1529" spans="1:15" ht="15.75">
      <c r="A1529" s="1538"/>
      <c r="B1529" s="238">
        <v>14205</v>
      </c>
      <c r="C1529" s="140">
        <v>0.08</v>
      </c>
      <c r="D1529" s="259" t="s">
        <v>1078</v>
      </c>
      <c r="E1529" s="143">
        <v>1900000</v>
      </c>
      <c r="F1529" s="234">
        <v>0.06</v>
      </c>
      <c r="G1529" s="535">
        <f t="shared" ref="G1529:G1533" si="73">E1529*F1529</f>
        <v>114000</v>
      </c>
      <c r="H1529" s="241" t="s">
        <v>1015</v>
      </c>
      <c r="I1529" s="241" t="s">
        <v>100</v>
      </c>
      <c r="J1529" s="1274"/>
      <c r="K1529" s="545"/>
      <c r="L1529" s="136" t="s">
        <v>1065</v>
      </c>
      <c r="M1529" s="699">
        <v>1700000</v>
      </c>
      <c r="N1529" s="232">
        <v>0.04</v>
      </c>
      <c r="O1529" s="178">
        <f t="shared" ref="O1529:O1530" si="74">M1529*N1529</f>
        <v>68000</v>
      </c>
    </row>
    <row r="1530" spans="1:15" ht="15.75">
      <c r="A1530" s="1538"/>
      <c r="B1530" s="133">
        <v>14244</v>
      </c>
      <c r="C1530" s="138">
        <v>0.1</v>
      </c>
      <c r="D1530" s="1024" t="s">
        <v>1050</v>
      </c>
      <c r="E1530" s="143">
        <v>1600000</v>
      </c>
      <c r="F1530" s="779">
        <v>0.04</v>
      </c>
      <c r="G1530" s="535">
        <f t="shared" si="73"/>
        <v>64000</v>
      </c>
      <c r="H1530" s="135" t="s">
        <v>520</v>
      </c>
      <c r="I1530" s="135" t="s">
        <v>242</v>
      </c>
      <c r="J1530" s="1273"/>
      <c r="K1530" s="133">
        <v>14155</v>
      </c>
      <c r="L1530" s="136" t="s">
        <v>1079</v>
      </c>
      <c r="M1530" s="143">
        <v>1600000</v>
      </c>
      <c r="N1530" s="232">
        <v>0.03</v>
      </c>
      <c r="O1530" s="178">
        <f t="shared" si="74"/>
        <v>48000</v>
      </c>
    </row>
    <row r="1531" spans="1:15" ht="15.75">
      <c r="A1531" s="1538"/>
      <c r="B1531" s="133">
        <v>14310</v>
      </c>
      <c r="C1531" s="138">
        <v>0.1</v>
      </c>
      <c r="D1531" s="259" t="s">
        <v>1080</v>
      </c>
      <c r="E1531" s="143">
        <v>1000000</v>
      </c>
      <c r="F1531" s="1322">
        <v>0.08</v>
      </c>
      <c r="G1531" s="535">
        <f t="shared" si="73"/>
        <v>80000</v>
      </c>
      <c r="H1531" s="241" t="s">
        <v>1015</v>
      </c>
      <c r="I1531" s="241" t="s">
        <v>989</v>
      </c>
      <c r="J1531" s="1274"/>
      <c r="K1531" s="27"/>
      <c r="L1531" s="27"/>
      <c r="M1531" s="14"/>
      <c r="N1531" s="14"/>
      <c r="O1531" s="14"/>
    </row>
    <row r="1532" spans="1:15" ht="15.75">
      <c r="A1532" s="1538"/>
      <c r="B1532" s="133">
        <v>14319</v>
      </c>
      <c r="C1532" s="138"/>
      <c r="D1532" s="259" t="s">
        <v>1081</v>
      </c>
      <c r="E1532" s="143">
        <v>750000</v>
      </c>
      <c r="F1532" s="1322">
        <v>0.08</v>
      </c>
      <c r="G1532" s="535">
        <f t="shared" si="73"/>
        <v>60000</v>
      </c>
      <c r="H1532" s="241" t="s">
        <v>1015</v>
      </c>
      <c r="I1532" s="241" t="s">
        <v>100</v>
      </c>
      <c r="J1532" s="1274"/>
      <c r="K1532" s="27"/>
      <c r="L1532" s="27"/>
      <c r="M1532" s="14"/>
      <c r="N1532" s="14"/>
      <c r="O1532" s="14"/>
    </row>
    <row r="1533" spans="1:15" ht="15.75">
      <c r="A1533" s="1538"/>
      <c r="B1533" s="238">
        <v>14329</v>
      </c>
      <c r="C1533" s="138">
        <v>0.1</v>
      </c>
      <c r="D1533" s="137" t="s">
        <v>1082</v>
      </c>
      <c r="E1533" s="143">
        <v>1900000</v>
      </c>
      <c r="F1533" s="1322">
        <v>0.05</v>
      </c>
      <c r="G1533" s="535">
        <f t="shared" si="73"/>
        <v>95000</v>
      </c>
      <c r="H1533" s="241" t="s">
        <v>30</v>
      </c>
      <c r="I1533" s="241" t="s">
        <v>242</v>
      </c>
      <c r="J1533" s="1274"/>
      <c r="K1533" s="27"/>
      <c r="L1533" s="27"/>
      <c r="M1533" s="14"/>
      <c r="N1533" s="14"/>
      <c r="O1533" s="14"/>
    </row>
    <row r="1534" spans="1:15" ht="15.75">
      <c r="A1534" s="1538"/>
      <c r="B1534" s="814" t="s">
        <v>297</v>
      </c>
      <c r="C1534" s="220"/>
      <c r="D1534" s="1255" t="s">
        <v>1083</v>
      </c>
      <c r="E1534" s="308"/>
      <c r="F1534" s="1308"/>
      <c r="G1534" s="1309"/>
      <c r="H1534" s="209"/>
      <c r="I1534" s="209"/>
      <c r="J1534" s="1310" t="s">
        <v>1084</v>
      </c>
      <c r="K1534" s="27"/>
      <c r="L1534" s="27"/>
      <c r="M1534" s="14"/>
      <c r="N1534" s="14"/>
      <c r="O1534" s="14"/>
    </row>
    <row r="1535" spans="1:15" ht="18">
      <c r="A1535" s="1538"/>
      <c r="B1535" s="814" t="s">
        <v>297</v>
      </c>
      <c r="C1535" s="220"/>
      <c r="D1535" s="1255" t="s">
        <v>1085</v>
      </c>
      <c r="E1535" s="308"/>
      <c r="F1535" s="1308"/>
      <c r="G1535" s="1309"/>
      <c r="H1535" s="209"/>
      <c r="I1535" s="209"/>
      <c r="J1535" s="1310" t="s">
        <v>1086</v>
      </c>
      <c r="K1535" s="27"/>
      <c r="L1535" s="27"/>
      <c r="M1535" s="772" t="s">
        <v>80</v>
      </c>
      <c r="N1535" s="772"/>
      <c r="O1535" s="533">
        <f>SUM(O1528:O1534)</f>
        <v>153500</v>
      </c>
    </row>
    <row r="1536" spans="1:15" ht="15.75">
      <c r="A1536" s="1538"/>
      <c r="B1536" s="792"/>
      <c r="C1536" s="659"/>
      <c r="D1536" s="1269"/>
      <c r="E1536" s="261"/>
      <c r="F1536" s="1091"/>
      <c r="G1536" s="1270"/>
      <c r="H1536" s="235"/>
      <c r="I1536" s="235"/>
      <c r="J1536" s="1271"/>
      <c r="K1536" s="27"/>
      <c r="L1536" s="27"/>
      <c r="M1536" s="1336"/>
      <c r="N1536" s="1336"/>
      <c r="O1536" s="1336"/>
    </row>
    <row r="1537" spans="1:15" ht="20.25">
      <c r="A1537" s="1538"/>
      <c r="B1537" s="1319"/>
      <c r="C1537" s="1270"/>
      <c r="D1537" s="1091"/>
      <c r="E1537" s="991">
        <f>SUM(E1528:E1536)</f>
        <v>8150000</v>
      </c>
      <c r="F1537" s="1091"/>
      <c r="G1537" s="332">
        <f>SUM(G1528:G1536)</f>
        <v>453000</v>
      </c>
      <c r="H1537" s="1091"/>
      <c r="I1537" s="1091"/>
      <c r="J1537" s="1271"/>
      <c r="K1537" s="27"/>
      <c r="L1537" s="27"/>
      <c r="M1537" s="906" t="s">
        <v>80</v>
      </c>
      <c r="N1537" s="906"/>
      <c r="O1537" s="869">
        <f>G1537+O1535</f>
        <v>606500</v>
      </c>
    </row>
    <row r="1540" spans="1:15" ht="23.25">
      <c r="A1540" s="1539" t="s">
        <v>1087</v>
      </c>
      <c r="B1540" s="1540"/>
      <c r="C1540" s="1540"/>
      <c r="D1540" s="1540"/>
      <c r="E1540" s="1540"/>
      <c r="F1540" s="1540"/>
      <c r="G1540" s="1540"/>
      <c r="H1540" s="1540"/>
      <c r="I1540" s="1540"/>
      <c r="J1540" s="1540"/>
      <c r="K1540" s="1533" t="s">
        <v>2</v>
      </c>
      <c r="L1540" s="1533"/>
      <c r="M1540" s="1533"/>
      <c r="N1540" s="1533"/>
      <c r="O1540" s="1533"/>
    </row>
    <row r="1541" spans="1:15" ht="30.75">
      <c r="A1541" s="126" t="s">
        <v>3</v>
      </c>
      <c r="B1541" s="3" t="s">
        <v>120</v>
      </c>
      <c r="C1541" s="2" t="s">
        <v>4</v>
      </c>
      <c r="D1541" s="3" t="s">
        <v>5</v>
      </c>
      <c r="E1541" s="3" t="s">
        <v>6</v>
      </c>
      <c r="F1541" s="3" t="s">
        <v>7</v>
      </c>
      <c r="G1541" s="3" t="s">
        <v>8</v>
      </c>
      <c r="H1541" s="3" t="s">
        <v>9</v>
      </c>
      <c r="I1541" s="3" t="s">
        <v>10</v>
      </c>
      <c r="J1541" s="3" t="s">
        <v>11</v>
      </c>
      <c r="K1541" s="657" t="s">
        <v>12</v>
      </c>
      <c r="L1541" s="68" t="s">
        <v>5</v>
      </c>
      <c r="M1541" s="68" t="s">
        <v>13</v>
      </c>
      <c r="N1541" s="129" t="s">
        <v>7</v>
      </c>
      <c r="O1541" s="68" t="s">
        <v>14</v>
      </c>
    </row>
    <row r="1542" spans="1:15" ht="15.75">
      <c r="A1542" s="1538" t="s">
        <v>1088</v>
      </c>
      <c r="B1542" s="133">
        <v>14155</v>
      </c>
      <c r="C1542" s="140">
        <v>0.09</v>
      </c>
      <c r="D1542" s="136" t="s">
        <v>1079</v>
      </c>
      <c r="E1542" s="143">
        <v>1600000</v>
      </c>
      <c r="F1542" s="779">
        <v>0.03</v>
      </c>
      <c r="G1542" s="535">
        <f>E1542*F1542</f>
        <v>48000</v>
      </c>
      <c r="H1542" s="135" t="s">
        <v>1015</v>
      </c>
      <c r="I1542" s="135" t="s">
        <v>242</v>
      </c>
      <c r="J1542" s="1273"/>
      <c r="K1542" s="14"/>
      <c r="L1542" s="27"/>
      <c r="M1542" s="14"/>
      <c r="N1542" s="14"/>
      <c r="O1542" s="14"/>
    </row>
    <row r="1543" spans="1:15" ht="15.75">
      <c r="A1543" s="1538"/>
      <c r="B1543" s="133">
        <v>14265</v>
      </c>
      <c r="C1543" s="138">
        <v>0.1</v>
      </c>
      <c r="D1543" s="1024" t="s">
        <v>1052</v>
      </c>
      <c r="E1543" s="143">
        <v>1600000</v>
      </c>
      <c r="F1543" s="779">
        <v>0.04</v>
      </c>
      <c r="G1543" s="535">
        <f t="shared" ref="G1543:G1544" si="75">E1543*F1543</f>
        <v>64000</v>
      </c>
      <c r="H1543" s="135" t="s">
        <v>520</v>
      </c>
      <c r="I1543" s="135" t="s">
        <v>242</v>
      </c>
      <c r="J1543" s="1273"/>
      <c r="K1543" s="27"/>
      <c r="L1543" s="27"/>
      <c r="M1543" s="14"/>
      <c r="N1543" s="14"/>
      <c r="O1543" s="14"/>
    </row>
    <row r="1544" spans="1:15" ht="15.75">
      <c r="A1544" s="1538"/>
      <c r="B1544" s="133">
        <v>14249</v>
      </c>
      <c r="C1544" s="478">
        <v>0.1</v>
      </c>
      <c r="D1544" s="1057" t="s">
        <v>1089</v>
      </c>
      <c r="E1544" s="143">
        <v>1250000</v>
      </c>
      <c r="F1544" s="779">
        <v>0.08</v>
      </c>
      <c r="G1544" s="535">
        <f t="shared" si="75"/>
        <v>100000</v>
      </c>
      <c r="H1544" s="241" t="s">
        <v>1090</v>
      </c>
      <c r="I1544" s="241" t="s">
        <v>242</v>
      </c>
      <c r="J1544" s="1274"/>
      <c r="K1544" s="27"/>
      <c r="L1544" s="27"/>
      <c r="M1544" s="14"/>
      <c r="N1544" s="14"/>
      <c r="O1544" s="14"/>
    </row>
    <row r="1545" spans="1:15" ht="15.75">
      <c r="A1545" s="1538"/>
      <c r="B1545" s="814" t="s">
        <v>297</v>
      </c>
      <c r="C1545" s="348"/>
      <c r="D1545" s="1255" t="s">
        <v>1091</v>
      </c>
      <c r="E1545" s="308"/>
      <c r="F1545" s="877"/>
      <c r="G1545" s="1309"/>
      <c r="H1545" s="209"/>
      <c r="I1545" s="209"/>
      <c r="J1545" s="1310" t="s">
        <v>1092</v>
      </c>
      <c r="K1545" s="27"/>
      <c r="L1545" s="27"/>
      <c r="M1545" s="14"/>
      <c r="N1545" s="14"/>
      <c r="O1545" s="14"/>
    </row>
    <row r="1546" spans="1:15" ht="15.75">
      <c r="A1546" s="1538"/>
      <c r="B1546" s="792"/>
      <c r="C1546" s="659"/>
      <c r="D1546" s="1269"/>
      <c r="E1546" s="261"/>
      <c r="F1546" s="1091"/>
      <c r="G1546" s="1270"/>
      <c r="H1546" s="235"/>
      <c r="I1546" s="235"/>
      <c r="J1546" s="1271"/>
      <c r="K1546" s="27"/>
      <c r="L1546" s="27"/>
      <c r="M1546" s="14"/>
      <c r="N1546" s="14"/>
      <c r="O1546" s="14"/>
    </row>
    <row r="1547" spans="1:15" ht="20.25">
      <c r="A1547" s="1538"/>
      <c r="B1547" s="1319"/>
      <c r="C1547" s="1270"/>
      <c r="D1547" s="1091"/>
      <c r="E1547" s="991">
        <f>SUM(E1542:E1546)</f>
        <v>4450000</v>
      </c>
      <c r="F1547" s="1091"/>
      <c r="G1547" s="332">
        <f>SUM(G1542:G1546)</f>
        <v>212000</v>
      </c>
      <c r="H1547" s="1091"/>
      <c r="I1547" s="1091"/>
      <c r="J1547" s="1271"/>
      <c r="K1547" s="27"/>
      <c r="L1547" s="27"/>
      <c r="M1547" s="906" t="s">
        <v>80</v>
      </c>
      <c r="N1547" s="906"/>
      <c r="O1547" s="869">
        <f>G1547</f>
        <v>212000</v>
      </c>
    </row>
    <row r="1550" spans="1:15" ht="23.25">
      <c r="A1550" s="1539" t="s">
        <v>1093</v>
      </c>
      <c r="B1550" s="1540"/>
      <c r="C1550" s="1540"/>
      <c r="D1550" s="1540"/>
      <c r="E1550" s="1540"/>
      <c r="F1550" s="1540"/>
      <c r="G1550" s="1540"/>
      <c r="H1550" s="1540"/>
      <c r="I1550" s="1540"/>
      <c r="J1550" s="1540"/>
      <c r="K1550" s="1533" t="s">
        <v>2</v>
      </c>
      <c r="L1550" s="1533"/>
      <c r="M1550" s="1533"/>
      <c r="N1550" s="1533"/>
      <c r="O1550" s="1533"/>
    </row>
    <row r="1551" spans="1:15" ht="30.75">
      <c r="A1551" s="126" t="s">
        <v>3</v>
      </c>
      <c r="B1551" s="3" t="s">
        <v>120</v>
      </c>
      <c r="C1551" s="2" t="s">
        <v>4</v>
      </c>
      <c r="D1551" s="3" t="s">
        <v>5</v>
      </c>
      <c r="E1551" s="3" t="s">
        <v>6</v>
      </c>
      <c r="F1551" s="3" t="s">
        <v>7</v>
      </c>
      <c r="G1551" s="3" t="s">
        <v>8</v>
      </c>
      <c r="H1551" s="3" t="s">
        <v>9</v>
      </c>
      <c r="I1551" s="3" t="s">
        <v>10</v>
      </c>
      <c r="J1551" s="3" t="s">
        <v>11</v>
      </c>
      <c r="K1551" s="657" t="s">
        <v>12</v>
      </c>
      <c r="L1551" s="68" t="s">
        <v>5</v>
      </c>
      <c r="M1551" s="68" t="s">
        <v>13</v>
      </c>
      <c r="N1551" s="129" t="s">
        <v>7</v>
      </c>
      <c r="O1551" s="68" t="s">
        <v>14</v>
      </c>
    </row>
    <row r="1552" spans="1:15" ht="15.75">
      <c r="A1552" s="1538">
        <v>9</v>
      </c>
      <c r="B1552" s="133">
        <v>14203</v>
      </c>
      <c r="C1552" s="138">
        <v>0.1</v>
      </c>
      <c r="D1552" s="136" t="s">
        <v>1032</v>
      </c>
      <c r="E1552" s="143">
        <v>1200000</v>
      </c>
      <c r="F1552" s="779">
        <v>0.04</v>
      </c>
      <c r="G1552" s="535">
        <f>E1552*F1552</f>
        <v>48000</v>
      </c>
      <c r="H1552" s="135" t="s">
        <v>311</v>
      </c>
      <c r="I1552" s="135" t="s">
        <v>242</v>
      </c>
      <c r="J1552" s="1273"/>
      <c r="K1552" s="14"/>
      <c r="L1552" s="27"/>
      <c r="M1552" s="14"/>
      <c r="N1552" s="14"/>
      <c r="O1552" s="14"/>
    </row>
    <row r="1553" spans="1:15" ht="15.75">
      <c r="A1553" s="1538"/>
      <c r="B1553" s="133">
        <v>14284</v>
      </c>
      <c r="C1553" s="478">
        <v>0.1</v>
      </c>
      <c r="D1553" s="1057" t="s">
        <v>1054</v>
      </c>
      <c r="E1553" s="143">
        <v>1450000</v>
      </c>
      <c r="F1553" s="779">
        <v>0.04</v>
      </c>
      <c r="G1553" s="535">
        <f t="shared" ref="G1553:G1555" si="76">E1553*F1553</f>
        <v>58000</v>
      </c>
      <c r="H1553" s="241" t="s">
        <v>520</v>
      </c>
      <c r="I1553" s="241" t="s">
        <v>242</v>
      </c>
      <c r="J1553" s="1274"/>
      <c r="K1553" s="27"/>
      <c r="L1553" s="27"/>
      <c r="M1553" s="14"/>
      <c r="N1553" s="14"/>
      <c r="O1553" s="14"/>
    </row>
    <row r="1554" spans="1:15" ht="15.75">
      <c r="A1554" s="1538"/>
      <c r="B1554" s="133">
        <v>14331</v>
      </c>
      <c r="C1554" s="478">
        <v>0.1</v>
      </c>
      <c r="D1554" s="1057" t="s">
        <v>1094</v>
      </c>
      <c r="E1554" s="143">
        <v>1300000</v>
      </c>
      <c r="F1554" s="779">
        <v>0.08</v>
      </c>
      <c r="G1554" s="535">
        <f t="shared" si="76"/>
        <v>104000</v>
      </c>
      <c r="H1554" s="241" t="s">
        <v>1095</v>
      </c>
      <c r="I1554" s="241" t="s">
        <v>989</v>
      </c>
      <c r="J1554" s="1274"/>
      <c r="K1554" s="27"/>
      <c r="L1554" s="27"/>
      <c r="M1554" s="14"/>
      <c r="N1554" s="14"/>
      <c r="O1554" s="14"/>
    </row>
    <row r="1555" spans="1:15" ht="15.75">
      <c r="A1555" s="1538"/>
      <c r="B1555" s="133">
        <v>14298</v>
      </c>
      <c r="C1555" s="1207">
        <v>0.1</v>
      </c>
      <c r="D1555" s="259" t="s">
        <v>1096</v>
      </c>
      <c r="E1555" s="143">
        <v>1150000</v>
      </c>
      <c r="F1555" s="779">
        <v>0.08</v>
      </c>
      <c r="G1555" s="535">
        <f t="shared" si="76"/>
        <v>92000</v>
      </c>
      <c r="H1555" s="241" t="s">
        <v>1095</v>
      </c>
      <c r="I1555" s="241" t="s">
        <v>242</v>
      </c>
      <c r="J1555" s="1274"/>
      <c r="K1555" s="27"/>
      <c r="L1555" s="27"/>
      <c r="M1555" s="14"/>
      <c r="N1555" s="14"/>
      <c r="O1555" s="14"/>
    </row>
    <row r="1556" spans="1:15" ht="20.25">
      <c r="A1556" s="1538"/>
      <c r="B1556" s="1319"/>
      <c r="C1556" s="1270"/>
      <c r="D1556" s="1091"/>
      <c r="E1556" s="1110">
        <f>SUM(E1552:E1555)</f>
        <v>5100000</v>
      </c>
      <c r="F1556" s="1091"/>
      <c r="G1556" s="332">
        <f>SUM(G1552:G1555)</f>
        <v>302000</v>
      </c>
      <c r="H1556" s="1091"/>
      <c r="I1556" s="1091"/>
      <c r="J1556" s="1271"/>
      <c r="K1556" s="27"/>
      <c r="L1556" s="27"/>
      <c r="M1556" s="906" t="s">
        <v>80</v>
      </c>
      <c r="N1556" s="906"/>
      <c r="O1556" s="869">
        <f>G1556</f>
        <v>302000</v>
      </c>
    </row>
    <row r="1560" spans="1:15" ht="23.25">
      <c r="A1560" s="1530" t="s">
        <v>1097</v>
      </c>
      <c r="B1560" s="1531"/>
      <c r="C1560" s="1532"/>
      <c r="D1560" s="1531"/>
      <c r="E1560" s="1531"/>
      <c r="F1560" s="1531"/>
      <c r="G1560" s="1531"/>
      <c r="H1560" s="1531"/>
      <c r="I1560" s="1531"/>
      <c r="J1560" s="1532"/>
      <c r="K1560" s="1533" t="s">
        <v>2</v>
      </c>
      <c r="L1560" s="1533"/>
      <c r="M1560" s="1533"/>
      <c r="N1560" s="1533"/>
      <c r="O1560" s="1533"/>
    </row>
    <row r="1561" spans="1:15" ht="30.75">
      <c r="A1561" s="126" t="s">
        <v>3</v>
      </c>
      <c r="B1561" s="1" t="s">
        <v>120</v>
      </c>
      <c r="C1561" s="367" t="s">
        <v>4</v>
      </c>
      <c r="D1561" s="1" t="s">
        <v>5</v>
      </c>
      <c r="E1561" s="1" t="s">
        <v>6</v>
      </c>
      <c r="F1561" s="1" t="s">
        <v>7</v>
      </c>
      <c r="G1561" s="126" t="s">
        <v>8</v>
      </c>
      <c r="H1561" s="1283" t="s">
        <v>9</v>
      </c>
      <c r="I1561" s="3" t="s">
        <v>10</v>
      </c>
      <c r="J1561" s="1326" t="s">
        <v>11</v>
      </c>
      <c r="K1561" s="3" t="s">
        <v>12</v>
      </c>
      <c r="L1561" s="3" t="s">
        <v>5</v>
      </c>
      <c r="M1561" s="3" t="s">
        <v>13</v>
      </c>
      <c r="N1561" s="1" t="s">
        <v>7</v>
      </c>
      <c r="O1561" s="1" t="s">
        <v>14</v>
      </c>
    </row>
    <row r="1562" spans="1:15" ht="15.75">
      <c r="A1562" s="1538">
        <v>2</v>
      </c>
      <c r="B1562" s="135">
        <v>14259</v>
      </c>
      <c r="C1562" s="1315">
        <v>0.08</v>
      </c>
      <c r="D1562" s="1024" t="s">
        <v>1098</v>
      </c>
      <c r="E1562" s="143">
        <v>2200000</v>
      </c>
      <c r="F1562" s="779">
        <v>0.06</v>
      </c>
      <c r="G1562" s="535">
        <f>E1562*F1562</f>
        <v>132000</v>
      </c>
      <c r="H1562" s="144" t="s">
        <v>286</v>
      </c>
      <c r="I1562" s="135" t="s">
        <v>989</v>
      </c>
      <c r="J1562" s="1327"/>
      <c r="K1562" s="163"/>
      <c r="L1562" s="165"/>
      <c r="M1562" s="1099"/>
      <c r="N1562" s="27"/>
      <c r="O1562" s="27"/>
    </row>
    <row r="1563" spans="1:15" ht="15.75">
      <c r="A1563" s="1538"/>
      <c r="B1563" s="135">
        <v>14285</v>
      </c>
      <c r="C1563" s="1207">
        <v>0.1</v>
      </c>
      <c r="D1563" s="259" t="s">
        <v>287</v>
      </c>
      <c r="E1563" s="143">
        <v>1250000</v>
      </c>
      <c r="F1563" s="779">
        <v>0.05</v>
      </c>
      <c r="G1563" s="535">
        <f>E1563*F1563</f>
        <v>62500</v>
      </c>
      <c r="H1563" s="241" t="s">
        <v>30</v>
      </c>
      <c r="I1563" s="241" t="s">
        <v>242</v>
      </c>
      <c r="J1563" s="545"/>
      <c r="K1563" s="163"/>
      <c r="L1563" s="1338"/>
      <c r="M1563" s="1339"/>
      <c r="N1563" s="1100"/>
      <c r="O1563" s="959"/>
    </row>
    <row r="1564" spans="1:15" ht="18">
      <c r="A1564" s="1538"/>
      <c r="B1564" s="71"/>
      <c r="C1564" s="71"/>
      <c r="D1564" s="14"/>
      <c r="E1564" s="1110">
        <f>SUM(E1562:E1563)</f>
        <v>3450000</v>
      </c>
      <c r="F1564" s="14"/>
      <c r="G1564" s="371">
        <f>SUM(G1562:G1563)</f>
        <v>194500</v>
      </c>
      <c r="H1564" s="14"/>
      <c r="I1564" s="14"/>
      <c r="J1564" s="14"/>
      <c r="K1564" s="273"/>
      <c r="L1564" s="165"/>
      <c r="M1564" s="539" t="s">
        <v>80</v>
      </c>
      <c r="N1564" s="955"/>
      <c r="O1564" s="1340">
        <f>G1564</f>
        <v>194500</v>
      </c>
    </row>
    <row r="1565" spans="1:15" ht="15.75">
      <c r="L1565" s="1337"/>
      <c r="M1565" s="172"/>
    </row>
    <row r="1567" spans="1:15" ht="23.25">
      <c r="A1567" s="1530" t="s">
        <v>274</v>
      </c>
      <c r="B1567" s="1531"/>
      <c r="C1567" s="1532"/>
      <c r="D1567" s="1531"/>
      <c r="E1567" s="1531"/>
      <c r="F1567" s="1531"/>
      <c r="G1567" s="1531"/>
      <c r="H1567" s="1532"/>
      <c r="I1567" s="1532"/>
      <c r="J1567" s="1532"/>
      <c r="K1567" s="1533" t="s">
        <v>2</v>
      </c>
      <c r="L1567" s="1533"/>
      <c r="M1567" s="1533"/>
      <c r="N1567" s="1533"/>
      <c r="O1567" s="1533"/>
    </row>
    <row r="1568" spans="1:15" ht="30.75">
      <c r="A1568" s="126" t="s">
        <v>3</v>
      </c>
      <c r="B1568" s="1" t="s">
        <v>120</v>
      </c>
      <c r="C1568" s="367" t="s">
        <v>4</v>
      </c>
      <c r="D1568" s="1" t="s">
        <v>5</v>
      </c>
      <c r="E1568" s="1" t="s">
        <v>6</v>
      </c>
      <c r="F1568" s="1" t="s">
        <v>7</v>
      </c>
      <c r="G1568" s="1" t="s">
        <v>8</v>
      </c>
      <c r="H1568" s="361" t="s">
        <v>9</v>
      </c>
      <c r="I1568" s="1" t="s">
        <v>10</v>
      </c>
      <c r="J1568" s="126" t="s">
        <v>11</v>
      </c>
      <c r="K1568" s="3" t="s">
        <v>12</v>
      </c>
      <c r="L1568" s="3" t="s">
        <v>5</v>
      </c>
      <c r="M1568" s="3" t="s">
        <v>13</v>
      </c>
      <c r="N1568" s="1" t="s">
        <v>7</v>
      </c>
      <c r="O1568" s="1" t="s">
        <v>14</v>
      </c>
    </row>
    <row r="1569" spans="1:15" ht="15.75">
      <c r="A1569" s="1534"/>
      <c r="B1569" s="71"/>
      <c r="C1569" s="71"/>
      <c r="D1569" s="14"/>
      <c r="E1569" s="14"/>
      <c r="F1569" s="14"/>
      <c r="G1569" s="71"/>
      <c r="H1569" s="14"/>
      <c r="I1569" s="14"/>
      <c r="J1569" s="14"/>
      <c r="K1569" s="241">
        <v>14140</v>
      </c>
      <c r="L1569" s="259" t="s">
        <v>1029</v>
      </c>
      <c r="M1569" s="1082">
        <v>1300000</v>
      </c>
      <c r="N1569" s="27"/>
      <c r="O1569" s="27"/>
    </row>
    <row r="1570" spans="1:15" ht="15.75">
      <c r="A1570" s="1534"/>
      <c r="B1570" s="71"/>
      <c r="C1570" s="71"/>
      <c r="D1570" s="14"/>
      <c r="E1570" s="14"/>
      <c r="F1570" s="14"/>
      <c r="G1570" s="71"/>
      <c r="H1570" s="14"/>
      <c r="I1570" s="14"/>
      <c r="J1570" s="14"/>
      <c r="K1570" s="241">
        <v>14178</v>
      </c>
      <c r="L1570" s="137" t="s">
        <v>1033</v>
      </c>
      <c r="M1570" s="141">
        <v>1250000</v>
      </c>
      <c r="N1570" s="1100"/>
      <c r="O1570" s="959"/>
    </row>
    <row r="1571" spans="1:15" ht="15.75">
      <c r="A1571" s="1534"/>
      <c r="B1571" s="617"/>
      <c r="C1571" s="617"/>
      <c r="D1571" s="31"/>
      <c r="E1571" s="31"/>
      <c r="F1571" s="31"/>
      <c r="G1571" s="617"/>
      <c r="H1571" s="31"/>
      <c r="I1571" s="31"/>
      <c r="J1571" s="31"/>
      <c r="K1571" s="241">
        <v>14177</v>
      </c>
      <c r="L1571" s="259" t="s">
        <v>1035</v>
      </c>
      <c r="M1571" s="1084">
        <v>750000</v>
      </c>
      <c r="N1571" s="27"/>
      <c r="O1571" s="27"/>
    </row>
    <row r="1572" spans="1:15" ht="15.75">
      <c r="A1572" s="1534"/>
      <c r="B1572" s="71"/>
      <c r="C1572" s="71"/>
      <c r="D1572" s="14"/>
      <c r="E1572" s="14"/>
      <c r="F1572" s="14"/>
      <c r="G1572" s="71"/>
      <c r="H1572" s="14"/>
      <c r="I1572" s="14"/>
      <c r="J1572" s="14"/>
      <c r="K1572" s="241">
        <v>14264</v>
      </c>
      <c r="L1572" s="1024" t="s">
        <v>1039</v>
      </c>
      <c r="M1572" s="1084">
        <v>1500000</v>
      </c>
      <c r="N1572" s="959"/>
      <c r="O1572" s="959"/>
    </row>
    <row r="1573" spans="1:15" ht="15.75">
      <c r="A1573" s="1534"/>
      <c r="B1573" s="71"/>
      <c r="C1573" s="71"/>
      <c r="D1573" s="14"/>
      <c r="E1573" s="14"/>
      <c r="F1573" s="14"/>
      <c r="G1573" s="71"/>
      <c r="H1573" s="14"/>
      <c r="I1573" s="14"/>
      <c r="J1573" s="14"/>
      <c r="K1573" s="241">
        <v>14143</v>
      </c>
      <c r="L1573" s="259" t="s">
        <v>1051</v>
      </c>
      <c r="M1573" s="882">
        <v>1350000</v>
      </c>
      <c r="N1573" s="27"/>
      <c r="O1573" s="27"/>
    </row>
    <row r="1574" spans="1:15" ht="15.75">
      <c r="A1574" s="1534"/>
      <c r="B1574" s="71"/>
      <c r="C1574" s="71"/>
      <c r="D1574" s="14"/>
      <c r="E1574" s="14"/>
      <c r="F1574" s="14"/>
      <c r="G1574" s="71"/>
      <c r="H1574" s="14"/>
      <c r="I1574" s="14"/>
      <c r="J1574" s="14"/>
      <c r="K1574" s="241">
        <v>14185</v>
      </c>
      <c r="L1574" s="137" t="s">
        <v>1056</v>
      </c>
      <c r="M1574" s="882">
        <v>1700000</v>
      </c>
      <c r="N1574" s="27"/>
      <c r="O1574" s="27"/>
    </row>
    <row r="1575" spans="1:15" ht="15.75">
      <c r="A1575" s="1534"/>
      <c r="B1575" s="71"/>
      <c r="C1575" s="71"/>
      <c r="D1575" s="14"/>
      <c r="E1575" s="14"/>
      <c r="F1575" s="14"/>
      <c r="G1575" s="71"/>
      <c r="H1575" s="14"/>
      <c r="I1575" s="14"/>
      <c r="J1575" s="14"/>
      <c r="K1575" s="241">
        <v>14294</v>
      </c>
      <c r="L1575" s="259" t="s">
        <v>1061</v>
      </c>
      <c r="M1575" s="882">
        <v>1650000</v>
      </c>
      <c r="N1575" s="27"/>
      <c r="O1575" s="27"/>
    </row>
    <row r="1576" spans="1:15" ht="15.75">
      <c r="A1576" s="1534"/>
      <c r="B1576" s="71"/>
      <c r="C1576" s="71"/>
      <c r="D1576" s="14"/>
      <c r="E1576" s="14"/>
      <c r="F1576" s="14"/>
      <c r="G1576" s="71"/>
      <c r="H1576" s="14"/>
      <c r="I1576" s="14"/>
      <c r="J1576" s="14"/>
      <c r="K1576" s="135">
        <v>14285</v>
      </c>
      <c r="L1576" s="259" t="s">
        <v>287</v>
      </c>
      <c r="M1576" s="882">
        <v>1250000</v>
      </c>
      <c r="N1576" s="27"/>
      <c r="O1576" s="27"/>
    </row>
    <row r="1577" spans="1:15" ht="15.75">
      <c r="L1577" s="1045" t="s">
        <v>80</v>
      </c>
      <c r="M1577" s="539">
        <f>SUM(M1569:M1576)</f>
        <v>10750000</v>
      </c>
    </row>
    <row r="1579" spans="1:15" ht="18">
      <c r="A1579" s="1535" t="s">
        <v>68</v>
      </c>
      <c r="B1579" s="1535"/>
      <c r="C1579" s="365"/>
      <c r="D1579" s="341">
        <f>E1495+E1516+E1523+E1537+E1547+E1556+E1564-E1491-E1533</f>
        <v>62750000</v>
      </c>
    </row>
    <row r="1580" spans="1:15">
      <c r="A1580" s="1536" t="s">
        <v>69</v>
      </c>
      <c r="B1580" s="1536"/>
      <c r="C1580" s="22"/>
      <c r="D1580" s="20"/>
    </row>
    <row r="1581" spans="1:15">
      <c r="A1581" s="1537" t="s">
        <v>70</v>
      </c>
      <c r="B1581" s="1537"/>
      <c r="C1581" s="101"/>
      <c r="D1581" s="21"/>
    </row>
    <row r="1583" spans="1:15">
      <c r="D1583" s="131"/>
    </row>
    <row r="1585" spans="1:15" ht="31.5">
      <c r="A1585" s="1546" t="s">
        <v>1099</v>
      </c>
      <c r="B1585" s="1547"/>
      <c r="C1585" s="1547"/>
      <c r="D1585" s="1547"/>
      <c r="E1585" s="1547"/>
      <c r="F1585" s="1547"/>
      <c r="G1585" s="1547"/>
      <c r="H1585" s="1547"/>
      <c r="I1585" s="1547"/>
      <c r="J1585" s="1547"/>
    </row>
    <row r="1586" spans="1:15" ht="23.25">
      <c r="A1586" s="1548" t="s">
        <v>56</v>
      </c>
      <c r="B1586" s="1532"/>
      <c r="C1586" s="1532"/>
      <c r="D1586" s="1531"/>
      <c r="E1586" s="1532"/>
      <c r="F1586" s="1532"/>
      <c r="G1586" s="1532"/>
      <c r="H1586" s="1532"/>
      <c r="I1586" s="1532"/>
      <c r="J1586" s="1549"/>
      <c r="K1586" s="1533" t="s">
        <v>2</v>
      </c>
      <c r="L1586" s="1533"/>
      <c r="M1586" s="1533"/>
      <c r="N1586" s="1533"/>
      <c r="O1586" s="1533"/>
    </row>
    <row r="1587" spans="1:15" ht="30.75">
      <c r="A1587" s="1" t="s">
        <v>3</v>
      </c>
      <c r="B1587" s="361" t="s">
        <v>120</v>
      </c>
      <c r="C1587" s="367" t="s">
        <v>4</v>
      </c>
      <c r="D1587" s="3" t="s">
        <v>5</v>
      </c>
      <c r="E1587" s="361" t="s">
        <v>6</v>
      </c>
      <c r="F1587" s="1" t="s">
        <v>7</v>
      </c>
      <c r="G1587" s="1" t="s">
        <v>8</v>
      </c>
      <c r="H1587" s="361" t="s">
        <v>9</v>
      </c>
      <c r="I1587" s="1" t="s">
        <v>10</v>
      </c>
      <c r="J1587" s="126" t="s">
        <v>11</v>
      </c>
      <c r="K1587" s="68" t="s">
        <v>12</v>
      </c>
      <c r="L1587" s="68" t="s">
        <v>5</v>
      </c>
      <c r="M1587" s="68" t="s">
        <v>13</v>
      </c>
      <c r="N1587" s="129" t="s">
        <v>7</v>
      </c>
      <c r="O1587" s="68" t="s">
        <v>14</v>
      </c>
    </row>
    <row r="1588" spans="1:15" ht="15.75">
      <c r="A1588" s="1545" t="s">
        <v>764</v>
      </c>
      <c r="B1588" s="241">
        <v>14381</v>
      </c>
      <c r="C1588" s="478">
        <v>0.1</v>
      </c>
      <c r="D1588" s="137" t="s">
        <v>1100</v>
      </c>
      <c r="E1588" s="699">
        <v>1600000</v>
      </c>
      <c r="F1588" s="478">
        <v>0.1</v>
      </c>
      <c r="G1588" s="619">
        <f>E1588*F1588</f>
        <v>160000</v>
      </c>
      <c r="H1588" s="995" t="s">
        <v>311</v>
      </c>
      <c r="I1588" s="997" t="s">
        <v>100</v>
      </c>
      <c r="J1588" s="1104"/>
      <c r="K1588" s="241">
        <v>14366</v>
      </c>
      <c r="L1588" s="136" t="s">
        <v>1101</v>
      </c>
      <c r="M1588" s="143">
        <v>1500000</v>
      </c>
      <c r="N1588" s="232">
        <v>0.05</v>
      </c>
      <c r="O1588" s="178">
        <f>M1588*N1588</f>
        <v>75000</v>
      </c>
    </row>
    <row r="1589" spans="1:15" ht="15.75">
      <c r="A1589" s="1545"/>
      <c r="B1589" s="241">
        <v>14354</v>
      </c>
      <c r="C1589" s="478">
        <v>0.1</v>
      </c>
      <c r="D1589" s="243" t="s">
        <v>1102</v>
      </c>
      <c r="E1589" s="699">
        <v>1500000</v>
      </c>
      <c r="F1589" s="478">
        <v>0.1</v>
      </c>
      <c r="G1589" s="619">
        <f t="shared" ref="G1589:G1604" si="77">E1589*F1589</f>
        <v>150000</v>
      </c>
      <c r="H1589" s="995" t="s">
        <v>311</v>
      </c>
      <c r="I1589" s="997" t="s">
        <v>100</v>
      </c>
      <c r="J1589" s="1104"/>
      <c r="K1589" s="241">
        <v>14365</v>
      </c>
      <c r="L1589" s="1024" t="s">
        <v>1103</v>
      </c>
      <c r="M1589" s="143">
        <v>520000</v>
      </c>
      <c r="N1589" s="232">
        <v>0.05</v>
      </c>
      <c r="O1589" s="178">
        <f>M1589*N1589</f>
        <v>26000</v>
      </c>
    </row>
    <row r="1590" spans="1:15" ht="15.75">
      <c r="A1590" s="1545"/>
      <c r="B1590" s="241">
        <v>14388</v>
      </c>
      <c r="C1590" s="148">
        <v>0.1</v>
      </c>
      <c r="D1590" s="259" t="s">
        <v>1104</v>
      </c>
      <c r="E1590" s="699">
        <v>1500000</v>
      </c>
      <c r="F1590" s="478">
        <v>0.1</v>
      </c>
      <c r="G1590" s="619">
        <f t="shared" si="77"/>
        <v>150000</v>
      </c>
      <c r="H1590" s="995" t="s">
        <v>311</v>
      </c>
      <c r="I1590" s="1121" t="s">
        <v>100</v>
      </c>
      <c r="J1590" s="1132"/>
      <c r="K1590" s="27"/>
      <c r="L1590" s="27"/>
      <c r="M1590" s="27"/>
      <c r="N1590" s="27"/>
      <c r="O1590" s="27"/>
    </row>
    <row r="1591" spans="1:15" ht="15.75">
      <c r="A1591" s="1545"/>
      <c r="B1591" s="241">
        <v>14380</v>
      </c>
      <c r="C1591" s="1262">
        <v>0.1</v>
      </c>
      <c r="D1591" s="1024" t="s">
        <v>1105</v>
      </c>
      <c r="E1591" s="1044">
        <v>800000</v>
      </c>
      <c r="F1591" s="1119">
        <v>0.1</v>
      </c>
      <c r="G1591" s="619">
        <f t="shared" si="77"/>
        <v>80000</v>
      </c>
      <c r="H1591" s="995" t="s">
        <v>311</v>
      </c>
      <c r="I1591" s="995" t="s">
        <v>989</v>
      </c>
      <c r="J1591" s="998"/>
      <c r="K1591" s="1253"/>
      <c r="L1591" s="27"/>
      <c r="M1591" s="27"/>
      <c r="N1591" s="27"/>
      <c r="O1591" s="27"/>
    </row>
    <row r="1592" spans="1:15" ht="15.75">
      <c r="A1592" s="1545"/>
      <c r="B1592" s="241">
        <v>14406</v>
      </c>
      <c r="C1592" s="1118">
        <v>0.1</v>
      </c>
      <c r="D1592" s="259" t="s">
        <v>1106</v>
      </c>
      <c r="E1592" s="1044">
        <v>1400000</v>
      </c>
      <c r="F1592" s="1119">
        <v>0.1</v>
      </c>
      <c r="G1592" s="619">
        <f t="shared" si="77"/>
        <v>140000</v>
      </c>
      <c r="H1592" s="995" t="s">
        <v>311</v>
      </c>
      <c r="I1592" s="995" t="s">
        <v>100</v>
      </c>
      <c r="J1592" s="998"/>
      <c r="K1592" s="1253"/>
      <c r="L1592" s="27"/>
      <c r="M1592" s="27"/>
      <c r="N1592" s="27"/>
      <c r="O1592" s="27"/>
    </row>
    <row r="1593" spans="1:15" ht="15.75">
      <c r="A1593" s="1545"/>
      <c r="B1593" s="241">
        <v>14407</v>
      </c>
      <c r="C1593" s="1118">
        <v>0.1</v>
      </c>
      <c r="D1593" s="259" t="s">
        <v>1107</v>
      </c>
      <c r="E1593" s="1044">
        <v>750000</v>
      </c>
      <c r="F1593" s="1119">
        <v>0.06</v>
      </c>
      <c r="G1593" s="619">
        <f t="shared" si="77"/>
        <v>45000</v>
      </c>
      <c r="H1593" s="995" t="s">
        <v>30</v>
      </c>
      <c r="I1593" s="995" t="s">
        <v>989</v>
      </c>
      <c r="J1593" s="998"/>
      <c r="K1593" s="1253"/>
      <c r="L1593" s="27"/>
      <c r="M1593" s="27"/>
      <c r="N1593" s="27"/>
      <c r="O1593" s="27"/>
    </row>
    <row r="1594" spans="1:15" ht="15.75">
      <c r="A1594" s="1545"/>
      <c r="B1594" s="241">
        <v>14467</v>
      </c>
      <c r="C1594" s="1329">
        <v>0.08</v>
      </c>
      <c r="D1594" s="1232" t="s">
        <v>1108</v>
      </c>
      <c r="E1594" s="1044">
        <v>1400000</v>
      </c>
      <c r="F1594" s="1329">
        <v>0.08</v>
      </c>
      <c r="G1594" s="619">
        <f t="shared" si="77"/>
        <v>112000</v>
      </c>
      <c r="H1594" s="995" t="s">
        <v>311</v>
      </c>
      <c r="I1594" s="995" t="s">
        <v>989</v>
      </c>
      <c r="J1594" s="998"/>
      <c r="K1594" s="1253"/>
      <c r="L1594" s="27"/>
      <c r="M1594" s="27"/>
      <c r="N1594" s="27"/>
      <c r="O1594" s="27"/>
    </row>
    <row r="1595" spans="1:15" ht="15.75">
      <c r="A1595" s="1545"/>
      <c r="B1595" s="241">
        <v>14495</v>
      </c>
      <c r="C1595" s="1118">
        <v>0.1</v>
      </c>
      <c r="D1595" s="243" t="s">
        <v>1109</v>
      </c>
      <c r="E1595" s="1044">
        <v>1500000</v>
      </c>
      <c r="F1595" s="1119">
        <v>0.1</v>
      </c>
      <c r="G1595" s="619">
        <f t="shared" si="77"/>
        <v>150000</v>
      </c>
      <c r="H1595" s="995" t="s">
        <v>311</v>
      </c>
      <c r="I1595" s="995" t="s">
        <v>242</v>
      </c>
      <c r="J1595" s="998"/>
      <c r="K1595" s="1253"/>
      <c r="L1595" s="27"/>
      <c r="M1595" s="27"/>
      <c r="N1595" s="27"/>
      <c r="O1595" s="27"/>
    </row>
    <row r="1596" spans="1:15" ht="15.75">
      <c r="A1596" s="1545"/>
      <c r="B1596" s="241">
        <v>14492</v>
      </c>
      <c r="C1596" s="1118">
        <v>0.1</v>
      </c>
      <c r="D1596" s="243" t="s">
        <v>1110</v>
      </c>
      <c r="E1596" s="1044">
        <v>1200000</v>
      </c>
      <c r="F1596" s="1119">
        <v>0.1</v>
      </c>
      <c r="G1596" s="619">
        <f t="shared" si="77"/>
        <v>120000</v>
      </c>
      <c r="H1596" s="995" t="s">
        <v>311</v>
      </c>
      <c r="I1596" s="995" t="s">
        <v>100</v>
      </c>
      <c r="J1596" s="998"/>
      <c r="K1596" s="1253"/>
      <c r="L1596" s="27"/>
      <c r="M1596" s="27"/>
      <c r="N1596" s="27"/>
      <c r="O1596" s="27"/>
    </row>
    <row r="1597" spans="1:15" ht="15.75">
      <c r="A1597" s="1545"/>
      <c r="B1597" s="241">
        <v>14479</v>
      </c>
      <c r="C1597" s="1118">
        <v>0.1</v>
      </c>
      <c r="D1597" s="1232" t="s">
        <v>1111</v>
      </c>
      <c r="E1597" s="1044">
        <v>1200000</v>
      </c>
      <c r="F1597" s="1119">
        <v>0.1</v>
      </c>
      <c r="G1597" s="619">
        <f t="shared" si="77"/>
        <v>120000</v>
      </c>
      <c r="H1597" s="995" t="s">
        <v>311</v>
      </c>
      <c r="I1597" s="995" t="s">
        <v>242</v>
      </c>
      <c r="J1597" s="998"/>
      <c r="K1597" s="1253"/>
      <c r="L1597" s="27"/>
      <c r="M1597" s="27"/>
      <c r="N1597" s="27"/>
      <c r="O1597" s="27"/>
    </row>
    <row r="1598" spans="1:15" ht="15.75">
      <c r="A1598" s="1545"/>
      <c r="B1598" s="241">
        <v>14520</v>
      </c>
      <c r="C1598" s="1118">
        <v>0.1</v>
      </c>
      <c r="D1598" s="243" t="s">
        <v>1112</v>
      </c>
      <c r="E1598" s="1044">
        <v>1900000</v>
      </c>
      <c r="F1598" s="1119">
        <v>0.1</v>
      </c>
      <c r="G1598" s="619">
        <f t="shared" si="77"/>
        <v>190000</v>
      </c>
      <c r="H1598" s="995" t="s">
        <v>311</v>
      </c>
      <c r="I1598" s="995" t="s">
        <v>242</v>
      </c>
      <c r="J1598" s="998"/>
      <c r="K1598" s="1253"/>
      <c r="L1598" s="27"/>
      <c r="M1598" s="27"/>
      <c r="N1598" s="27"/>
      <c r="O1598" s="27"/>
    </row>
    <row r="1599" spans="1:15" ht="15.75">
      <c r="A1599" s="1545"/>
      <c r="B1599" s="241">
        <v>14555</v>
      </c>
      <c r="C1599" s="1118">
        <v>0.1</v>
      </c>
      <c r="D1599" s="243" t="s">
        <v>1113</v>
      </c>
      <c r="E1599" s="1044">
        <v>1600000</v>
      </c>
      <c r="F1599" s="1119">
        <v>0.06</v>
      </c>
      <c r="G1599" s="619">
        <f t="shared" si="77"/>
        <v>96000</v>
      </c>
      <c r="H1599" s="995" t="s">
        <v>30</v>
      </c>
      <c r="I1599" s="995" t="s">
        <v>100</v>
      </c>
      <c r="J1599" s="998"/>
      <c r="K1599" s="1253"/>
      <c r="L1599" s="27"/>
      <c r="M1599" s="27"/>
      <c r="N1599" s="27"/>
      <c r="O1599" s="27"/>
    </row>
    <row r="1600" spans="1:15" ht="15.75">
      <c r="A1600" s="1545"/>
      <c r="B1600" s="241">
        <v>14538</v>
      </c>
      <c r="C1600" s="1118">
        <v>0.1</v>
      </c>
      <c r="D1600" s="243" t="s">
        <v>571</v>
      </c>
      <c r="E1600" s="1044">
        <v>1600000</v>
      </c>
      <c r="F1600" s="1119">
        <v>0.06</v>
      </c>
      <c r="G1600" s="619">
        <f t="shared" si="77"/>
        <v>96000</v>
      </c>
      <c r="H1600" s="995" t="s">
        <v>30</v>
      </c>
      <c r="I1600" s="995" t="s">
        <v>242</v>
      </c>
      <c r="J1600" s="998"/>
      <c r="K1600" s="1253"/>
      <c r="L1600" s="27"/>
      <c r="M1600" s="27"/>
      <c r="N1600" s="27"/>
      <c r="O1600" s="27"/>
    </row>
    <row r="1601" spans="1:15" ht="15.75">
      <c r="A1601" s="1545"/>
      <c r="B1601" s="241">
        <v>14601</v>
      </c>
      <c r="C1601" s="1118">
        <v>0.1</v>
      </c>
      <c r="D1601" s="243" t="s">
        <v>1114</v>
      </c>
      <c r="E1601" s="1044">
        <v>1500000</v>
      </c>
      <c r="F1601" s="1119">
        <v>0.1</v>
      </c>
      <c r="G1601" s="619">
        <f t="shared" si="77"/>
        <v>150000</v>
      </c>
      <c r="H1601" s="995" t="s">
        <v>311</v>
      </c>
      <c r="I1601" s="995" t="s">
        <v>242</v>
      </c>
      <c r="J1601" s="998"/>
      <c r="K1601" s="1253"/>
      <c r="L1601" s="27"/>
      <c r="M1601" s="27"/>
      <c r="N1601" s="27"/>
      <c r="O1601" s="27"/>
    </row>
    <row r="1602" spans="1:15" ht="15.75">
      <c r="A1602" s="1545"/>
      <c r="B1602" s="241">
        <v>14567</v>
      </c>
      <c r="C1602" s="1118">
        <v>0.1</v>
      </c>
      <c r="D1602" s="1057" t="s">
        <v>1115</v>
      </c>
      <c r="E1602" s="1044">
        <v>2200000</v>
      </c>
      <c r="F1602" s="1119">
        <v>0.1</v>
      </c>
      <c r="G1602" s="619">
        <f t="shared" si="77"/>
        <v>220000</v>
      </c>
      <c r="H1602" s="995" t="s">
        <v>311</v>
      </c>
      <c r="I1602" s="995" t="s">
        <v>242</v>
      </c>
      <c r="J1602" s="998"/>
      <c r="K1602" s="1253"/>
      <c r="L1602" s="27"/>
      <c r="M1602" s="27"/>
      <c r="N1602" s="27"/>
      <c r="O1602" s="27"/>
    </row>
    <row r="1603" spans="1:15" ht="15.75">
      <c r="A1603" s="1545"/>
      <c r="B1603" s="241">
        <v>14568</v>
      </c>
      <c r="C1603" s="1118">
        <v>0.1</v>
      </c>
      <c r="D1603" s="1057" t="s">
        <v>1116</v>
      </c>
      <c r="E1603" s="1044">
        <v>1200000</v>
      </c>
      <c r="F1603" s="1119">
        <v>0.1</v>
      </c>
      <c r="G1603" s="619">
        <f t="shared" si="77"/>
        <v>120000</v>
      </c>
      <c r="H1603" s="995" t="s">
        <v>311</v>
      </c>
      <c r="I1603" s="995" t="s">
        <v>242</v>
      </c>
      <c r="J1603" s="998"/>
      <c r="K1603" s="1253"/>
      <c r="L1603" s="27"/>
      <c r="M1603" s="27"/>
      <c r="N1603" s="27"/>
      <c r="O1603" s="27"/>
    </row>
    <row r="1604" spans="1:15" ht="18">
      <c r="A1604" s="1545"/>
      <c r="B1604" s="241">
        <v>14581</v>
      </c>
      <c r="C1604" s="1118">
        <v>0.1</v>
      </c>
      <c r="D1604" s="1057" t="s">
        <v>1117</v>
      </c>
      <c r="E1604" s="1044">
        <v>1100000</v>
      </c>
      <c r="F1604" s="1119">
        <v>0.05</v>
      </c>
      <c r="G1604" s="619">
        <f t="shared" si="77"/>
        <v>55000</v>
      </c>
      <c r="H1604" s="995" t="s">
        <v>1118</v>
      </c>
      <c r="I1604" s="995" t="s">
        <v>100</v>
      </c>
      <c r="J1604" s="998"/>
      <c r="K1604" s="1253"/>
      <c r="L1604" s="27"/>
      <c r="M1604" s="1335" t="s">
        <v>80</v>
      </c>
      <c r="N1604" s="1335"/>
      <c r="O1604" s="902">
        <f>SUM(O1588:O1589)</f>
        <v>101000</v>
      </c>
    </row>
    <row r="1605" spans="1:15" ht="15.75">
      <c r="A1605" s="1545"/>
      <c r="B1605" s="211" t="s">
        <v>297</v>
      </c>
      <c r="C1605" s="1346"/>
      <c r="D1605" s="1345" t="s">
        <v>1119</v>
      </c>
      <c r="E1605" s="1248"/>
      <c r="F1605" s="1249"/>
      <c r="G1605" s="1256"/>
      <c r="H1605" s="1011" t="s">
        <v>30</v>
      </c>
      <c r="I1605" s="1011" t="s">
        <v>242</v>
      </c>
      <c r="J1605" s="1012" t="s">
        <v>977</v>
      </c>
      <c r="K1605" s="1253"/>
      <c r="L1605" s="27"/>
      <c r="M1605" s="27"/>
      <c r="N1605" s="27"/>
      <c r="O1605" s="27"/>
    </row>
    <row r="1606" spans="1:15" ht="20.25">
      <c r="A1606" s="1545"/>
      <c r="B1606" s="263"/>
      <c r="C1606" s="788"/>
      <c r="D1606" s="165"/>
      <c r="E1606" s="1272">
        <f>SUM(E1588:E1605)</f>
        <v>23950000</v>
      </c>
      <c r="F1606" s="659"/>
      <c r="G1606" s="895">
        <f>SUM(G1588:G1605)</f>
        <v>2154000</v>
      </c>
      <c r="H1606" s="999"/>
      <c r="I1606" s="1093"/>
      <c r="J1606" s="1134"/>
      <c r="K1606" s="27"/>
      <c r="L1606" s="27"/>
      <c r="M1606" s="906" t="s">
        <v>80</v>
      </c>
      <c r="N1606" s="906"/>
      <c r="O1606" s="869">
        <f>G1606+O1604</f>
        <v>2255000</v>
      </c>
    </row>
    <row r="1607" spans="1:15">
      <c r="A1607" s="32"/>
      <c r="B1607" s="85"/>
      <c r="C1607" s="85"/>
      <c r="D1607" s="32"/>
      <c r="E1607" s="32"/>
      <c r="F1607" s="32"/>
      <c r="G1607" s="85"/>
      <c r="H1607" s="32"/>
      <c r="I1607" s="32"/>
      <c r="J1607" s="32"/>
    </row>
    <row r="1608" spans="1:15">
      <c r="A1608" s="32"/>
      <c r="B1608" s="85"/>
      <c r="C1608" s="85"/>
      <c r="D1608" s="32"/>
      <c r="E1608" s="32"/>
      <c r="F1608" s="32"/>
      <c r="G1608" s="85"/>
      <c r="H1608" s="32"/>
      <c r="I1608" s="32"/>
      <c r="J1608" s="32"/>
    </row>
    <row r="1609" spans="1:15" ht="23.25">
      <c r="A1609" s="1548" t="s">
        <v>465</v>
      </c>
      <c r="B1609" s="1532"/>
      <c r="C1609" s="1532"/>
      <c r="D1609" s="1531"/>
      <c r="E1609" s="1532"/>
      <c r="F1609" s="1532"/>
      <c r="G1609" s="1532"/>
      <c r="H1609" s="1532"/>
      <c r="I1609" s="1532"/>
      <c r="J1609" s="1549"/>
      <c r="K1609" s="1533" t="s">
        <v>2</v>
      </c>
      <c r="L1609" s="1533"/>
      <c r="M1609" s="1533"/>
      <c r="N1609" s="1533"/>
      <c r="O1609" s="1533"/>
    </row>
    <row r="1610" spans="1:15" ht="30.75">
      <c r="A1610" s="1" t="s">
        <v>3</v>
      </c>
      <c r="B1610" s="361" t="s">
        <v>120</v>
      </c>
      <c r="C1610" s="367" t="s">
        <v>4</v>
      </c>
      <c r="D1610" s="3" t="s">
        <v>5</v>
      </c>
      <c r="E1610" s="361" t="s">
        <v>6</v>
      </c>
      <c r="F1610" s="1" t="s">
        <v>7</v>
      </c>
      <c r="G1610" s="1" t="s">
        <v>8</v>
      </c>
      <c r="H1610" s="361" t="s">
        <v>9</v>
      </c>
      <c r="I1610" s="1" t="s">
        <v>10</v>
      </c>
      <c r="J1610" s="126" t="s">
        <v>11</v>
      </c>
      <c r="K1610" s="68" t="s">
        <v>12</v>
      </c>
      <c r="L1610" s="68" t="s">
        <v>5</v>
      </c>
      <c r="M1610" s="68" t="s">
        <v>13</v>
      </c>
      <c r="N1610" s="129" t="s">
        <v>7</v>
      </c>
      <c r="O1610" s="68" t="s">
        <v>14</v>
      </c>
    </row>
    <row r="1611" spans="1:15" ht="15.75">
      <c r="A1611" s="1528" t="s">
        <v>95</v>
      </c>
      <c r="B1611" s="241">
        <v>14345</v>
      </c>
      <c r="C1611" s="1118">
        <v>0.1</v>
      </c>
      <c r="D1611" s="243" t="s">
        <v>1120</v>
      </c>
      <c r="E1611" s="1044">
        <v>1150000</v>
      </c>
      <c r="F1611" s="1119">
        <v>0.1</v>
      </c>
      <c r="G1611" s="1342">
        <f>E1611*F1611</f>
        <v>115000</v>
      </c>
      <c r="H1611" s="1121" t="s">
        <v>520</v>
      </c>
      <c r="I1611" s="1120" t="s">
        <v>242</v>
      </c>
      <c r="J1611" s="1257"/>
      <c r="K1611" s="241">
        <v>14429</v>
      </c>
      <c r="L1611" s="1057" t="s">
        <v>1121</v>
      </c>
      <c r="M1611" s="143">
        <v>1650000</v>
      </c>
      <c r="N1611" s="1356">
        <v>0.04</v>
      </c>
      <c r="O1611" s="178">
        <f>M1611*N1611</f>
        <v>66000</v>
      </c>
    </row>
    <row r="1612" spans="1:15" ht="15.75">
      <c r="A1612" s="1528"/>
      <c r="B1612" s="241">
        <v>14344</v>
      </c>
      <c r="C1612" s="478">
        <v>0.1</v>
      </c>
      <c r="D1612" s="259" t="s">
        <v>1122</v>
      </c>
      <c r="E1612" s="139">
        <v>1050000</v>
      </c>
      <c r="F1612" s="779">
        <v>0.1</v>
      </c>
      <c r="G1612" s="1342">
        <f t="shared" ref="G1612:G1619" si="78">E1612*F1612</f>
        <v>105000</v>
      </c>
      <c r="H1612" s="741" t="s">
        <v>520</v>
      </c>
      <c r="I1612" s="739" t="s">
        <v>100</v>
      </c>
      <c r="J1612" s="137"/>
      <c r="K1612" s="241">
        <v>14488</v>
      </c>
      <c r="L1612" s="1057" t="s">
        <v>1123</v>
      </c>
      <c r="M1612" s="143">
        <v>1700000</v>
      </c>
      <c r="N1612" s="232">
        <v>0.05</v>
      </c>
      <c r="O1612" s="178">
        <f>M1612*N1612</f>
        <v>85000</v>
      </c>
    </row>
    <row r="1613" spans="1:15" ht="15.75">
      <c r="A1613" s="1528"/>
      <c r="B1613" s="241">
        <v>14369</v>
      </c>
      <c r="C1613" s="478">
        <v>0.1</v>
      </c>
      <c r="D1613" s="259" t="s">
        <v>1124</v>
      </c>
      <c r="E1613" s="139">
        <v>1350000</v>
      </c>
      <c r="F1613" s="779">
        <v>0.1</v>
      </c>
      <c r="G1613" s="1342">
        <f t="shared" si="78"/>
        <v>135000</v>
      </c>
      <c r="H1613" s="741" t="s">
        <v>520</v>
      </c>
      <c r="I1613" s="739" t="s">
        <v>989</v>
      </c>
      <c r="J1613" s="137"/>
      <c r="K1613" s="241">
        <v>14351</v>
      </c>
      <c r="L1613" s="1057" t="s">
        <v>1125</v>
      </c>
      <c r="M1613" s="143">
        <v>1200000</v>
      </c>
      <c r="N1613" s="1356">
        <v>0.04</v>
      </c>
      <c r="O1613" s="178">
        <f>M1613*N1613</f>
        <v>48000</v>
      </c>
    </row>
    <row r="1614" spans="1:15" ht="15.75">
      <c r="A1614" s="1528"/>
      <c r="B1614" s="241">
        <v>14384</v>
      </c>
      <c r="C1614" s="478">
        <v>0.1</v>
      </c>
      <c r="D1614" s="259" t="s">
        <v>1126</v>
      </c>
      <c r="E1614" s="699">
        <v>1200000</v>
      </c>
      <c r="F1614" s="478">
        <v>0.05</v>
      </c>
      <c r="G1614" s="1342">
        <f t="shared" si="78"/>
        <v>60000</v>
      </c>
      <c r="H1614" s="997" t="s">
        <v>1090</v>
      </c>
      <c r="I1614" s="997" t="s">
        <v>989</v>
      </c>
      <c r="J1614" s="998"/>
      <c r="K1614" s="27"/>
      <c r="L1614" s="1253"/>
      <c r="M1614" s="27"/>
      <c r="N1614" s="27"/>
      <c r="O1614" s="27"/>
    </row>
    <row r="1615" spans="1:15" ht="15.75">
      <c r="A1615" s="1528"/>
      <c r="B1615" s="241">
        <v>14477</v>
      </c>
      <c r="C1615" s="478">
        <v>0.1</v>
      </c>
      <c r="D1615" s="243" t="s">
        <v>1127</v>
      </c>
      <c r="E1615" s="699">
        <v>2300000</v>
      </c>
      <c r="F1615" s="478">
        <v>0.1</v>
      </c>
      <c r="G1615" s="1342">
        <f t="shared" si="78"/>
        <v>230000</v>
      </c>
      <c r="H1615" s="997" t="s">
        <v>520</v>
      </c>
      <c r="I1615" s="997" t="s">
        <v>242</v>
      </c>
      <c r="J1615" s="998"/>
      <c r="K1615" s="27"/>
      <c r="L1615" s="1253"/>
      <c r="M1615" s="27"/>
      <c r="N1615" s="27"/>
      <c r="O1615" s="27"/>
    </row>
    <row r="1616" spans="1:15" ht="15.75">
      <c r="A1616" s="1528"/>
      <c r="B1616" s="241">
        <v>14496</v>
      </c>
      <c r="C1616" s="140">
        <v>0.08</v>
      </c>
      <c r="D1616" s="243" t="s">
        <v>1128</v>
      </c>
      <c r="E1616" s="699">
        <v>1700000</v>
      </c>
      <c r="F1616" s="140">
        <v>0.08</v>
      </c>
      <c r="G1616" s="1342">
        <f t="shared" si="78"/>
        <v>136000</v>
      </c>
      <c r="H1616" s="997" t="s">
        <v>520</v>
      </c>
      <c r="I1616" s="997" t="s">
        <v>100</v>
      </c>
      <c r="J1616" s="998"/>
      <c r="K1616" s="27"/>
      <c r="L1616" s="1253"/>
      <c r="M1616" s="27"/>
      <c r="N1616" s="27"/>
      <c r="O1616" s="27"/>
    </row>
    <row r="1617" spans="1:15" ht="15.75">
      <c r="A1617" s="1528"/>
      <c r="B1617" s="241">
        <v>14522</v>
      </c>
      <c r="C1617" s="478">
        <v>0.1</v>
      </c>
      <c r="D1617" s="243" t="s">
        <v>1129</v>
      </c>
      <c r="E1617" s="699">
        <v>1200000</v>
      </c>
      <c r="F1617" s="478">
        <v>0.1</v>
      </c>
      <c r="G1617" s="1342">
        <f t="shared" si="78"/>
        <v>120000</v>
      </c>
      <c r="H1617" s="997" t="s">
        <v>520</v>
      </c>
      <c r="I1617" s="997" t="s">
        <v>100</v>
      </c>
      <c r="J1617" s="998"/>
      <c r="K1617" s="27"/>
      <c r="L1617" s="1253"/>
      <c r="M1617" s="27"/>
      <c r="N1617" s="27"/>
      <c r="O1617" s="27"/>
    </row>
    <row r="1618" spans="1:15" ht="15.75">
      <c r="A1618" s="1528"/>
      <c r="B1618" s="241">
        <v>14606</v>
      </c>
      <c r="C1618" s="478">
        <v>0.1</v>
      </c>
      <c r="D1618" s="243" t="s">
        <v>1130</v>
      </c>
      <c r="E1618" s="699">
        <v>1100000</v>
      </c>
      <c r="F1618" s="478">
        <v>0.1</v>
      </c>
      <c r="G1618" s="1342">
        <f t="shared" si="78"/>
        <v>110000</v>
      </c>
      <c r="H1618" s="997" t="s">
        <v>520</v>
      </c>
      <c r="I1618" s="997" t="s">
        <v>989</v>
      </c>
      <c r="J1618" s="998"/>
      <c r="K1618" s="27"/>
      <c r="L1618" s="1253"/>
      <c r="M1618" s="27"/>
      <c r="N1618" s="27"/>
      <c r="O1618" s="27"/>
    </row>
    <row r="1619" spans="1:15" ht="15.75">
      <c r="A1619" s="1528"/>
      <c r="B1619" s="241">
        <v>14609</v>
      </c>
      <c r="C1619" s="478">
        <v>0.1</v>
      </c>
      <c r="D1619" s="1057" t="s">
        <v>1131</v>
      </c>
      <c r="E1619" s="699">
        <v>1650000</v>
      </c>
      <c r="F1619" s="478">
        <v>0.1</v>
      </c>
      <c r="G1619" s="1342">
        <f t="shared" si="78"/>
        <v>165000</v>
      </c>
      <c r="H1619" s="997" t="s">
        <v>520</v>
      </c>
      <c r="I1619" s="997" t="s">
        <v>989</v>
      </c>
      <c r="J1619" s="998"/>
      <c r="K1619" s="27"/>
      <c r="L1619" s="1253"/>
      <c r="M1619" s="27"/>
      <c r="N1619" s="27"/>
      <c r="O1619" s="27"/>
    </row>
    <row r="1620" spans="1:15" ht="15.75">
      <c r="A1620" s="1528"/>
      <c r="B1620" s="814" t="s">
        <v>297</v>
      </c>
      <c r="C1620" s="348"/>
      <c r="D1620" s="819" t="s">
        <v>1132</v>
      </c>
      <c r="E1620" s="749"/>
      <c r="F1620" s="348"/>
      <c r="G1620" s="943"/>
      <c r="H1620" s="1006" t="s">
        <v>311</v>
      </c>
      <c r="I1620" s="1006" t="s">
        <v>989</v>
      </c>
      <c r="J1620" s="1012" t="s">
        <v>1133</v>
      </c>
      <c r="K1620" s="27"/>
      <c r="L1620" s="1253"/>
      <c r="M1620" s="27"/>
      <c r="N1620" s="27"/>
      <c r="O1620" s="27"/>
    </row>
    <row r="1621" spans="1:15" ht="15.75">
      <c r="A1621" s="1528"/>
      <c r="B1621" s="814" t="s">
        <v>297</v>
      </c>
      <c r="C1621" s="348"/>
      <c r="D1621" s="1255" t="s">
        <v>1091</v>
      </c>
      <c r="E1621" s="749"/>
      <c r="F1621" s="348"/>
      <c r="G1621" s="943"/>
      <c r="H1621" s="1011" t="s">
        <v>520</v>
      </c>
      <c r="I1621" s="1006" t="s">
        <v>100</v>
      </c>
      <c r="J1621" s="1012" t="s">
        <v>1134</v>
      </c>
      <c r="K1621" s="27"/>
      <c r="L1621" s="1253"/>
      <c r="M1621" s="27"/>
      <c r="N1621" s="27"/>
      <c r="O1621" s="27"/>
    </row>
    <row r="1622" spans="1:15" ht="18">
      <c r="A1622" s="1528"/>
      <c r="B1622" s="211" t="s">
        <v>297</v>
      </c>
      <c r="C1622" s="1247"/>
      <c r="D1622" s="757" t="s">
        <v>1135</v>
      </c>
      <c r="E1622" s="1248"/>
      <c r="F1622" s="1249"/>
      <c r="G1622" s="1256"/>
      <c r="H1622" s="1011"/>
      <c r="I1622" s="1006"/>
      <c r="J1622" s="1012" t="s">
        <v>1136</v>
      </c>
      <c r="K1622" s="27"/>
      <c r="L1622" s="1253"/>
      <c r="M1622" s="1335" t="s">
        <v>80</v>
      </c>
      <c r="N1622" s="1335"/>
      <c r="O1622" s="902">
        <f>SUM(O1611:O1621)</f>
        <v>199000</v>
      </c>
    </row>
    <row r="1623" spans="1:15" ht="15.75">
      <c r="A1623" s="1528"/>
      <c r="B1623" s="209" t="s">
        <v>297</v>
      </c>
      <c r="C1623" s="348"/>
      <c r="D1623" s="1255" t="s">
        <v>1137</v>
      </c>
      <c r="E1623" s="749"/>
      <c r="F1623" s="348"/>
      <c r="G1623" s="943"/>
      <c r="H1623" s="1011"/>
      <c r="I1623" s="1006"/>
      <c r="J1623" s="1012" t="s">
        <v>1134</v>
      </c>
      <c r="K1623" s="27"/>
      <c r="L1623" s="1253"/>
      <c r="M1623" s="27"/>
      <c r="N1623" s="27"/>
      <c r="O1623" s="27"/>
    </row>
    <row r="1624" spans="1:15" ht="20.25">
      <c r="A1624" s="1529"/>
      <c r="B1624" s="263"/>
      <c r="C1624" s="659"/>
      <c r="D1624" s="165"/>
      <c r="E1624" s="1272">
        <f>SUM(E1611:E1623)</f>
        <v>12700000</v>
      </c>
      <c r="F1624" s="659"/>
      <c r="G1624" s="895">
        <f>SUM(G1611:G1623)</f>
        <v>1176000</v>
      </c>
      <c r="H1624" s="999"/>
      <c r="I1624" s="1093"/>
      <c r="J1624" s="1134"/>
      <c r="K1624" s="27"/>
      <c r="L1624" s="27"/>
      <c r="M1624" s="1362" t="s">
        <v>80</v>
      </c>
      <c r="N1624" s="1362"/>
      <c r="O1624" s="1363">
        <f>G1624+O1622</f>
        <v>1375000</v>
      </c>
    </row>
    <row r="1625" spans="1:15">
      <c r="A1625" s="1543"/>
      <c r="B1625" s="1544"/>
      <c r="C1625" s="1544"/>
      <c r="D1625" s="1544"/>
      <c r="E1625" s="1544"/>
      <c r="F1625" s="1544"/>
      <c r="G1625" s="1544"/>
      <c r="H1625" s="1544"/>
      <c r="I1625" s="1544"/>
      <c r="J1625" s="1544"/>
      <c r="K1625" s="1544"/>
      <c r="L1625" s="1544"/>
      <c r="M1625" s="1544"/>
      <c r="N1625" s="1544"/>
      <c r="O1625" s="1544"/>
    </row>
    <row r="1626" spans="1:15">
      <c r="A1626" s="1543"/>
      <c r="B1626" s="1544"/>
      <c r="C1626" s="1544"/>
      <c r="D1626" s="1544"/>
      <c r="E1626" s="1544"/>
      <c r="F1626" s="1544"/>
      <c r="G1626" s="1544"/>
      <c r="H1626" s="1544"/>
      <c r="I1626" s="1544"/>
      <c r="J1626" s="1544"/>
      <c r="K1626" s="1544"/>
      <c r="L1626" s="1544"/>
      <c r="M1626" s="1544"/>
      <c r="N1626" s="1544"/>
      <c r="O1626" s="1544"/>
    </row>
    <row r="1627" spans="1:15" ht="23.25">
      <c r="A1627" s="1539" t="s">
        <v>1075</v>
      </c>
      <c r="B1627" s="1540"/>
      <c r="C1627" s="1540"/>
      <c r="D1627" s="1540"/>
      <c r="E1627" s="1540"/>
      <c r="F1627" s="1540"/>
      <c r="G1627" s="1540"/>
      <c r="H1627" s="1540"/>
      <c r="I1627" s="1540"/>
      <c r="J1627" s="1540"/>
      <c r="K1627" s="1555" t="s">
        <v>2</v>
      </c>
      <c r="L1627" s="1555"/>
      <c r="M1627" s="1533"/>
      <c r="N1627" s="1533"/>
      <c r="O1627" s="1533"/>
    </row>
    <row r="1628" spans="1:15" ht="30.75">
      <c r="A1628" s="126" t="s">
        <v>3</v>
      </c>
      <c r="B1628" s="3" t="s">
        <v>120</v>
      </c>
      <c r="C1628" s="2" t="s">
        <v>4</v>
      </c>
      <c r="D1628" s="3" t="s">
        <v>5</v>
      </c>
      <c r="E1628" s="3" t="s">
        <v>6</v>
      </c>
      <c r="F1628" s="3" t="s">
        <v>7</v>
      </c>
      <c r="G1628" s="3" t="s">
        <v>8</v>
      </c>
      <c r="H1628" s="3" t="s">
        <v>9</v>
      </c>
      <c r="I1628" s="3" t="s">
        <v>10</v>
      </c>
      <c r="J1628" s="1283" t="s">
        <v>11</v>
      </c>
      <c r="K1628" s="3" t="s">
        <v>12</v>
      </c>
      <c r="L1628" s="1359" t="s">
        <v>5</v>
      </c>
      <c r="M1628" s="657" t="s">
        <v>13</v>
      </c>
      <c r="N1628" s="129" t="s">
        <v>7</v>
      </c>
      <c r="O1628" s="68" t="s">
        <v>14</v>
      </c>
    </row>
    <row r="1629" spans="1:15" ht="15.75">
      <c r="A1629" s="1538" t="s">
        <v>1138</v>
      </c>
      <c r="B1629" s="241">
        <v>14463</v>
      </c>
      <c r="C1629" s="478">
        <v>0.1</v>
      </c>
      <c r="D1629" s="259" t="s">
        <v>1139</v>
      </c>
      <c r="E1629" s="143">
        <v>1500000</v>
      </c>
      <c r="F1629" s="231">
        <v>0.08</v>
      </c>
      <c r="G1629" s="1342">
        <f>E1629*F1629</f>
        <v>120000</v>
      </c>
      <c r="H1629" s="241" t="s">
        <v>1015</v>
      </c>
      <c r="I1629" s="241" t="s">
        <v>100</v>
      </c>
      <c r="J1629" s="1350"/>
      <c r="K1629" s="241">
        <v>14571</v>
      </c>
      <c r="L1629" s="243" t="s">
        <v>1140</v>
      </c>
      <c r="M1629" s="143">
        <v>1200000</v>
      </c>
      <c r="N1629" s="232">
        <v>0.04</v>
      </c>
      <c r="O1629" s="178">
        <f>M1629*N1629</f>
        <v>48000</v>
      </c>
    </row>
    <row r="1630" spans="1:15" ht="15.75">
      <c r="A1630" s="1538"/>
      <c r="B1630" s="241">
        <v>14503</v>
      </c>
      <c r="C1630" s="478">
        <v>0.1</v>
      </c>
      <c r="D1630" s="1232" t="s">
        <v>364</v>
      </c>
      <c r="E1630" s="143">
        <v>850000</v>
      </c>
      <c r="F1630" s="231">
        <v>0.05</v>
      </c>
      <c r="G1630" s="1342">
        <f t="shared" ref="G1630:G1634" si="79">E1630*F1630</f>
        <v>42500</v>
      </c>
      <c r="H1630" s="241" t="s">
        <v>30</v>
      </c>
      <c r="I1630" s="241" t="s">
        <v>989</v>
      </c>
      <c r="J1630" s="1350"/>
      <c r="K1630" s="241">
        <v>14387</v>
      </c>
      <c r="L1630" s="1232" t="s">
        <v>1141</v>
      </c>
      <c r="M1630" s="143">
        <v>1200000</v>
      </c>
      <c r="N1630" s="232">
        <v>0.04</v>
      </c>
      <c r="O1630" s="178">
        <f>M1630*N1630</f>
        <v>48000</v>
      </c>
    </row>
    <row r="1631" spans="1:15" ht="15.75">
      <c r="A1631" s="1538"/>
      <c r="B1631" s="241">
        <v>14482</v>
      </c>
      <c r="C1631" s="478">
        <v>0.1</v>
      </c>
      <c r="D1631" s="243" t="s">
        <v>1142</v>
      </c>
      <c r="E1631" s="143">
        <v>2700000</v>
      </c>
      <c r="F1631" s="231">
        <v>0.08</v>
      </c>
      <c r="G1631" s="1342">
        <f t="shared" si="79"/>
        <v>216000</v>
      </c>
      <c r="H1631" s="241" t="s">
        <v>1015</v>
      </c>
      <c r="I1631" s="241" t="s">
        <v>989</v>
      </c>
      <c r="J1631" s="1350"/>
      <c r="K1631" s="27"/>
      <c r="L1631" s="27"/>
      <c r="M1631" s="14"/>
      <c r="N1631" s="14"/>
      <c r="O1631" s="14"/>
    </row>
    <row r="1632" spans="1:15" ht="15.75">
      <c r="A1632" s="1538"/>
      <c r="B1632" s="241">
        <v>14603</v>
      </c>
      <c r="C1632" s="478">
        <v>0.1</v>
      </c>
      <c r="D1632" s="243" t="s">
        <v>1143</v>
      </c>
      <c r="E1632" s="143">
        <v>1150000</v>
      </c>
      <c r="F1632" s="231">
        <v>0.04</v>
      </c>
      <c r="G1632" s="1342">
        <f t="shared" si="79"/>
        <v>46000</v>
      </c>
      <c r="H1632" s="241" t="s">
        <v>1090</v>
      </c>
      <c r="I1632" s="241" t="s">
        <v>989</v>
      </c>
      <c r="J1632" s="1350"/>
      <c r="K1632" s="27"/>
      <c r="L1632" s="27"/>
      <c r="M1632" s="14"/>
      <c r="N1632" s="14"/>
      <c r="O1632" s="14"/>
    </row>
    <row r="1633" spans="1:15" ht="15.75">
      <c r="A1633" s="1538"/>
      <c r="B1633" s="241">
        <v>14605</v>
      </c>
      <c r="C1633" s="478">
        <v>0.1</v>
      </c>
      <c r="D1633" s="1057" t="s">
        <v>383</v>
      </c>
      <c r="E1633" s="143">
        <v>1550000</v>
      </c>
      <c r="F1633" s="231">
        <v>0.05</v>
      </c>
      <c r="G1633" s="1342">
        <f t="shared" si="79"/>
        <v>77500</v>
      </c>
      <c r="H1633" s="241" t="s">
        <v>30</v>
      </c>
      <c r="I1633" s="241" t="s">
        <v>242</v>
      </c>
      <c r="J1633" s="1350"/>
      <c r="K1633" s="27"/>
      <c r="L1633" s="27"/>
      <c r="M1633" s="14"/>
      <c r="N1633" s="14"/>
      <c r="O1633" s="14"/>
    </row>
    <row r="1634" spans="1:15" ht="15.75">
      <c r="A1634" s="1538"/>
      <c r="B1634" s="241">
        <v>14598</v>
      </c>
      <c r="C1634" s="140">
        <v>0.08</v>
      </c>
      <c r="D1634" s="1057" t="s">
        <v>1144</v>
      </c>
      <c r="E1634" s="143">
        <v>900000</v>
      </c>
      <c r="F1634" s="234">
        <v>0.03</v>
      </c>
      <c r="G1634" s="1342">
        <f t="shared" si="79"/>
        <v>27000</v>
      </c>
      <c r="H1634" s="241" t="s">
        <v>1095</v>
      </c>
      <c r="I1634" s="241" t="s">
        <v>242</v>
      </c>
      <c r="J1634" s="1350"/>
      <c r="K1634" s="27"/>
      <c r="L1634" s="27"/>
      <c r="M1634" s="14"/>
      <c r="N1634" s="14"/>
      <c r="O1634" s="14"/>
    </row>
    <row r="1635" spans="1:15" ht="18">
      <c r="A1635" s="1538"/>
      <c r="B1635" s="485" t="s">
        <v>297</v>
      </c>
      <c r="C1635" s="220"/>
      <c r="D1635" s="1075" t="s">
        <v>1145</v>
      </c>
      <c r="E1635" s="308"/>
      <c r="F1635" s="877"/>
      <c r="G1635" s="1349"/>
      <c r="H1635" s="211" t="s">
        <v>1118</v>
      </c>
      <c r="I1635" s="211"/>
      <c r="J1635" s="1371" t="s">
        <v>1146</v>
      </c>
      <c r="K1635" s="27"/>
      <c r="L1635" s="27"/>
      <c r="M1635" s="1369" t="s">
        <v>80</v>
      </c>
      <c r="N1635" s="1369"/>
      <c r="O1635" s="1164">
        <f>SUM(O1629:O1634)</f>
        <v>96000</v>
      </c>
    </row>
    <row r="1636" spans="1:15" ht="15.75">
      <c r="A1636" s="1538"/>
      <c r="B1636" s="814" t="s">
        <v>297</v>
      </c>
      <c r="C1636" s="220"/>
      <c r="D1636" s="757" t="s">
        <v>1147</v>
      </c>
      <c r="E1636" s="308"/>
      <c r="F1636" s="1308"/>
      <c r="G1636" s="1360"/>
      <c r="H1636" s="209"/>
      <c r="I1636" s="209"/>
      <c r="J1636" s="1310" t="s">
        <v>1148</v>
      </c>
      <c r="K1636" s="27"/>
      <c r="L1636" s="27"/>
      <c r="M1636" s="1365"/>
      <c r="N1636" s="1365"/>
      <c r="O1636" s="1365"/>
    </row>
    <row r="1637" spans="1:15" ht="20.25">
      <c r="A1637" s="1538"/>
      <c r="B1637" s="1319"/>
      <c r="C1637" s="1270"/>
      <c r="D1637" s="1091"/>
      <c r="E1637" s="1110">
        <f>SUM(E1629:E1636)</f>
        <v>8650000</v>
      </c>
      <c r="F1637" s="1271"/>
      <c r="G1637" s="895">
        <f>SUM(G1629:G1636)</f>
        <v>529000</v>
      </c>
      <c r="H1637" s="1344"/>
      <c r="I1637" s="1091"/>
      <c r="J1637" s="1271"/>
      <c r="K1637" s="27"/>
      <c r="L1637" s="27"/>
      <c r="M1637" s="906" t="s">
        <v>80</v>
      </c>
      <c r="N1637" s="906"/>
      <c r="O1637" s="869">
        <f>G1637+O1635</f>
        <v>625000</v>
      </c>
    </row>
    <row r="1640" spans="1:15" ht="23.25">
      <c r="A1640" s="1539" t="s">
        <v>1087</v>
      </c>
      <c r="B1640" s="1540"/>
      <c r="C1640" s="1540"/>
      <c r="D1640" s="1540"/>
      <c r="E1640" s="1540"/>
      <c r="F1640" s="1540"/>
      <c r="G1640" s="1540"/>
      <c r="H1640" s="1540"/>
      <c r="I1640" s="1540"/>
      <c r="J1640" s="1540"/>
      <c r="K1640" s="1533" t="s">
        <v>2</v>
      </c>
      <c r="L1640" s="1533"/>
      <c r="M1640" s="1533"/>
      <c r="N1640" s="1533"/>
      <c r="O1640" s="1533"/>
    </row>
    <row r="1641" spans="1:15" ht="30.75">
      <c r="A1641" s="126" t="s">
        <v>3</v>
      </c>
      <c r="B1641" s="3" t="s">
        <v>120</v>
      </c>
      <c r="C1641" s="2" t="s">
        <v>4</v>
      </c>
      <c r="D1641" s="3" t="s">
        <v>5</v>
      </c>
      <c r="E1641" s="3" t="s">
        <v>6</v>
      </c>
      <c r="F1641" s="3" t="s">
        <v>7</v>
      </c>
      <c r="G1641" s="3" t="s">
        <v>8</v>
      </c>
      <c r="H1641" s="3" t="s">
        <v>9</v>
      </c>
      <c r="I1641" s="3" t="s">
        <v>10</v>
      </c>
      <c r="J1641" s="3" t="s">
        <v>11</v>
      </c>
      <c r="K1641" s="657" t="s">
        <v>12</v>
      </c>
      <c r="L1641" s="68" t="s">
        <v>5</v>
      </c>
      <c r="M1641" s="68" t="s">
        <v>13</v>
      </c>
      <c r="N1641" s="129" t="s">
        <v>7</v>
      </c>
      <c r="O1641" s="68" t="s">
        <v>14</v>
      </c>
    </row>
    <row r="1642" spans="1:15" ht="15.75">
      <c r="A1642" s="1538" t="s">
        <v>151</v>
      </c>
      <c r="B1642" s="241">
        <v>14351</v>
      </c>
      <c r="C1642" s="140">
        <v>0.09</v>
      </c>
      <c r="D1642" s="1057" t="s">
        <v>1125</v>
      </c>
      <c r="E1642" s="143">
        <v>1200000</v>
      </c>
      <c r="F1642" s="234">
        <v>0.03</v>
      </c>
      <c r="G1642" s="1342">
        <f>E1642*F1642</f>
        <v>36000</v>
      </c>
      <c r="H1642" s="241" t="s">
        <v>520</v>
      </c>
      <c r="I1642" s="241" t="s">
        <v>989</v>
      </c>
      <c r="J1642" s="1274"/>
      <c r="K1642" s="241">
        <v>14384</v>
      </c>
      <c r="L1642" s="259" t="s">
        <v>1126</v>
      </c>
      <c r="M1642" s="699">
        <v>1200000</v>
      </c>
      <c r="N1642" s="232">
        <v>0.04</v>
      </c>
      <c r="O1642" s="178">
        <f>M1642*N1642</f>
        <v>48000</v>
      </c>
    </row>
    <row r="1643" spans="1:15" ht="15.75">
      <c r="A1643" s="1538"/>
      <c r="B1643" s="241">
        <v>14382</v>
      </c>
      <c r="C1643" s="138">
        <v>0.1</v>
      </c>
      <c r="D1643" s="1024" t="s">
        <v>1149</v>
      </c>
      <c r="E1643" s="143">
        <v>1200000</v>
      </c>
      <c r="F1643" s="779">
        <v>0.08</v>
      </c>
      <c r="G1643" s="1342">
        <f t="shared" ref="G1643:G1649" si="80">E1643*F1643</f>
        <v>96000</v>
      </c>
      <c r="H1643" s="135" t="s">
        <v>1090</v>
      </c>
      <c r="I1643" s="135" t="s">
        <v>242</v>
      </c>
      <c r="J1643" s="1273"/>
      <c r="K1643" s="241"/>
      <c r="L1643" s="243" t="s">
        <v>1143</v>
      </c>
      <c r="M1643" s="143">
        <v>1150000</v>
      </c>
      <c r="N1643" s="232">
        <v>0.04</v>
      </c>
      <c r="O1643" s="178">
        <f>M1643*N1643</f>
        <v>46000</v>
      </c>
    </row>
    <row r="1644" spans="1:15" ht="15.75">
      <c r="A1644" s="1538"/>
      <c r="B1644" s="241">
        <v>14427</v>
      </c>
      <c r="C1644" s="478">
        <v>0.1</v>
      </c>
      <c r="D1644" s="1057" t="s">
        <v>1150</v>
      </c>
      <c r="E1644" s="143">
        <v>1500000</v>
      </c>
      <c r="F1644" s="779">
        <v>0.08</v>
      </c>
      <c r="G1644" s="1342">
        <f t="shared" si="80"/>
        <v>120000</v>
      </c>
      <c r="H1644" s="241" t="s">
        <v>1090</v>
      </c>
      <c r="I1644" s="241" t="s">
        <v>242</v>
      </c>
      <c r="J1644" s="1274"/>
      <c r="K1644" s="27"/>
      <c r="L1644" s="27"/>
      <c r="M1644" s="14"/>
      <c r="N1644" s="14"/>
      <c r="O1644" s="14"/>
    </row>
    <row r="1645" spans="1:15" ht="15.75">
      <c r="A1645" s="1538"/>
      <c r="B1645" s="241">
        <v>14429</v>
      </c>
      <c r="C1645" s="140">
        <v>0.08</v>
      </c>
      <c r="D1645" s="1057" t="s">
        <v>1121</v>
      </c>
      <c r="E1645" s="143">
        <v>1650000</v>
      </c>
      <c r="F1645" s="234">
        <v>0.03</v>
      </c>
      <c r="G1645" s="1342">
        <f t="shared" si="80"/>
        <v>49500</v>
      </c>
      <c r="H1645" s="241" t="s">
        <v>520</v>
      </c>
      <c r="I1645" s="241" t="s">
        <v>242</v>
      </c>
      <c r="J1645" s="1274"/>
      <c r="K1645" s="27"/>
      <c r="L1645" s="27"/>
      <c r="M1645" s="14"/>
      <c r="N1645" s="14"/>
      <c r="O1645" s="14"/>
    </row>
    <row r="1646" spans="1:15" ht="15.75">
      <c r="A1646" s="1538"/>
      <c r="B1646" s="241">
        <v>14488</v>
      </c>
      <c r="C1646" s="478">
        <v>0.1</v>
      </c>
      <c r="D1646" s="1057" t="s">
        <v>1123</v>
      </c>
      <c r="E1646" s="143">
        <v>1700000</v>
      </c>
      <c r="F1646" s="779">
        <v>0.04</v>
      </c>
      <c r="G1646" s="1342">
        <f t="shared" si="80"/>
        <v>68000</v>
      </c>
      <c r="H1646" s="241" t="s">
        <v>520</v>
      </c>
      <c r="I1646" s="241" t="s">
        <v>989</v>
      </c>
      <c r="J1646" s="1274"/>
      <c r="K1646" s="27"/>
      <c r="L1646" s="27"/>
      <c r="M1646" s="14"/>
      <c r="N1646" s="14"/>
      <c r="O1646" s="14"/>
    </row>
    <row r="1647" spans="1:15" ht="15.75">
      <c r="A1647" s="1538"/>
      <c r="B1647" s="241">
        <v>14519</v>
      </c>
      <c r="C1647" s="478">
        <v>0.1</v>
      </c>
      <c r="D1647" s="1232" t="s">
        <v>1151</v>
      </c>
      <c r="E1647" s="143">
        <v>1700000</v>
      </c>
      <c r="F1647" s="779">
        <v>0.08</v>
      </c>
      <c r="G1647" s="1342">
        <f t="shared" si="80"/>
        <v>136000</v>
      </c>
      <c r="H1647" s="241" t="s">
        <v>1090</v>
      </c>
      <c r="I1647" s="241" t="s">
        <v>100</v>
      </c>
      <c r="J1647" s="1353"/>
      <c r="K1647" s="27"/>
      <c r="L1647" s="27"/>
      <c r="M1647" s="14"/>
      <c r="N1647" s="14"/>
      <c r="O1647" s="14"/>
    </row>
    <row r="1648" spans="1:15" ht="18">
      <c r="A1648" s="1538"/>
      <c r="B1648" s="241">
        <v>14535</v>
      </c>
      <c r="C1648" s="478">
        <v>0.1</v>
      </c>
      <c r="D1648" s="1057" t="s">
        <v>1152</v>
      </c>
      <c r="E1648" s="143">
        <v>1400000</v>
      </c>
      <c r="F1648" s="779">
        <v>0.05</v>
      </c>
      <c r="G1648" s="1342">
        <f t="shared" si="80"/>
        <v>70000</v>
      </c>
      <c r="H1648" s="241" t="s">
        <v>30</v>
      </c>
      <c r="I1648" s="241" t="s">
        <v>242</v>
      </c>
      <c r="J1648" s="1274"/>
      <c r="K1648" s="27"/>
      <c r="L1648" s="27"/>
      <c r="M1648" s="772" t="s">
        <v>80</v>
      </c>
      <c r="N1648" s="772"/>
      <c r="O1648" s="533">
        <f>SUM(O1642:O1647)</f>
        <v>94000</v>
      </c>
    </row>
    <row r="1649" spans="1:15" ht="15.75">
      <c r="A1649" s="1538"/>
      <c r="B1649" s="241">
        <v>14571</v>
      </c>
      <c r="C1649" s="478">
        <v>0.1</v>
      </c>
      <c r="D1649" s="243" t="s">
        <v>1140</v>
      </c>
      <c r="E1649" s="143">
        <v>1200000</v>
      </c>
      <c r="F1649" s="779">
        <v>0.04</v>
      </c>
      <c r="G1649" s="1342">
        <f t="shared" si="80"/>
        <v>48000</v>
      </c>
      <c r="H1649" s="241" t="s">
        <v>1015</v>
      </c>
      <c r="I1649" s="241" t="s">
        <v>989</v>
      </c>
      <c r="J1649" s="1274"/>
      <c r="K1649" s="27"/>
      <c r="L1649" s="27"/>
      <c r="M1649" s="1336"/>
      <c r="N1649" s="1336"/>
      <c r="O1649" s="1336"/>
    </row>
    <row r="1650" spans="1:15" ht="20.25">
      <c r="A1650" s="1538"/>
      <c r="B1650" s="1319"/>
      <c r="C1650" s="1270"/>
      <c r="D1650" s="1091"/>
      <c r="E1650" s="1110">
        <f>SUM(E1642:E1649)</f>
        <v>11550000</v>
      </c>
      <c r="F1650" s="1091"/>
      <c r="G1650" s="332">
        <f>SUM(G1642:G1649)</f>
        <v>623500</v>
      </c>
      <c r="H1650" s="1091"/>
      <c r="I1650" s="1091"/>
      <c r="J1650" s="1271"/>
      <c r="K1650" s="27"/>
      <c r="L1650" s="27"/>
      <c r="M1650" s="1362" t="s">
        <v>80</v>
      </c>
      <c r="N1650" s="1362"/>
      <c r="O1650" s="1363">
        <f>G1650+O1648</f>
        <v>717500</v>
      </c>
    </row>
    <row r="1653" spans="1:15" ht="23.25">
      <c r="A1653" s="1539" t="s">
        <v>1093</v>
      </c>
      <c r="B1653" s="1540"/>
      <c r="C1653" s="1540"/>
      <c r="D1653" s="1540"/>
      <c r="E1653" s="1540"/>
      <c r="F1653" s="1540"/>
      <c r="G1653" s="1540"/>
      <c r="H1653" s="1540"/>
      <c r="I1653" s="1540"/>
      <c r="J1653" s="1540"/>
      <c r="K1653" s="1533" t="s">
        <v>2</v>
      </c>
      <c r="L1653" s="1555"/>
      <c r="M1653" s="1533"/>
      <c r="N1653" s="1533"/>
      <c r="O1653" s="1533"/>
    </row>
    <row r="1654" spans="1:15" ht="30.75">
      <c r="A1654" s="126" t="s">
        <v>3</v>
      </c>
      <c r="B1654" s="3" t="s">
        <v>120</v>
      </c>
      <c r="C1654" s="2" t="s">
        <v>4</v>
      </c>
      <c r="D1654" s="3" t="s">
        <v>5</v>
      </c>
      <c r="E1654" s="3" t="s">
        <v>6</v>
      </c>
      <c r="F1654" s="3" t="s">
        <v>7</v>
      </c>
      <c r="G1654" s="3" t="s">
        <v>8</v>
      </c>
      <c r="H1654" s="3" t="s">
        <v>9</v>
      </c>
      <c r="I1654" s="3" t="s">
        <v>10</v>
      </c>
      <c r="J1654" s="3" t="s">
        <v>11</v>
      </c>
      <c r="K1654" s="1358" t="s">
        <v>12</v>
      </c>
      <c r="L1654" s="3" t="s">
        <v>5</v>
      </c>
      <c r="M1654" s="657" t="s">
        <v>13</v>
      </c>
      <c r="N1654" s="129" t="s">
        <v>7</v>
      </c>
      <c r="O1654" s="68" t="s">
        <v>14</v>
      </c>
    </row>
    <row r="1655" spans="1:15" ht="15.75">
      <c r="A1655" s="1538" t="s">
        <v>95</v>
      </c>
      <c r="B1655" s="241">
        <v>14342</v>
      </c>
      <c r="C1655" s="478">
        <v>0.1</v>
      </c>
      <c r="D1655" s="259" t="s">
        <v>1153</v>
      </c>
      <c r="E1655" s="143">
        <v>1600000</v>
      </c>
      <c r="F1655" s="779">
        <v>0.06</v>
      </c>
      <c r="G1655" s="1342">
        <f>E1655*F1655</f>
        <v>96000</v>
      </c>
      <c r="H1655" s="241" t="s">
        <v>30</v>
      </c>
      <c r="I1655" s="241" t="s">
        <v>989</v>
      </c>
      <c r="J1655" s="1274"/>
      <c r="K1655" s="241">
        <v>14598</v>
      </c>
      <c r="L1655" s="1364" t="s">
        <v>1144</v>
      </c>
      <c r="M1655" s="143">
        <v>900000</v>
      </c>
      <c r="N1655" s="232">
        <v>0.04</v>
      </c>
      <c r="O1655" s="178">
        <f>M1655*N1655</f>
        <v>36000</v>
      </c>
    </row>
    <row r="1656" spans="1:15" ht="15.75">
      <c r="A1656" s="1538"/>
      <c r="B1656" s="241">
        <v>14371</v>
      </c>
      <c r="C1656" s="478">
        <v>0.1</v>
      </c>
      <c r="D1656" s="259" t="s">
        <v>1154</v>
      </c>
      <c r="E1656" s="143">
        <v>1350000</v>
      </c>
      <c r="F1656" s="779">
        <v>0.1</v>
      </c>
      <c r="G1656" s="1342">
        <f t="shared" ref="G1656:G1668" si="81">E1656*F1656</f>
        <v>135000</v>
      </c>
      <c r="H1656" s="241" t="s">
        <v>1095</v>
      </c>
      <c r="I1656" s="241" t="s">
        <v>100</v>
      </c>
      <c r="J1656" s="1274"/>
      <c r="K1656" s="1091"/>
      <c r="L1656" s="27"/>
      <c r="M1656" s="14"/>
      <c r="N1656" s="14"/>
      <c r="O1656" s="14"/>
    </row>
    <row r="1657" spans="1:15" ht="15.75">
      <c r="A1657" s="1538"/>
      <c r="B1657" s="241">
        <v>14366</v>
      </c>
      <c r="C1657" s="478">
        <v>0.1</v>
      </c>
      <c r="D1657" s="136" t="s">
        <v>1101</v>
      </c>
      <c r="E1657" s="143">
        <v>1500000</v>
      </c>
      <c r="F1657" s="779">
        <v>0.05</v>
      </c>
      <c r="G1657" s="1342">
        <f t="shared" si="81"/>
        <v>75000</v>
      </c>
      <c r="H1657" s="241" t="s">
        <v>311</v>
      </c>
      <c r="I1657" s="241" t="s">
        <v>242</v>
      </c>
      <c r="J1657" s="1274"/>
      <c r="K1657" s="27"/>
      <c r="L1657" s="27"/>
      <c r="M1657" s="14"/>
      <c r="N1657" s="14"/>
      <c r="O1657" s="14"/>
    </row>
    <row r="1658" spans="1:15" ht="15.75">
      <c r="A1658" s="1538"/>
      <c r="B1658" s="241">
        <v>14348</v>
      </c>
      <c r="C1658" s="1207">
        <v>0.1</v>
      </c>
      <c r="D1658" s="136" t="s">
        <v>1155</v>
      </c>
      <c r="E1658" s="143">
        <v>1100000</v>
      </c>
      <c r="F1658" s="779">
        <v>0.1</v>
      </c>
      <c r="G1658" s="1342">
        <f t="shared" si="81"/>
        <v>110000</v>
      </c>
      <c r="H1658" s="241" t="s">
        <v>1095</v>
      </c>
      <c r="I1658" s="241" t="s">
        <v>242</v>
      </c>
      <c r="J1658" s="1274"/>
      <c r="K1658" s="27"/>
      <c r="L1658" s="27"/>
      <c r="M1658" s="14"/>
      <c r="N1658" s="14"/>
      <c r="O1658" s="14"/>
    </row>
    <row r="1659" spans="1:15" ht="15.75">
      <c r="A1659" s="1538"/>
      <c r="B1659" s="241">
        <v>14391</v>
      </c>
      <c r="C1659" s="1207">
        <v>0.1</v>
      </c>
      <c r="D1659" s="1057" t="s">
        <v>1156</v>
      </c>
      <c r="E1659" s="143">
        <v>1300000</v>
      </c>
      <c r="F1659" s="779">
        <v>0.05</v>
      </c>
      <c r="G1659" s="1342">
        <f t="shared" si="81"/>
        <v>65000</v>
      </c>
      <c r="H1659" s="241" t="s">
        <v>1157</v>
      </c>
      <c r="I1659" s="241" t="s">
        <v>100</v>
      </c>
      <c r="J1659" s="1274"/>
      <c r="K1659" s="27"/>
      <c r="L1659" s="27"/>
      <c r="M1659" s="14"/>
      <c r="N1659" s="14"/>
      <c r="O1659" s="14"/>
    </row>
    <row r="1660" spans="1:15" ht="15.75">
      <c r="A1660" s="1538"/>
      <c r="B1660" s="241">
        <v>14464</v>
      </c>
      <c r="C1660" s="1207">
        <v>0.1</v>
      </c>
      <c r="D1660" s="243" t="s">
        <v>1158</v>
      </c>
      <c r="E1660" s="143">
        <v>1700000</v>
      </c>
      <c r="F1660" s="779">
        <v>0.1</v>
      </c>
      <c r="G1660" s="1342">
        <f t="shared" si="81"/>
        <v>170000</v>
      </c>
      <c r="H1660" s="241" t="s">
        <v>1095</v>
      </c>
      <c r="I1660" s="241" t="s">
        <v>989</v>
      </c>
      <c r="J1660" s="1274"/>
      <c r="K1660" s="27"/>
      <c r="L1660" s="27"/>
      <c r="M1660" s="14"/>
      <c r="N1660" s="14"/>
      <c r="O1660" s="14"/>
    </row>
    <row r="1661" spans="1:15" ht="15.75">
      <c r="A1661" s="1538"/>
      <c r="B1661" s="241">
        <v>14437</v>
      </c>
      <c r="C1661" s="1207">
        <v>0.1</v>
      </c>
      <c r="D1661" s="1057" t="s">
        <v>330</v>
      </c>
      <c r="E1661" s="143">
        <v>1400000</v>
      </c>
      <c r="F1661" s="779">
        <v>0.06</v>
      </c>
      <c r="G1661" s="1342">
        <f t="shared" si="81"/>
        <v>84000</v>
      </c>
      <c r="H1661" s="241" t="s">
        <v>30</v>
      </c>
      <c r="I1661" s="241" t="s">
        <v>242</v>
      </c>
      <c r="J1661" s="1274"/>
      <c r="K1661" s="27"/>
      <c r="L1661" s="27"/>
      <c r="M1661" s="14"/>
      <c r="N1661" s="14"/>
      <c r="O1661" s="14"/>
    </row>
    <row r="1662" spans="1:15" ht="15.75">
      <c r="A1662" s="1538"/>
      <c r="B1662" s="241">
        <v>14452</v>
      </c>
      <c r="C1662" s="1207">
        <v>0.1</v>
      </c>
      <c r="D1662" s="1057" t="s">
        <v>370</v>
      </c>
      <c r="E1662" s="143">
        <v>1200000</v>
      </c>
      <c r="F1662" s="779">
        <v>0.06</v>
      </c>
      <c r="G1662" s="1342">
        <f t="shared" si="81"/>
        <v>72000</v>
      </c>
      <c r="H1662" s="241" t="s">
        <v>30</v>
      </c>
      <c r="I1662" s="241" t="s">
        <v>242</v>
      </c>
      <c r="J1662" s="1274"/>
      <c r="K1662" s="27"/>
      <c r="L1662" s="27"/>
      <c r="M1662" s="14"/>
      <c r="N1662" s="14"/>
      <c r="O1662" s="14"/>
    </row>
    <row r="1663" spans="1:15" ht="15.75">
      <c r="A1663" s="1538"/>
      <c r="B1663" s="241">
        <v>14514</v>
      </c>
      <c r="C1663" s="1207">
        <v>0.1</v>
      </c>
      <c r="D1663" s="1057" t="s">
        <v>1159</v>
      </c>
      <c r="E1663" s="143">
        <v>1500000</v>
      </c>
      <c r="F1663" s="779">
        <v>0.1</v>
      </c>
      <c r="G1663" s="1342">
        <f t="shared" si="81"/>
        <v>150000</v>
      </c>
      <c r="H1663" s="241" t="s">
        <v>1095</v>
      </c>
      <c r="I1663" s="241" t="s">
        <v>100</v>
      </c>
      <c r="J1663" s="1274"/>
      <c r="K1663" s="27"/>
      <c r="L1663" s="27"/>
      <c r="M1663" s="14"/>
      <c r="N1663" s="14"/>
      <c r="O1663" s="14"/>
    </row>
    <row r="1664" spans="1:15" ht="15.75">
      <c r="A1664" s="1538"/>
      <c r="B1664" s="241">
        <v>14553</v>
      </c>
      <c r="C1664" s="1207">
        <v>0.1</v>
      </c>
      <c r="D1664" s="243" t="s">
        <v>1160</v>
      </c>
      <c r="E1664" s="143">
        <v>1350000</v>
      </c>
      <c r="F1664" s="779">
        <v>0.1</v>
      </c>
      <c r="G1664" s="1342">
        <f t="shared" si="81"/>
        <v>135000</v>
      </c>
      <c r="H1664" s="241" t="s">
        <v>1095</v>
      </c>
      <c r="I1664" s="241" t="s">
        <v>989</v>
      </c>
      <c r="J1664" s="1274"/>
      <c r="K1664" s="27"/>
      <c r="L1664" s="27"/>
      <c r="M1664" s="14"/>
      <c r="N1664" s="14"/>
      <c r="O1664" s="14"/>
    </row>
    <row r="1665" spans="1:15" ht="15.75">
      <c r="A1665" s="1538"/>
      <c r="B1665" s="241">
        <v>14554</v>
      </c>
      <c r="C1665" s="1207">
        <v>0.1</v>
      </c>
      <c r="D1665" s="243" t="s">
        <v>1161</v>
      </c>
      <c r="E1665" s="143">
        <v>1450000</v>
      </c>
      <c r="F1665" s="779">
        <v>0.1</v>
      </c>
      <c r="G1665" s="1342">
        <f t="shared" si="81"/>
        <v>145000</v>
      </c>
      <c r="H1665" s="241" t="s">
        <v>1095</v>
      </c>
      <c r="I1665" s="241" t="s">
        <v>242</v>
      </c>
      <c r="J1665" s="1274"/>
      <c r="K1665" s="27"/>
      <c r="L1665" s="27"/>
      <c r="M1665" s="14"/>
      <c r="N1665" s="14"/>
      <c r="O1665" s="14"/>
    </row>
    <row r="1666" spans="1:15" ht="15.75">
      <c r="A1666" s="1538"/>
      <c r="B1666" s="241">
        <v>14546</v>
      </c>
      <c r="C1666" s="1207">
        <v>0.1</v>
      </c>
      <c r="D1666" s="243" t="s">
        <v>1162</v>
      </c>
      <c r="E1666" s="143">
        <v>1350000</v>
      </c>
      <c r="F1666" s="779">
        <v>0.1</v>
      </c>
      <c r="G1666" s="1342">
        <f t="shared" si="81"/>
        <v>135000</v>
      </c>
      <c r="H1666" s="241" t="s">
        <v>1095</v>
      </c>
      <c r="I1666" s="241" t="s">
        <v>100</v>
      </c>
      <c r="J1666" s="1274"/>
      <c r="K1666" s="27"/>
      <c r="L1666" s="27"/>
      <c r="M1666" s="14"/>
      <c r="N1666" s="14"/>
      <c r="O1666" s="14"/>
    </row>
    <row r="1667" spans="1:15" ht="18.75">
      <c r="A1667" s="1538"/>
      <c r="B1667" s="241">
        <v>14583</v>
      </c>
      <c r="C1667" s="1357">
        <v>0.08</v>
      </c>
      <c r="D1667" s="243" t="s">
        <v>1163</v>
      </c>
      <c r="E1667" s="143">
        <v>1350000</v>
      </c>
      <c r="F1667" s="1370">
        <v>0.08</v>
      </c>
      <c r="G1667" s="619">
        <f t="shared" si="81"/>
        <v>108000</v>
      </c>
      <c r="H1667" s="238" t="s">
        <v>1095</v>
      </c>
      <c r="I1667" s="241" t="s">
        <v>989</v>
      </c>
      <c r="J1667" s="1274"/>
      <c r="K1667" s="27"/>
      <c r="L1667" s="27"/>
      <c r="M1667" s="663" t="s">
        <v>80</v>
      </c>
      <c r="N1667" s="663"/>
      <c r="O1667" s="674">
        <f>SUM(O1655)</f>
        <v>36000</v>
      </c>
    </row>
    <row r="1668" spans="1:15" ht="18.75">
      <c r="A1668" s="1538"/>
      <c r="B1668" s="241">
        <v>14604</v>
      </c>
      <c r="C1668" s="1207">
        <v>0.1</v>
      </c>
      <c r="D1668" s="243" t="s">
        <v>1164</v>
      </c>
      <c r="E1668" s="143">
        <v>1350000</v>
      </c>
      <c r="F1668" s="534">
        <v>0.1</v>
      </c>
      <c r="G1668" s="619">
        <f t="shared" si="81"/>
        <v>135000</v>
      </c>
      <c r="H1668" s="238" t="s">
        <v>1095</v>
      </c>
      <c r="I1668" s="241" t="s">
        <v>989</v>
      </c>
      <c r="J1668" s="1274"/>
      <c r="K1668" s="27"/>
      <c r="L1668" s="27"/>
      <c r="M1668" s="663"/>
      <c r="N1668" s="663"/>
      <c r="O1668" s="674"/>
    </row>
    <row r="1669" spans="1:15" ht="15.75">
      <c r="A1669" s="1538"/>
      <c r="B1669" s="485" t="s">
        <v>638</v>
      </c>
      <c r="C1669" s="1211"/>
      <c r="D1669" s="1345" t="s">
        <v>1165</v>
      </c>
      <c r="E1669" s="308"/>
      <c r="F1669" s="877" t="s">
        <v>1166</v>
      </c>
      <c r="G1669" s="1124"/>
      <c r="H1669" s="209" t="s">
        <v>520</v>
      </c>
      <c r="I1669" s="209" t="s">
        <v>242</v>
      </c>
      <c r="J1669" s="1310" t="s">
        <v>1167</v>
      </c>
      <c r="K1669" s="27"/>
      <c r="L1669" s="27"/>
      <c r="M1669" s="1365"/>
      <c r="N1669" s="1365"/>
      <c r="O1669" s="1365"/>
    </row>
    <row r="1670" spans="1:15" ht="20.25">
      <c r="A1670" s="1538"/>
      <c r="B1670" s="1319"/>
      <c r="C1670" s="1270"/>
      <c r="D1670" s="1091"/>
      <c r="E1670" s="1110">
        <f>SUM(E1655:E1669)</f>
        <v>19500000</v>
      </c>
      <c r="F1670" s="1091"/>
      <c r="G1670" s="332">
        <f>SUM(G1655:G1669)</f>
        <v>1615000</v>
      </c>
      <c r="H1670" s="1091"/>
      <c r="I1670" s="1091"/>
      <c r="J1670" s="1271"/>
      <c r="K1670" s="27"/>
      <c r="L1670" s="27"/>
      <c r="M1670" s="1362" t="s">
        <v>80</v>
      </c>
      <c r="N1670" s="1362"/>
      <c r="O1670" s="1363">
        <f>G1670+O1667</f>
        <v>1651000</v>
      </c>
    </row>
    <row r="1674" spans="1:15" ht="23.25">
      <c r="A1674" s="1530" t="s">
        <v>1097</v>
      </c>
      <c r="B1674" s="1531"/>
      <c r="C1674" s="1532"/>
      <c r="D1674" s="1531"/>
      <c r="E1674" s="1531"/>
      <c r="F1674" s="1531"/>
      <c r="G1674" s="1531"/>
      <c r="H1674" s="1532"/>
      <c r="I1674" s="1532"/>
      <c r="J1674" s="1532"/>
      <c r="K1674" s="1533" t="s">
        <v>2</v>
      </c>
      <c r="L1674" s="1533"/>
      <c r="M1674" s="1533"/>
      <c r="N1674" s="1533"/>
      <c r="O1674" s="1533"/>
    </row>
    <row r="1675" spans="1:15" ht="30.75">
      <c r="A1675" s="126" t="s">
        <v>3</v>
      </c>
      <c r="B1675" s="1" t="s">
        <v>120</v>
      </c>
      <c r="C1675" s="367" t="s">
        <v>4</v>
      </c>
      <c r="D1675" s="1" t="s">
        <v>5</v>
      </c>
      <c r="E1675" s="1" t="s">
        <v>6</v>
      </c>
      <c r="F1675" s="1" t="s">
        <v>7</v>
      </c>
      <c r="G1675" s="1" t="s">
        <v>8</v>
      </c>
      <c r="H1675" s="361" t="s">
        <v>9</v>
      </c>
      <c r="I1675" s="1" t="s">
        <v>10</v>
      </c>
      <c r="J1675" s="126" t="s">
        <v>11</v>
      </c>
      <c r="K1675" s="3" t="s">
        <v>12</v>
      </c>
      <c r="L1675" s="3" t="s">
        <v>5</v>
      </c>
      <c r="M1675" s="3" t="s">
        <v>13</v>
      </c>
      <c r="N1675" s="1" t="s">
        <v>7</v>
      </c>
      <c r="O1675" s="1" t="s">
        <v>14</v>
      </c>
    </row>
    <row r="1676" spans="1:15" ht="15.75">
      <c r="A1676" s="1630">
        <v>1</v>
      </c>
      <c r="B1676" s="135">
        <v>14409</v>
      </c>
      <c r="C1676" s="1281">
        <v>0.1</v>
      </c>
      <c r="D1676" s="1237" t="s">
        <v>1168</v>
      </c>
      <c r="E1676" s="558">
        <v>850000</v>
      </c>
      <c r="F1676" s="779">
        <v>0.08</v>
      </c>
      <c r="G1676" s="1342">
        <f>E1676*F1676</f>
        <v>68000</v>
      </c>
      <c r="H1676" s="241" t="s">
        <v>286</v>
      </c>
      <c r="I1676" s="241" t="s">
        <v>989</v>
      </c>
      <c r="J1676" s="1343"/>
      <c r="K1676" s="163"/>
      <c r="L1676" s="165"/>
      <c r="M1676" s="1099"/>
      <c r="N1676" s="27"/>
      <c r="O1676" s="27"/>
    </row>
    <row r="1677" spans="1:15" ht="15.75">
      <c r="A1677" s="1538"/>
      <c r="B1677" s="241">
        <v>14387</v>
      </c>
      <c r="C1677" s="1207">
        <v>0.1</v>
      </c>
      <c r="D1677" s="1232" t="s">
        <v>1141</v>
      </c>
      <c r="E1677" s="143">
        <v>1200000</v>
      </c>
      <c r="F1677" s="779">
        <v>0.04</v>
      </c>
      <c r="G1677" s="1342">
        <f t="shared" ref="G1677:G1678" si="82">E1677*F1677</f>
        <v>48000</v>
      </c>
      <c r="H1677" s="241" t="s">
        <v>1015</v>
      </c>
      <c r="I1677" s="241" t="s">
        <v>989</v>
      </c>
      <c r="J1677" s="1343"/>
      <c r="K1677" s="163"/>
      <c r="L1677" s="165"/>
      <c r="M1677" s="1101"/>
      <c r="N1677" s="27"/>
      <c r="O1677" s="27"/>
    </row>
    <row r="1678" spans="1:15" ht="15.75">
      <c r="A1678" s="1538"/>
      <c r="B1678" s="241">
        <v>14365</v>
      </c>
      <c r="C1678" s="1207">
        <v>0.1</v>
      </c>
      <c r="D1678" s="1024" t="s">
        <v>1103</v>
      </c>
      <c r="E1678" s="143">
        <v>520000</v>
      </c>
      <c r="F1678" s="779">
        <v>0.04</v>
      </c>
      <c r="G1678" s="1342">
        <f t="shared" si="82"/>
        <v>20800</v>
      </c>
      <c r="H1678" s="241" t="s">
        <v>311</v>
      </c>
      <c r="I1678" s="241" t="s">
        <v>989</v>
      </c>
      <c r="J1678" s="1343"/>
      <c r="K1678" s="263"/>
      <c r="L1678" s="181"/>
      <c r="M1678" s="1099"/>
      <c r="N1678" s="959"/>
      <c r="O1678" s="959"/>
    </row>
    <row r="1679" spans="1:15" ht="21">
      <c r="A1679" s="1538"/>
      <c r="B1679" s="71"/>
      <c r="C1679" s="71"/>
      <c r="D1679" s="14"/>
      <c r="E1679" s="1110">
        <f>SUM(E1676:E1678)</f>
        <v>2570000</v>
      </c>
      <c r="F1679" s="14"/>
      <c r="G1679" s="332">
        <f>SUM(G1676:G1678)</f>
        <v>136800</v>
      </c>
      <c r="H1679" s="14"/>
      <c r="I1679" s="14"/>
      <c r="J1679" s="14"/>
      <c r="K1679" s="273"/>
      <c r="L1679" s="165"/>
      <c r="M1679" s="1363" t="s">
        <v>1169</v>
      </c>
      <c r="N1679" s="1367"/>
      <c r="O1679" s="1368">
        <f>G1679</f>
        <v>136800</v>
      </c>
    </row>
    <row r="1680" spans="1:15" ht="15.75">
      <c r="L1680" s="1337"/>
      <c r="M1680" s="172"/>
    </row>
    <row r="1682" spans="1:15" ht="23.25">
      <c r="A1682" s="1530" t="s">
        <v>274</v>
      </c>
      <c r="B1682" s="1531"/>
      <c r="C1682" s="1532"/>
      <c r="D1682" s="1531"/>
      <c r="E1682" s="1531"/>
      <c r="F1682" s="1531"/>
      <c r="G1682" s="1531"/>
      <c r="H1682" s="1532"/>
      <c r="I1682" s="1532"/>
      <c r="J1682" s="1532"/>
      <c r="K1682" s="1533" t="s">
        <v>2</v>
      </c>
      <c r="L1682" s="1533"/>
      <c r="M1682" s="1533"/>
      <c r="N1682" s="1533"/>
      <c r="O1682" s="1533"/>
    </row>
    <row r="1683" spans="1:15" ht="30.75">
      <c r="A1683" s="126" t="s">
        <v>3</v>
      </c>
      <c r="B1683" s="1" t="s">
        <v>120</v>
      </c>
      <c r="C1683" s="367" t="s">
        <v>4</v>
      </c>
      <c r="D1683" s="1" t="s">
        <v>5</v>
      </c>
      <c r="E1683" s="1" t="s">
        <v>6</v>
      </c>
      <c r="F1683" s="1" t="s">
        <v>7</v>
      </c>
      <c r="G1683" s="1" t="s">
        <v>8</v>
      </c>
      <c r="H1683" s="361" t="s">
        <v>9</v>
      </c>
      <c r="I1683" s="1" t="s">
        <v>10</v>
      </c>
      <c r="J1683" s="126" t="s">
        <v>11</v>
      </c>
      <c r="K1683" s="3" t="s">
        <v>12</v>
      </c>
      <c r="L1683" s="3" t="s">
        <v>5</v>
      </c>
      <c r="M1683" s="3" t="s">
        <v>13</v>
      </c>
      <c r="N1683" s="1" t="s">
        <v>7</v>
      </c>
      <c r="O1683" s="1" t="s">
        <v>14</v>
      </c>
    </row>
    <row r="1684" spans="1:15" ht="15.75">
      <c r="A1684" s="1534"/>
      <c r="B1684" s="241">
        <v>14379</v>
      </c>
      <c r="C1684" s="1207">
        <v>0.1</v>
      </c>
      <c r="D1684" s="259" t="s">
        <v>1170</v>
      </c>
      <c r="E1684" s="143">
        <v>1200000</v>
      </c>
      <c r="F1684" s="545"/>
      <c r="G1684" s="1260"/>
      <c r="H1684" s="545"/>
      <c r="I1684" s="241" t="s">
        <v>1171</v>
      </c>
      <c r="J1684" s="545"/>
      <c r="K1684" s="163"/>
      <c r="L1684" s="181"/>
      <c r="M1684" s="1099"/>
      <c r="N1684" s="27"/>
      <c r="O1684" s="27"/>
    </row>
    <row r="1685" spans="1:15" ht="21">
      <c r="A1685" s="1629"/>
      <c r="B1685" s="71"/>
      <c r="C1685" s="71"/>
      <c r="D1685" s="14"/>
      <c r="E1685" s="1110">
        <f>SUM(E1684:E1684)</f>
        <v>1200000</v>
      </c>
      <c r="F1685" s="14"/>
      <c r="G1685" s="71"/>
      <c r="H1685" s="14"/>
      <c r="I1685" s="14"/>
      <c r="J1685" s="14"/>
      <c r="K1685" s="273"/>
      <c r="L1685" s="165"/>
      <c r="M1685" s="1361" t="s">
        <v>80</v>
      </c>
      <c r="N1685" s="1366"/>
      <c r="O1685" s="869">
        <v>1200000</v>
      </c>
    </row>
    <row r="1686" spans="1:15" ht="15.75">
      <c r="L1686" s="1337"/>
      <c r="M1686" s="172"/>
    </row>
    <row r="1688" spans="1:15" ht="18">
      <c r="A1688" s="1535" t="s">
        <v>68</v>
      </c>
      <c r="B1688" s="1535"/>
      <c r="C1688" s="365"/>
      <c r="D1688" s="341">
        <f>E1606+E1624+E1637+E1650+E1670+E1679+E1685</f>
        <v>80120000</v>
      </c>
    </row>
    <row r="1689" spans="1:15">
      <c r="A1689" s="1536" t="s">
        <v>69</v>
      </c>
      <c r="B1689" s="1536"/>
      <c r="C1689" s="22"/>
      <c r="D1689" s="20"/>
    </row>
    <row r="1690" spans="1:15">
      <c r="A1690" s="1537" t="s">
        <v>70</v>
      </c>
      <c r="B1690" s="1537"/>
      <c r="C1690" s="101"/>
      <c r="D1690" s="21"/>
    </row>
    <row r="1693" spans="1:15" ht="31.5">
      <c r="A1693" s="1546" t="s">
        <v>1172</v>
      </c>
      <c r="B1693" s="1547"/>
      <c r="C1693" s="1547"/>
      <c r="D1693" s="1547"/>
      <c r="E1693" s="1547"/>
      <c r="F1693" s="1547"/>
      <c r="G1693" s="1547"/>
      <c r="H1693" s="1547"/>
      <c r="I1693" s="1547"/>
      <c r="J1693" s="1547"/>
    </row>
    <row r="1694" spans="1:15" ht="23.25">
      <c r="A1694" s="1548" t="s">
        <v>56</v>
      </c>
      <c r="B1694" s="1532"/>
      <c r="C1694" s="1532"/>
      <c r="D1694" s="1531"/>
      <c r="E1694" s="1532"/>
      <c r="F1694" s="1532"/>
      <c r="G1694" s="1532"/>
      <c r="H1694" s="1532"/>
      <c r="I1694" s="1532"/>
      <c r="J1694" s="1549"/>
      <c r="K1694" s="1533" t="s">
        <v>2</v>
      </c>
      <c r="L1694" s="1533"/>
      <c r="M1694" s="1533"/>
      <c r="N1694" s="1533"/>
      <c r="O1694" s="1533"/>
    </row>
    <row r="1695" spans="1:15" ht="30.75">
      <c r="A1695" s="1" t="s">
        <v>3</v>
      </c>
      <c r="B1695" s="361" t="s">
        <v>120</v>
      </c>
      <c r="C1695" s="367" t="s">
        <v>4</v>
      </c>
      <c r="D1695" s="3" t="s">
        <v>5</v>
      </c>
      <c r="E1695" s="361" t="s">
        <v>6</v>
      </c>
      <c r="F1695" s="1" t="s">
        <v>7</v>
      </c>
      <c r="G1695" s="1" t="s">
        <v>8</v>
      </c>
      <c r="H1695" s="361" t="s">
        <v>9</v>
      </c>
      <c r="I1695" s="1" t="s">
        <v>10</v>
      </c>
      <c r="J1695" s="126" t="s">
        <v>11</v>
      </c>
      <c r="K1695" s="68" t="s">
        <v>12</v>
      </c>
      <c r="L1695" s="68" t="s">
        <v>5</v>
      </c>
      <c r="M1695" s="68" t="s">
        <v>13</v>
      </c>
      <c r="N1695" s="129" t="s">
        <v>7</v>
      </c>
      <c r="O1695" s="68" t="s">
        <v>14</v>
      </c>
    </row>
    <row r="1696" spans="1:15" ht="15.75" customHeight="1">
      <c r="A1696" s="1527" t="s">
        <v>764</v>
      </c>
      <c r="B1696" s="241">
        <v>14673</v>
      </c>
      <c r="C1696" s="478">
        <v>0.1</v>
      </c>
      <c r="D1696" s="243" t="s">
        <v>1173</v>
      </c>
      <c r="E1696" s="699">
        <v>1500000</v>
      </c>
      <c r="F1696" s="478">
        <v>0.06</v>
      </c>
      <c r="G1696" s="619">
        <f>E1696*F1696</f>
        <v>90000</v>
      </c>
      <c r="H1696" s="995" t="s">
        <v>30</v>
      </c>
      <c r="I1696" s="997" t="s">
        <v>242</v>
      </c>
      <c r="J1696" s="1104"/>
      <c r="K1696" s="1392">
        <v>14799</v>
      </c>
      <c r="L1696" s="1024" t="s">
        <v>1174</v>
      </c>
      <c r="M1696" s="558">
        <v>1100000</v>
      </c>
      <c r="N1696" s="232">
        <v>0.05</v>
      </c>
      <c r="O1696" s="178">
        <f>M1696*N1696</f>
        <v>55000</v>
      </c>
    </row>
    <row r="1697" spans="1:15" ht="15.75" customHeight="1">
      <c r="A1697" s="1528"/>
      <c r="B1697" s="241">
        <v>14688</v>
      </c>
      <c r="C1697" s="148">
        <v>0.1</v>
      </c>
      <c r="D1697" s="259" t="s">
        <v>1175</v>
      </c>
      <c r="E1697" s="699">
        <v>1700000</v>
      </c>
      <c r="F1697" s="478">
        <v>0.1</v>
      </c>
      <c r="G1697" s="619">
        <f t="shared" ref="G1697:G1705" si="83">E1697*F1697</f>
        <v>170000</v>
      </c>
      <c r="H1697" s="995" t="s">
        <v>1176</v>
      </c>
      <c r="I1697" s="1121" t="s">
        <v>242</v>
      </c>
      <c r="J1697" s="1132"/>
      <c r="K1697" s="27"/>
      <c r="L1697" s="1091"/>
      <c r="M1697" s="27"/>
      <c r="N1697" s="27"/>
      <c r="O1697" s="27"/>
    </row>
    <row r="1698" spans="1:15" ht="15.75" customHeight="1">
      <c r="A1698" s="1528"/>
      <c r="B1698" s="241">
        <v>14703</v>
      </c>
      <c r="C1698" s="1118">
        <v>0.1</v>
      </c>
      <c r="D1698" s="1232" t="s">
        <v>1177</v>
      </c>
      <c r="E1698" s="1044">
        <v>850000</v>
      </c>
      <c r="F1698" s="1119">
        <v>0.1</v>
      </c>
      <c r="G1698" s="619">
        <f t="shared" si="83"/>
        <v>85000</v>
      </c>
      <c r="H1698" s="995" t="s">
        <v>1178</v>
      </c>
      <c r="I1698" s="995" t="s">
        <v>1179</v>
      </c>
      <c r="J1698" s="1257"/>
      <c r="K1698" s="1253"/>
      <c r="L1698" s="27"/>
      <c r="M1698" s="27"/>
      <c r="N1698" s="27"/>
      <c r="O1698" s="27"/>
    </row>
    <row r="1699" spans="1:15" ht="15.75" customHeight="1">
      <c r="A1699" s="1528"/>
      <c r="B1699" s="241">
        <v>14705</v>
      </c>
      <c r="C1699" s="1118">
        <v>0.1</v>
      </c>
      <c r="D1699" s="259" t="s">
        <v>1180</v>
      </c>
      <c r="E1699" s="1044">
        <v>1500000</v>
      </c>
      <c r="F1699" s="1119">
        <v>0.1</v>
      </c>
      <c r="G1699" s="619">
        <f t="shared" si="83"/>
        <v>150000</v>
      </c>
      <c r="H1699" s="995" t="s">
        <v>318</v>
      </c>
      <c r="I1699" s="997" t="s">
        <v>242</v>
      </c>
      <c r="J1699" s="998"/>
      <c r="K1699" s="1253"/>
      <c r="L1699" s="27"/>
      <c r="M1699" s="27"/>
      <c r="N1699" s="27"/>
      <c r="O1699" s="27"/>
    </row>
    <row r="1700" spans="1:15" ht="15.75" customHeight="1">
      <c r="A1700" s="1528"/>
      <c r="B1700" s="241">
        <v>14698</v>
      </c>
      <c r="C1700" s="478">
        <v>0.1</v>
      </c>
      <c r="D1700" s="1057" t="s">
        <v>1181</v>
      </c>
      <c r="E1700" s="699">
        <v>1600000</v>
      </c>
      <c r="F1700" s="478">
        <v>0.1</v>
      </c>
      <c r="G1700" s="619">
        <f t="shared" si="83"/>
        <v>160000</v>
      </c>
      <c r="H1700" s="995" t="s">
        <v>311</v>
      </c>
      <c r="I1700" s="997" t="s">
        <v>242</v>
      </c>
      <c r="J1700" s="998"/>
      <c r="K1700" s="1253"/>
      <c r="L1700" s="27"/>
      <c r="M1700" s="27"/>
      <c r="N1700" s="27"/>
      <c r="O1700" s="27"/>
    </row>
    <row r="1701" spans="1:15" ht="15.75" customHeight="1">
      <c r="A1701" s="1528"/>
      <c r="B1701" s="241">
        <v>14706</v>
      </c>
      <c r="C1701" s="1118">
        <v>0.1</v>
      </c>
      <c r="D1701" s="259" t="s">
        <v>1182</v>
      </c>
      <c r="E1701" s="1044">
        <v>1350000</v>
      </c>
      <c r="F1701" s="1119">
        <v>0.06</v>
      </c>
      <c r="G1701" s="619">
        <f t="shared" si="83"/>
        <v>81000</v>
      </c>
      <c r="H1701" s="995" t="s">
        <v>30</v>
      </c>
      <c r="I1701" s="997" t="s">
        <v>242</v>
      </c>
      <c r="J1701" s="998"/>
      <c r="K1701" s="1253"/>
      <c r="L1701" s="27"/>
      <c r="M1701" s="27"/>
      <c r="N1701" s="27"/>
      <c r="O1701" s="27"/>
    </row>
    <row r="1702" spans="1:15" ht="15.75" customHeight="1">
      <c r="A1702" s="1528"/>
      <c r="B1702" s="241">
        <v>14732</v>
      </c>
      <c r="C1702" s="1378">
        <v>0.1</v>
      </c>
      <c r="D1702" s="1232" t="s">
        <v>1183</v>
      </c>
      <c r="E1702" s="1044">
        <v>1400000</v>
      </c>
      <c r="F1702" s="1119">
        <v>0.05</v>
      </c>
      <c r="G1702" s="619">
        <f t="shared" si="83"/>
        <v>70000</v>
      </c>
      <c r="H1702" s="995" t="s">
        <v>1184</v>
      </c>
      <c r="I1702" s="995" t="s">
        <v>242</v>
      </c>
      <c r="J1702" s="1388"/>
      <c r="K1702" s="1253"/>
      <c r="L1702" s="27"/>
      <c r="M1702" s="27"/>
      <c r="N1702" s="27"/>
      <c r="O1702" s="27"/>
    </row>
    <row r="1703" spans="1:15" ht="15.75" customHeight="1">
      <c r="A1703" s="1528"/>
      <c r="B1703" s="241">
        <v>14756</v>
      </c>
      <c r="C1703" s="1314">
        <v>0.09</v>
      </c>
      <c r="D1703" s="1024" t="s">
        <v>1185</v>
      </c>
      <c r="E1703" s="1044">
        <v>1500000</v>
      </c>
      <c r="F1703" s="1329">
        <v>0.05</v>
      </c>
      <c r="G1703" s="619">
        <f t="shared" si="83"/>
        <v>75000</v>
      </c>
      <c r="H1703" s="995" t="s">
        <v>30</v>
      </c>
      <c r="I1703" s="995" t="s">
        <v>242</v>
      </c>
      <c r="J1703" s="998"/>
      <c r="K1703" s="1253"/>
      <c r="L1703" s="27"/>
      <c r="M1703" s="27"/>
      <c r="N1703" s="27"/>
      <c r="O1703" s="27"/>
    </row>
    <row r="1704" spans="1:15" ht="15.75" customHeight="1">
      <c r="A1704" s="1528"/>
      <c r="B1704" s="241">
        <v>14818</v>
      </c>
      <c r="C1704" s="1118">
        <v>0.1</v>
      </c>
      <c r="D1704" s="243" t="s">
        <v>1186</v>
      </c>
      <c r="E1704" s="1044">
        <v>1200000</v>
      </c>
      <c r="F1704" s="1119">
        <v>0.1</v>
      </c>
      <c r="G1704" s="619">
        <f t="shared" si="83"/>
        <v>120000</v>
      </c>
      <c r="H1704" s="995" t="s">
        <v>1176</v>
      </c>
      <c r="I1704" s="995" t="s">
        <v>307</v>
      </c>
      <c r="J1704" s="998"/>
      <c r="K1704" s="1253"/>
      <c r="L1704" s="27"/>
      <c r="M1704" s="27"/>
      <c r="N1704" s="27"/>
      <c r="O1704" s="27"/>
    </row>
    <row r="1705" spans="1:15" ht="15.75" customHeight="1">
      <c r="A1705" s="1528"/>
      <c r="B1705" s="241">
        <v>14845</v>
      </c>
      <c r="C1705" s="1118">
        <v>0.1</v>
      </c>
      <c r="D1705" s="243" t="s">
        <v>1187</v>
      </c>
      <c r="E1705" s="1044">
        <v>1100000</v>
      </c>
      <c r="F1705" s="1119">
        <v>0.06</v>
      </c>
      <c r="G1705" s="619">
        <f t="shared" si="83"/>
        <v>66000</v>
      </c>
      <c r="H1705" s="995" t="s">
        <v>30</v>
      </c>
      <c r="I1705" s="995" t="s">
        <v>307</v>
      </c>
      <c r="J1705" s="998"/>
      <c r="K1705" s="1253"/>
      <c r="L1705" s="27"/>
      <c r="M1705" s="1335" t="s">
        <v>80</v>
      </c>
      <c r="N1705" s="1335"/>
      <c r="O1705" s="902">
        <f>SUM(O1696:O1698)</f>
        <v>55000</v>
      </c>
    </row>
    <row r="1706" spans="1:15" ht="15.75" customHeight="1">
      <c r="A1706" s="1528"/>
      <c r="B1706" s="209" t="s">
        <v>297</v>
      </c>
      <c r="C1706" s="1247"/>
      <c r="D1706" s="1255" t="s">
        <v>1188</v>
      </c>
      <c r="E1706" s="1248"/>
      <c r="F1706" s="1249"/>
      <c r="G1706" s="1256"/>
      <c r="H1706" s="1011"/>
      <c r="I1706" s="1011"/>
      <c r="J1706" s="1374"/>
      <c r="K1706" s="1253"/>
      <c r="L1706" s="27"/>
      <c r="M1706" s="27"/>
      <c r="N1706" s="27"/>
      <c r="O1706" s="27"/>
    </row>
    <row r="1707" spans="1:15" ht="20.25" customHeight="1">
      <c r="A1707" s="1529"/>
      <c r="B1707" s="263"/>
      <c r="C1707" s="788"/>
      <c r="D1707" s="165"/>
      <c r="E1707" s="1272">
        <f>SUM(E1696:E1706)</f>
        <v>13700000</v>
      </c>
      <c r="F1707" s="659"/>
      <c r="G1707" s="895">
        <f>SUM(G1696:G1706)</f>
        <v>1067000</v>
      </c>
      <c r="H1707" s="999"/>
      <c r="I1707" s="1093"/>
      <c r="J1707" s="1134"/>
      <c r="K1707" s="27"/>
      <c r="L1707" s="27"/>
      <c r="M1707" s="906" t="s">
        <v>80</v>
      </c>
      <c r="N1707" s="906"/>
      <c r="O1707" s="914">
        <f>G1707+O1705</f>
        <v>1122000</v>
      </c>
    </row>
    <row r="1708" spans="1:15">
      <c r="A1708" s="32"/>
      <c r="B1708" s="85"/>
      <c r="C1708" s="85"/>
      <c r="D1708" s="32"/>
      <c r="E1708" s="32"/>
      <c r="F1708" s="32"/>
      <c r="G1708" s="85"/>
      <c r="H1708" s="32"/>
      <c r="I1708" s="32"/>
      <c r="J1708" s="32"/>
    </row>
    <row r="1709" spans="1:15">
      <c r="A1709" s="32"/>
      <c r="B1709" s="85"/>
      <c r="C1709" s="85"/>
      <c r="D1709" s="32"/>
      <c r="E1709" s="32"/>
      <c r="F1709" s="32"/>
      <c r="G1709" s="85"/>
      <c r="H1709" s="32"/>
      <c r="I1709" s="32"/>
      <c r="J1709" s="32"/>
    </row>
    <row r="1710" spans="1:15" ht="23.25">
      <c r="A1710" s="1548" t="s">
        <v>465</v>
      </c>
      <c r="B1710" s="1532"/>
      <c r="C1710" s="1532"/>
      <c r="D1710" s="1531"/>
      <c r="E1710" s="1532"/>
      <c r="F1710" s="1532"/>
      <c r="G1710" s="1532"/>
      <c r="H1710" s="1532"/>
      <c r="I1710" s="1532"/>
      <c r="J1710" s="1549"/>
      <c r="K1710" s="1533" t="s">
        <v>2</v>
      </c>
      <c r="L1710" s="1533"/>
      <c r="M1710" s="1533"/>
      <c r="N1710" s="1533"/>
      <c r="O1710" s="1533"/>
    </row>
    <row r="1711" spans="1:15" ht="30.75">
      <c r="A1711" s="1" t="s">
        <v>3</v>
      </c>
      <c r="B1711" s="361" t="s">
        <v>120</v>
      </c>
      <c r="C1711" s="367" t="s">
        <v>4</v>
      </c>
      <c r="D1711" s="3" t="s">
        <v>5</v>
      </c>
      <c r="E1711" s="361" t="s">
        <v>6</v>
      </c>
      <c r="F1711" s="1" t="s">
        <v>7</v>
      </c>
      <c r="G1711" s="1" t="s">
        <v>8</v>
      </c>
      <c r="H1711" s="361" t="s">
        <v>9</v>
      </c>
      <c r="I1711" s="1" t="s">
        <v>10</v>
      </c>
      <c r="J1711" s="126" t="s">
        <v>11</v>
      </c>
      <c r="K1711" s="68" t="s">
        <v>12</v>
      </c>
      <c r="L1711" s="68" t="s">
        <v>5</v>
      </c>
      <c r="M1711" s="68" t="s">
        <v>13</v>
      </c>
      <c r="N1711" s="129" t="s">
        <v>7</v>
      </c>
      <c r="O1711" s="68" t="s">
        <v>14</v>
      </c>
    </row>
    <row r="1712" spans="1:15" ht="15.75">
      <c r="A1712" s="1543" t="s">
        <v>1189</v>
      </c>
      <c r="B1712" s="135">
        <v>14612</v>
      </c>
      <c r="C1712" s="1384">
        <v>0.09</v>
      </c>
      <c r="D1712" s="243" t="s">
        <v>1190</v>
      </c>
      <c r="E1712" s="1044">
        <v>1250000</v>
      </c>
      <c r="F1712" s="1329">
        <v>0.03</v>
      </c>
      <c r="G1712" s="1342">
        <f>E1712*F1712</f>
        <v>37500</v>
      </c>
      <c r="H1712" s="1121" t="s">
        <v>1090</v>
      </c>
      <c r="I1712" s="1120" t="s">
        <v>100</v>
      </c>
      <c r="J1712" s="1132"/>
      <c r="K1712" s="687">
        <v>14860</v>
      </c>
      <c r="L1712" s="1387" t="s">
        <v>1191</v>
      </c>
      <c r="M1712" s="143">
        <v>1000000</v>
      </c>
      <c r="N1712" s="232">
        <v>0.04</v>
      </c>
      <c r="O1712" s="178">
        <f>M1712*N1712</f>
        <v>40000</v>
      </c>
    </row>
    <row r="1713" spans="1:15" ht="15.75">
      <c r="A1713" s="1528"/>
      <c r="B1713" s="241">
        <v>14637</v>
      </c>
      <c r="C1713" s="1118">
        <v>0.1</v>
      </c>
      <c r="D1713" s="243" t="s">
        <v>1192</v>
      </c>
      <c r="E1713" s="1044">
        <v>1200000</v>
      </c>
      <c r="F1713" s="1119">
        <v>0.08</v>
      </c>
      <c r="G1713" s="1342">
        <f t="shared" ref="G1713:G1717" si="84">E1713*F1713</f>
        <v>96000</v>
      </c>
      <c r="H1713" s="1121" t="s">
        <v>482</v>
      </c>
      <c r="I1713" s="1121" t="s">
        <v>242</v>
      </c>
      <c r="J1713" s="1257"/>
      <c r="K1713" s="241">
        <v>14771</v>
      </c>
      <c r="L1713" s="1057" t="s">
        <v>1193</v>
      </c>
      <c r="M1713" s="143">
        <v>1700000</v>
      </c>
      <c r="N1713" s="232">
        <v>0.04</v>
      </c>
      <c r="O1713" s="178">
        <f t="shared" ref="O1713:O1714" si="85">M1713*N1713</f>
        <v>68000</v>
      </c>
    </row>
    <row r="1714" spans="1:15" ht="15.75">
      <c r="A1714" s="1528"/>
      <c r="B1714" s="241">
        <v>14649</v>
      </c>
      <c r="C1714" s="478">
        <v>0.1</v>
      </c>
      <c r="D1714" s="259" t="s">
        <v>1194</v>
      </c>
      <c r="E1714" s="139">
        <v>1250000</v>
      </c>
      <c r="F1714" s="779">
        <v>0.08</v>
      </c>
      <c r="G1714" s="1342">
        <f t="shared" si="84"/>
        <v>100000</v>
      </c>
      <c r="H1714" s="741" t="s">
        <v>520</v>
      </c>
      <c r="I1714" s="739" t="s">
        <v>989</v>
      </c>
      <c r="J1714" s="137"/>
      <c r="K1714" s="241">
        <v>14684</v>
      </c>
      <c r="L1714" s="243" t="s">
        <v>1195</v>
      </c>
      <c r="M1714" s="143">
        <v>900000</v>
      </c>
      <c r="N1714" s="232">
        <v>0.04</v>
      </c>
      <c r="O1714" s="178">
        <f t="shared" si="85"/>
        <v>36000</v>
      </c>
    </row>
    <row r="1715" spans="1:15" ht="15.75">
      <c r="A1715" s="1528"/>
      <c r="B1715" s="241">
        <v>14672</v>
      </c>
      <c r="C1715" s="478">
        <v>0.1</v>
      </c>
      <c r="D1715" s="259" t="s">
        <v>1196</v>
      </c>
      <c r="E1715" s="699">
        <v>1400000</v>
      </c>
      <c r="F1715" s="478">
        <v>0.04</v>
      </c>
      <c r="G1715" s="1342">
        <f t="shared" si="84"/>
        <v>56000</v>
      </c>
      <c r="H1715" s="997" t="s">
        <v>1197</v>
      </c>
      <c r="I1715" s="997" t="s">
        <v>989</v>
      </c>
      <c r="J1715" s="998"/>
      <c r="K1715" s="27"/>
      <c r="L1715" s="1253"/>
      <c r="M1715" s="27"/>
      <c r="N1715" s="1381"/>
      <c r="O1715" s="27"/>
    </row>
    <row r="1716" spans="1:15" ht="15.75">
      <c r="A1716" s="1528"/>
      <c r="B1716" s="241">
        <v>14659</v>
      </c>
      <c r="C1716" s="478">
        <v>0.1</v>
      </c>
      <c r="D1716" s="259" t="s">
        <v>1198</v>
      </c>
      <c r="E1716" s="699">
        <v>850000</v>
      </c>
      <c r="F1716" s="478">
        <v>0.04</v>
      </c>
      <c r="G1716" s="1342">
        <f t="shared" si="84"/>
        <v>34000</v>
      </c>
      <c r="H1716" s="997" t="s">
        <v>1015</v>
      </c>
      <c r="I1716" s="997" t="s">
        <v>100</v>
      </c>
      <c r="J1716" s="998"/>
      <c r="K1716" s="27"/>
      <c r="L1716" s="1253"/>
      <c r="M1716" s="27"/>
      <c r="N1716" s="27"/>
      <c r="O1716" s="27"/>
    </row>
    <row r="1717" spans="1:15" ht="15.75">
      <c r="A1717" s="1528"/>
      <c r="B1717" s="241">
        <v>14734</v>
      </c>
      <c r="C1717" s="478">
        <v>0.1</v>
      </c>
      <c r="D1717" s="243" t="s">
        <v>1199</v>
      </c>
      <c r="E1717" s="699">
        <v>1600000</v>
      </c>
      <c r="F1717" s="478">
        <v>0.05</v>
      </c>
      <c r="G1717" s="1342">
        <f t="shared" si="84"/>
        <v>80000</v>
      </c>
      <c r="H1717" s="997" t="s">
        <v>30</v>
      </c>
      <c r="I1717" s="997" t="s">
        <v>989</v>
      </c>
      <c r="J1717" s="998"/>
      <c r="K1717" s="27"/>
      <c r="L1717" s="1253"/>
      <c r="M1717" s="27"/>
      <c r="N1717" s="27"/>
      <c r="O1717" s="27"/>
    </row>
    <row r="1718" spans="1:15" ht="15.75">
      <c r="A1718" s="1528"/>
      <c r="B1718" s="238" t="s">
        <v>1071</v>
      </c>
      <c r="C1718" s="478">
        <v>0.1</v>
      </c>
      <c r="D1718" s="243" t="s">
        <v>1200</v>
      </c>
      <c r="E1718" s="699"/>
      <c r="F1718" s="478"/>
      <c r="G1718" s="1342"/>
      <c r="H1718" s="997" t="s">
        <v>520</v>
      </c>
      <c r="I1718" s="997" t="s">
        <v>1179</v>
      </c>
      <c r="J1718" s="998"/>
      <c r="K1718" s="27"/>
      <c r="L1718" s="1253"/>
      <c r="M1718" s="27"/>
      <c r="N1718" s="27"/>
      <c r="O1718" s="27"/>
    </row>
    <row r="1719" spans="1:15" ht="15.75">
      <c r="A1719" s="1528"/>
      <c r="B1719" s="814" t="s">
        <v>297</v>
      </c>
      <c r="C1719" s="348"/>
      <c r="D1719" s="819" t="s">
        <v>1201</v>
      </c>
      <c r="E1719" s="749"/>
      <c r="F1719" s="348"/>
      <c r="G1719" s="943"/>
      <c r="H1719" s="1006" t="s">
        <v>520</v>
      </c>
      <c r="I1719" s="1006" t="s">
        <v>242</v>
      </c>
      <c r="J1719" s="1374"/>
      <c r="K1719" s="27"/>
      <c r="L1719" s="1253"/>
      <c r="M1719" s="27"/>
      <c r="N1719" s="27"/>
      <c r="O1719" s="27"/>
    </row>
    <row r="1720" spans="1:15" ht="18">
      <c r="A1720" s="1528"/>
      <c r="B1720" s="814" t="s">
        <v>297</v>
      </c>
      <c r="C1720" s="348"/>
      <c r="D1720" s="819" t="s">
        <v>1202</v>
      </c>
      <c r="E1720" s="749"/>
      <c r="F1720" s="348"/>
      <c r="G1720" s="943"/>
      <c r="H1720" s="1006"/>
      <c r="I1720" s="1006"/>
      <c r="J1720" s="1374"/>
      <c r="K1720" s="27"/>
      <c r="L1720" s="1253"/>
      <c r="M1720" s="1335" t="s">
        <v>80</v>
      </c>
      <c r="N1720" s="1335"/>
      <c r="O1720" s="588">
        <f>SUM(O1712:O1719)</f>
        <v>144000</v>
      </c>
    </row>
    <row r="1721" spans="1:15" ht="15.75">
      <c r="A1721" s="1528"/>
      <c r="B1721" s="814" t="s">
        <v>297</v>
      </c>
      <c r="C1721" s="348"/>
      <c r="D1721" s="757" t="s">
        <v>1203</v>
      </c>
      <c r="E1721" s="749"/>
      <c r="F1721" s="348"/>
      <c r="G1721" s="943"/>
      <c r="H1721" s="1006"/>
      <c r="I1721" s="1006"/>
      <c r="J1721" s="1012" t="s">
        <v>1204</v>
      </c>
      <c r="K1721" s="27"/>
      <c r="L1721" s="1253"/>
      <c r="M1721" s="27"/>
      <c r="N1721" s="27"/>
      <c r="O1721" s="27"/>
    </row>
    <row r="1722" spans="1:15" ht="20.25">
      <c r="A1722" s="1529"/>
      <c r="B1722" s="263"/>
      <c r="C1722" s="659"/>
      <c r="D1722" s="165"/>
      <c r="E1722" s="1272">
        <f>SUM(E1712:E1721)</f>
        <v>7550000</v>
      </c>
      <c r="F1722" s="659"/>
      <c r="G1722" s="895">
        <f>SUM(G1712:G1721)</f>
        <v>403500</v>
      </c>
      <c r="H1722" s="999"/>
      <c r="I1722" s="1093"/>
      <c r="J1722" s="1134"/>
      <c r="K1722" s="27"/>
      <c r="L1722" s="27"/>
      <c r="M1722" s="906" t="s">
        <v>80</v>
      </c>
      <c r="N1722" s="906"/>
      <c r="O1722" s="914">
        <f>G1722+O1720</f>
        <v>547500</v>
      </c>
    </row>
    <row r="1723" spans="1:15">
      <c r="A1723" s="1543"/>
      <c r="B1723" s="1544"/>
      <c r="C1723" s="1544"/>
      <c r="D1723" s="1544"/>
      <c r="E1723" s="1544"/>
      <c r="F1723" s="1544"/>
      <c r="G1723" s="1544"/>
      <c r="H1723" s="1544"/>
      <c r="I1723" s="1544"/>
      <c r="J1723" s="1544"/>
      <c r="K1723" s="1544"/>
      <c r="L1723" s="1544"/>
      <c r="M1723" s="1544"/>
      <c r="N1723" s="1544"/>
      <c r="O1723" s="1544"/>
    </row>
    <row r="1724" spans="1:15">
      <c r="A1724" s="1543"/>
      <c r="B1724" s="1544"/>
      <c r="C1724" s="1544"/>
      <c r="D1724" s="1544"/>
      <c r="E1724" s="1544"/>
      <c r="F1724" s="1544"/>
      <c r="G1724" s="1544"/>
      <c r="H1724" s="1544"/>
      <c r="I1724" s="1544"/>
      <c r="J1724" s="1544"/>
      <c r="K1724" s="1544"/>
      <c r="L1724" s="1544"/>
      <c r="M1724" s="1544"/>
      <c r="N1724" s="1544"/>
      <c r="O1724" s="1544"/>
    </row>
    <row r="1725" spans="1:15" ht="23.25">
      <c r="A1725" s="1539" t="s">
        <v>1075</v>
      </c>
      <c r="B1725" s="1540"/>
      <c r="C1725" s="1540"/>
      <c r="D1725" s="1540"/>
      <c r="E1725" s="1540"/>
      <c r="F1725" s="1540"/>
      <c r="G1725" s="1540"/>
      <c r="H1725" s="1540"/>
      <c r="I1725" s="1540"/>
      <c r="J1725" s="1540"/>
      <c r="K1725" s="1533" t="s">
        <v>2</v>
      </c>
      <c r="L1725" s="1533"/>
      <c r="M1725" s="1533"/>
      <c r="N1725" s="1533"/>
      <c r="O1725" s="1533"/>
    </row>
    <row r="1726" spans="1:15" ht="30.75">
      <c r="A1726" s="126" t="s">
        <v>3</v>
      </c>
      <c r="B1726" s="3" t="s">
        <v>120</v>
      </c>
      <c r="C1726" s="2" t="s">
        <v>4</v>
      </c>
      <c r="D1726" s="3" t="s">
        <v>5</v>
      </c>
      <c r="E1726" s="3" t="s">
        <v>6</v>
      </c>
      <c r="F1726" s="3" t="s">
        <v>7</v>
      </c>
      <c r="G1726" s="3" t="s">
        <v>8</v>
      </c>
      <c r="H1726" s="3" t="s">
        <v>9</v>
      </c>
      <c r="I1726" s="3" t="s">
        <v>10</v>
      </c>
      <c r="J1726" s="3" t="s">
        <v>11</v>
      </c>
      <c r="K1726" s="657" t="s">
        <v>12</v>
      </c>
      <c r="L1726" s="68" t="s">
        <v>5</v>
      </c>
      <c r="M1726" s="68" t="s">
        <v>13</v>
      </c>
      <c r="N1726" s="129" t="s">
        <v>7</v>
      </c>
      <c r="O1726" s="68" t="s">
        <v>14</v>
      </c>
    </row>
    <row r="1727" spans="1:15" ht="15.75">
      <c r="A1727" s="1538" t="s">
        <v>1205</v>
      </c>
      <c r="B1727" s="238">
        <v>14639</v>
      </c>
      <c r="C1727" s="478">
        <v>0.1</v>
      </c>
      <c r="D1727" s="243" t="s">
        <v>1206</v>
      </c>
      <c r="E1727" s="143">
        <v>1400000</v>
      </c>
      <c r="F1727" s="231">
        <v>0.08</v>
      </c>
      <c r="G1727" s="1342">
        <f>E1727*F1727</f>
        <v>112000</v>
      </c>
      <c r="H1727" s="241" t="s">
        <v>1015</v>
      </c>
      <c r="I1727" s="241" t="s">
        <v>242</v>
      </c>
      <c r="J1727" s="1350"/>
      <c r="K1727" s="241">
        <v>14659</v>
      </c>
      <c r="L1727" s="259" t="s">
        <v>1198</v>
      </c>
      <c r="M1727" s="699">
        <v>850000</v>
      </c>
      <c r="N1727" s="232">
        <v>0.04</v>
      </c>
      <c r="O1727" s="178">
        <f>M1727*N1727</f>
        <v>34000</v>
      </c>
    </row>
    <row r="1728" spans="1:15" ht="15.75">
      <c r="A1728" s="1538"/>
      <c r="B1728" s="241">
        <v>14710</v>
      </c>
      <c r="C1728" s="478">
        <v>0.1</v>
      </c>
      <c r="D1728" s="1232" t="s">
        <v>1207</v>
      </c>
      <c r="E1728" s="143">
        <v>1200000</v>
      </c>
      <c r="F1728" s="231">
        <v>0.08</v>
      </c>
      <c r="G1728" s="1342">
        <f t="shared" ref="G1728:G1731" si="86">E1728*F1728</f>
        <v>96000</v>
      </c>
      <c r="H1728" s="241" t="s">
        <v>1015</v>
      </c>
      <c r="I1728" s="241" t="s">
        <v>1179</v>
      </c>
      <c r="J1728" s="1350"/>
      <c r="K1728" s="27"/>
      <c r="L1728" s="27"/>
      <c r="M1728" s="14"/>
      <c r="N1728" s="14"/>
      <c r="O1728" s="14"/>
    </row>
    <row r="1729" spans="1:15" ht="15.75">
      <c r="A1729" s="1538"/>
      <c r="B1729" s="241">
        <v>14765</v>
      </c>
      <c r="C1729" s="478">
        <v>0.1</v>
      </c>
      <c r="D1729" s="1376" t="s">
        <v>1208</v>
      </c>
      <c r="E1729" s="143">
        <v>1100000</v>
      </c>
      <c r="F1729" s="231">
        <v>0.08</v>
      </c>
      <c r="G1729" s="1342">
        <f t="shared" si="86"/>
        <v>88000</v>
      </c>
      <c r="H1729" s="241" t="s">
        <v>1015</v>
      </c>
      <c r="I1729" s="241" t="s">
        <v>989</v>
      </c>
      <c r="J1729" s="1350"/>
      <c r="K1729" s="27"/>
      <c r="L1729" s="27"/>
      <c r="M1729" s="14"/>
      <c r="N1729" s="14"/>
      <c r="O1729" s="14"/>
    </row>
    <row r="1730" spans="1:15" ht="15.75">
      <c r="A1730" s="1538"/>
      <c r="B1730" s="241">
        <v>14785</v>
      </c>
      <c r="C1730" s="478">
        <v>0.1</v>
      </c>
      <c r="D1730" s="243" t="s">
        <v>1209</v>
      </c>
      <c r="E1730" s="143">
        <v>1300000</v>
      </c>
      <c r="F1730" s="231">
        <v>0.04</v>
      </c>
      <c r="G1730" s="1342">
        <f t="shared" si="86"/>
        <v>52000</v>
      </c>
      <c r="H1730" s="241" t="s">
        <v>1210</v>
      </c>
      <c r="I1730" s="241" t="s">
        <v>242</v>
      </c>
      <c r="J1730" s="1350"/>
      <c r="K1730" s="27"/>
      <c r="L1730" s="27"/>
      <c r="M1730" s="14"/>
      <c r="N1730" s="14"/>
      <c r="O1730" s="14"/>
    </row>
    <row r="1731" spans="1:15" ht="15.75">
      <c r="A1731" s="1538"/>
      <c r="B1731" s="241">
        <v>14860</v>
      </c>
      <c r="C1731" s="478">
        <v>0.1</v>
      </c>
      <c r="D1731" s="1376" t="s">
        <v>1211</v>
      </c>
      <c r="E1731" s="143">
        <v>1000000</v>
      </c>
      <c r="F1731" s="231">
        <v>0.04</v>
      </c>
      <c r="G1731" s="1342">
        <f t="shared" si="86"/>
        <v>40000</v>
      </c>
      <c r="H1731" s="241" t="s">
        <v>520</v>
      </c>
      <c r="I1731" s="241" t="s">
        <v>1179</v>
      </c>
      <c r="J1731" s="1350"/>
      <c r="K1731" s="27"/>
      <c r="L1731" s="27"/>
      <c r="M1731" s="14"/>
      <c r="N1731" s="14"/>
      <c r="O1731" s="14"/>
    </row>
    <row r="1732" spans="1:15" ht="15.75">
      <c r="A1732" s="1538"/>
      <c r="B1732" s="814" t="s">
        <v>297</v>
      </c>
      <c r="C1732" s="348">
        <v>0.1</v>
      </c>
      <c r="D1732" s="819" t="s">
        <v>1212</v>
      </c>
      <c r="E1732" s="308"/>
      <c r="F1732" s="212"/>
      <c r="G1732" s="1379"/>
      <c r="H1732" s="209" t="s">
        <v>30</v>
      </c>
      <c r="I1732" s="209" t="s">
        <v>1179</v>
      </c>
      <c r="J1732" s="1389"/>
      <c r="K1732" s="27"/>
      <c r="L1732" s="27"/>
      <c r="M1732" s="14"/>
      <c r="N1732" s="14"/>
      <c r="O1732" s="14"/>
    </row>
    <row r="1733" spans="1:15" ht="15.75">
      <c r="A1733" s="1538"/>
      <c r="B1733" s="485" t="s">
        <v>245</v>
      </c>
      <c r="C1733" s="220"/>
      <c r="D1733" s="1075" t="s">
        <v>1213</v>
      </c>
      <c r="E1733" s="308"/>
      <c r="F1733" s="877"/>
      <c r="G1733" s="1349"/>
      <c r="H1733" s="211"/>
      <c r="I1733" s="211"/>
      <c r="J1733" s="1390"/>
      <c r="K1733" s="27"/>
      <c r="L1733" s="27"/>
      <c r="M1733" s="14"/>
      <c r="N1733" s="14"/>
      <c r="O1733" s="14"/>
    </row>
    <row r="1734" spans="1:15" ht="18">
      <c r="A1734" s="1538"/>
      <c r="B1734" s="814" t="s">
        <v>245</v>
      </c>
      <c r="C1734" s="220"/>
      <c r="D1734" s="757" t="s">
        <v>1214</v>
      </c>
      <c r="E1734" s="308"/>
      <c r="F1734" s="1308"/>
      <c r="G1734" s="1309"/>
      <c r="H1734" s="209"/>
      <c r="I1734" s="209"/>
      <c r="J1734" s="1375"/>
      <c r="K1734" s="27"/>
      <c r="L1734" s="27"/>
      <c r="M1734" s="772" t="s">
        <v>80</v>
      </c>
      <c r="N1734" s="772"/>
      <c r="O1734" s="533">
        <f>SUM(O1727:O1733)</f>
        <v>34000</v>
      </c>
    </row>
    <row r="1735" spans="1:15" ht="15.75">
      <c r="A1735" s="1538"/>
      <c r="B1735" s="814" t="s">
        <v>245</v>
      </c>
      <c r="C1735" s="348"/>
      <c r="D1735" s="1382" t="s">
        <v>1215</v>
      </c>
      <c r="E1735" s="308"/>
      <c r="F1735" s="1308"/>
      <c r="G1735" s="1309"/>
      <c r="H1735" s="209"/>
      <c r="I1735" s="209"/>
      <c r="J1735" s="1375"/>
      <c r="K1735" s="27"/>
      <c r="L1735" s="27"/>
      <c r="M1735" s="14"/>
      <c r="N1735" s="14"/>
      <c r="O1735" s="14"/>
    </row>
    <row r="1736" spans="1:15" ht="20.25">
      <c r="A1736" s="1538"/>
      <c r="B1736" s="1319"/>
      <c r="C1736" s="1270"/>
      <c r="D1736" s="1091"/>
      <c r="E1736" s="1110">
        <f>SUM(E1727:E1735)</f>
        <v>6000000</v>
      </c>
      <c r="F1736" s="1091"/>
      <c r="G1736" s="895">
        <f>SUM(G1727:G1735)</f>
        <v>388000</v>
      </c>
      <c r="H1736" s="1091"/>
      <c r="I1736" s="1091"/>
      <c r="J1736" s="1271"/>
      <c r="K1736" s="27"/>
      <c r="L1736" s="27"/>
      <c r="M1736" s="906" t="s">
        <v>80</v>
      </c>
      <c r="N1736" s="906"/>
      <c r="O1736" s="914">
        <f>G1736+O1734</f>
        <v>422000</v>
      </c>
    </row>
    <row r="1739" spans="1:15" ht="23.25">
      <c r="A1739" s="1539" t="s">
        <v>1087</v>
      </c>
      <c r="B1739" s="1540"/>
      <c r="C1739" s="1540"/>
      <c r="D1739" s="1540"/>
      <c r="E1739" s="1540"/>
      <c r="F1739" s="1540"/>
      <c r="G1739" s="1540"/>
      <c r="H1739" s="1540"/>
      <c r="I1739" s="1540"/>
      <c r="J1739" s="1540"/>
      <c r="K1739" s="1533" t="s">
        <v>2</v>
      </c>
      <c r="L1739" s="1555"/>
      <c r="M1739" s="1533"/>
      <c r="N1739" s="1533"/>
      <c r="O1739" s="1533"/>
    </row>
    <row r="1740" spans="1:15" ht="30.75">
      <c r="A1740" s="126" t="s">
        <v>3</v>
      </c>
      <c r="B1740" s="3" t="s">
        <v>120</v>
      </c>
      <c r="C1740" s="2" t="s">
        <v>4</v>
      </c>
      <c r="D1740" s="3" t="s">
        <v>5</v>
      </c>
      <c r="E1740" s="3" t="s">
        <v>6</v>
      </c>
      <c r="F1740" s="3" t="s">
        <v>7</v>
      </c>
      <c r="G1740" s="3" t="s">
        <v>8</v>
      </c>
      <c r="H1740" s="3" t="s">
        <v>9</v>
      </c>
      <c r="I1740" s="3" t="s">
        <v>10</v>
      </c>
      <c r="J1740" s="3" t="s">
        <v>11</v>
      </c>
      <c r="K1740" s="1358" t="s">
        <v>12</v>
      </c>
      <c r="L1740" s="3" t="s">
        <v>5</v>
      </c>
      <c r="M1740" s="657" t="s">
        <v>13</v>
      </c>
      <c r="N1740" s="129" t="s">
        <v>7</v>
      </c>
      <c r="O1740" s="68" t="s">
        <v>14</v>
      </c>
    </row>
    <row r="1741" spans="1:15" ht="15.75">
      <c r="A1741" s="1538" t="s">
        <v>1216</v>
      </c>
      <c r="B1741" s="241">
        <v>14661</v>
      </c>
      <c r="C1741" s="140">
        <v>0.08</v>
      </c>
      <c r="D1741" s="242" t="s">
        <v>1217</v>
      </c>
      <c r="E1741" s="143">
        <v>1650000</v>
      </c>
      <c r="F1741" s="234">
        <v>0.03</v>
      </c>
      <c r="G1741" s="535">
        <f>E1741*F1741</f>
        <v>49500</v>
      </c>
      <c r="H1741" s="241" t="s">
        <v>1218</v>
      </c>
      <c r="I1741" s="241" t="s">
        <v>242</v>
      </c>
      <c r="J1741" s="1274"/>
      <c r="K1741" s="135">
        <v>14612</v>
      </c>
      <c r="L1741" s="243" t="s">
        <v>1190</v>
      </c>
      <c r="M1741" s="1044">
        <v>1250000</v>
      </c>
      <c r="N1741" s="1356">
        <v>0.03</v>
      </c>
      <c r="O1741" s="178">
        <f>M1741*N1741</f>
        <v>37500</v>
      </c>
    </row>
    <row r="1742" spans="1:15" ht="15.75">
      <c r="A1742" s="1538"/>
      <c r="B1742" s="241">
        <v>14668</v>
      </c>
      <c r="C1742" s="478">
        <v>0.1</v>
      </c>
      <c r="D1742" s="1024" t="s">
        <v>1219</v>
      </c>
      <c r="E1742" s="143">
        <v>1800000</v>
      </c>
      <c r="F1742" s="779">
        <v>0.08</v>
      </c>
      <c r="G1742" s="535">
        <f t="shared" ref="G1742:G1748" si="87">E1742*F1742</f>
        <v>144000</v>
      </c>
      <c r="H1742" s="241" t="s">
        <v>1090</v>
      </c>
      <c r="I1742" s="241" t="s">
        <v>989</v>
      </c>
      <c r="J1742" s="1274"/>
      <c r="K1742" s="135">
        <v>14813</v>
      </c>
      <c r="L1742" s="243" t="s">
        <v>1220</v>
      </c>
      <c r="M1742" s="1044">
        <v>1350000</v>
      </c>
      <c r="N1742" s="1356">
        <v>0.03</v>
      </c>
      <c r="O1742" s="178">
        <f>M1742*N1742</f>
        <v>40500</v>
      </c>
    </row>
    <row r="1743" spans="1:15" ht="15.75">
      <c r="A1743" s="1538"/>
      <c r="B1743" s="241">
        <v>14783</v>
      </c>
      <c r="C1743" s="478">
        <v>0.1</v>
      </c>
      <c r="D1743" s="1376" t="s">
        <v>1221</v>
      </c>
      <c r="E1743" s="143">
        <v>1150000</v>
      </c>
      <c r="F1743" s="779">
        <v>0.08</v>
      </c>
      <c r="G1743" s="535">
        <f t="shared" si="87"/>
        <v>92000</v>
      </c>
      <c r="H1743" s="241" t="s">
        <v>1090</v>
      </c>
      <c r="I1743" s="241" t="s">
        <v>1179</v>
      </c>
      <c r="J1743" s="1274"/>
      <c r="K1743" s="27"/>
      <c r="L1743" s="27"/>
      <c r="M1743" s="14"/>
      <c r="N1743" s="14"/>
      <c r="O1743" s="14"/>
    </row>
    <row r="1744" spans="1:15" ht="15.75">
      <c r="A1744" s="1538"/>
      <c r="B1744" s="241">
        <v>14771</v>
      </c>
      <c r="C1744" s="478">
        <v>0.1</v>
      </c>
      <c r="D1744" s="1057" t="s">
        <v>243</v>
      </c>
      <c r="E1744" s="143">
        <v>1550000</v>
      </c>
      <c r="F1744" s="779">
        <v>0.05</v>
      </c>
      <c r="G1744" s="535">
        <f t="shared" si="87"/>
        <v>77500</v>
      </c>
      <c r="H1744" s="241" t="s">
        <v>30</v>
      </c>
      <c r="I1744" s="241" t="s">
        <v>307</v>
      </c>
      <c r="J1744" s="1274"/>
      <c r="K1744" s="27"/>
      <c r="L1744" s="27"/>
      <c r="M1744" s="14"/>
      <c r="N1744" s="14"/>
      <c r="O1744" s="14"/>
    </row>
    <row r="1745" spans="1:15" ht="15.75">
      <c r="A1745" s="1538"/>
      <c r="B1745" s="241">
        <v>14763</v>
      </c>
      <c r="C1745" s="478">
        <v>0.1</v>
      </c>
      <c r="D1745" s="1057" t="s">
        <v>1193</v>
      </c>
      <c r="E1745" s="143">
        <v>1700000</v>
      </c>
      <c r="F1745" s="779">
        <v>0.04</v>
      </c>
      <c r="G1745" s="535">
        <f t="shared" si="87"/>
        <v>68000</v>
      </c>
      <c r="H1745" s="241" t="s">
        <v>1222</v>
      </c>
      <c r="I1745" s="241" t="s">
        <v>307</v>
      </c>
      <c r="J1745" s="1274"/>
      <c r="K1745" s="27"/>
      <c r="L1745" s="27"/>
      <c r="M1745" s="14"/>
      <c r="N1745" s="14"/>
      <c r="O1745" s="14"/>
    </row>
    <row r="1746" spans="1:15" ht="15.75">
      <c r="A1746" s="1538"/>
      <c r="B1746" s="241">
        <v>14819</v>
      </c>
      <c r="C1746" s="478">
        <v>0.1</v>
      </c>
      <c r="D1746" s="1376" t="s">
        <v>1223</v>
      </c>
      <c r="E1746" s="143">
        <v>1200000</v>
      </c>
      <c r="F1746" s="779">
        <v>0.08</v>
      </c>
      <c r="G1746" s="535">
        <f t="shared" si="87"/>
        <v>96000</v>
      </c>
      <c r="H1746" s="241" t="s">
        <v>1090</v>
      </c>
      <c r="I1746" s="241" t="s">
        <v>989</v>
      </c>
      <c r="J1746" s="1274"/>
      <c r="K1746" s="27"/>
      <c r="L1746" s="27"/>
      <c r="M1746" s="14"/>
      <c r="N1746" s="14"/>
      <c r="O1746" s="14"/>
    </row>
    <row r="1747" spans="1:15" ht="15.75">
      <c r="A1747" s="1538"/>
      <c r="B1747" s="241">
        <v>14784</v>
      </c>
      <c r="C1747" s="478">
        <v>0.1</v>
      </c>
      <c r="D1747" s="1376" t="s">
        <v>1224</v>
      </c>
      <c r="E1747" s="143">
        <v>1600000</v>
      </c>
      <c r="F1747" s="779">
        <v>0.05</v>
      </c>
      <c r="G1747" s="535">
        <f t="shared" si="87"/>
        <v>80000</v>
      </c>
      <c r="H1747" s="241" t="s">
        <v>30</v>
      </c>
      <c r="I1747" s="241" t="s">
        <v>989</v>
      </c>
      <c r="J1747" s="1274"/>
      <c r="K1747" s="27"/>
      <c r="L1747" s="27"/>
      <c r="M1747" s="14"/>
      <c r="N1747" s="14"/>
      <c r="O1747" s="14"/>
    </row>
    <row r="1748" spans="1:15" ht="15.75">
      <c r="A1748" s="1538"/>
      <c r="B1748" s="241">
        <v>14829</v>
      </c>
      <c r="C1748" s="140">
        <v>0.08</v>
      </c>
      <c r="D1748" s="1376" t="s">
        <v>1225</v>
      </c>
      <c r="E1748" s="143">
        <v>3000000</v>
      </c>
      <c r="F1748" s="234">
        <v>0.03</v>
      </c>
      <c r="G1748" s="535">
        <f t="shared" si="87"/>
        <v>90000</v>
      </c>
      <c r="H1748" s="241" t="s">
        <v>524</v>
      </c>
      <c r="I1748" s="241" t="s">
        <v>307</v>
      </c>
      <c r="J1748" s="1274"/>
      <c r="K1748" s="27"/>
      <c r="L1748" s="27"/>
      <c r="M1748" s="14"/>
      <c r="N1748" s="14"/>
      <c r="O1748" s="14"/>
    </row>
    <row r="1749" spans="1:15" ht="18">
      <c r="A1749" s="1538"/>
      <c r="B1749" s="209" t="s">
        <v>245</v>
      </c>
      <c r="C1749" s="348"/>
      <c r="D1749" s="1255" t="s">
        <v>1226</v>
      </c>
      <c r="E1749" s="308"/>
      <c r="F1749" s="877"/>
      <c r="G1749" s="1309"/>
      <c r="H1749" s="209" t="s">
        <v>1176</v>
      </c>
      <c r="I1749" s="209" t="s">
        <v>242</v>
      </c>
      <c r="J1749" s="1310"/>
      <c r="K1749" s="27"/>
      <c r="L1749" s="27"/>
      <c r="M1749" s="772" t="s">
        <v>80</v>
      </c>
      <c r="N1749" s="772"/>
      <c r="O1749" s="533">
        <f>SUM(O1741:O1748)</f>
        <v>78000</v>
      </c>
    </row>
    <row r="1750" spans="1:15" ht="15.75">
      <c r="A1750" s="1538"/>
      <c r="B1750" s="209" t="s">
        <v>245</v>
      </c>
      <c r="C1750" s="348"/>
      <c r="D1750" s="1345" t="s">
        <v>1227</v>
      </c>
      <c r="E1750" s="308"/>
      <c r="F1750" s="877"/>
      <c r="G1750" s="1309"/>
      <c r="H1750" s="209" t="s">
        <v>1228</v>
      </c>
      <c r="I1750" s="209" t="s">
        <v>1179</v>
      </c>
      <c r="J1750" s="1375"/>
      <c r="K1750" s="27"/>
      <c r="L1750" s="27"/>
      <c r="M1750" s="14"/>
      <c r="N1750" s="14"/>
      <c r="O1750" s="14"/>
    </row>
    <row r="1751" spans="1:15" ht="20.25">
      <c r="A1751" s="1538"/>
      <c r="B1751" s="1319"/>
      <c r="C1751" s="1270"/>
      <c r="D1751" s="1091"/>
      <c r="E1751" s="1110">
        <f>SUM(E1741:E1750)</f>
        <v>13650000</v>
      </c>
      <c r="F1751" s="1091"/>
      <c r="G1751" s="332">
        <f>SUM(G1741:G1750)</f>
        <v>697000</v>
      </c>
      <c r="H1751" s="1091"/>
      <c r="I1751" s="1091"/>
      <c r="J1751" s="1271"/>
      <c r="K1751" s="27"/>
      <c r="L1751" s="27"/>
      <c r="M1751" s="906" t="s">
        <v>80</v>
      </c>
      <c r="N1751" s="906"/>
      <c r="O1751" s="914">
        <f>G1751+O1749</f>
        <v>775000</v>
      </c>
    </row>
    <row r="1754" spans="1:15" ht="23.25">
      <c r="A1754" s="1539" t="s">
        <v>1093</v>
      </c>
      <c r="B1754" s="1540"/>
      <c r="C1754" s="1540"/>
      <c r="D1754" s="1540"/>
      <c r="E1754" s="1540"/>
      <c r="F1754" s="1540"/>
      <c r="G1754" s="1540"/>
      <c r="H1754" s="1540"/>
      <c r="I1754" s="1540"/>
      <c r="J1754" s="1540"/>
      <c r="K1754" s="1533" t="s">
        <v>2</v>
      </c>
      <c r="L1754" s="1533"/>
      <c r="M1754" s="1533"/>
      <c r="N1754" s="1533"/>
      <c r="O1754" s="1533"/>
    </row>
    <row r="1755" spans="1:15" ht="30.75">
      <c r="A1755" s="126" t="s">
        <v>3</v>
      </c>
      <c r="B1755" s="3" t="s">
        <v>120</v>
      </c>
      <c r="C1755" s="2" t="s">
        <v>4</v>
      </c>
      <c r="D1755" s="3" t="s">
        <v>5</v>
      </c>
      <c r="E1755" s="3" t="s">
        <v>6</v>
      </c>
      <c r="F1755" s="3" t="s">
        <v>7</v>
      </c>
      <c r="G1755" s="3" t="s">
        <v>8</v>
      </c>
      <c r="H1755" s="3" t="s">
        <v>9</v>
      </c>
      <c r="I1755" s="3" t="s">
        <v>10</v>
      </c>
      <c r="J1755" s="3" t="s">
        <v>11</v>
      </c>
      <c r="K1755" s="657" t="s">
        <v>12</v>
      </c>
      <c r="L1755" s="68" t="s">
        <v>5</v>
      </c>
      <c r="M1755" s="68" t="s">
        <v>13</v>
      </c>
      <c r="N1755" s="129" t="s">
        <v>7</v>
      </c>
      <c r="O1755" s="68" t="s">
        <v>14</v>
      </c>
    </row>
    <row r="1756" spans="1:15" ht="15.75">
      <c r="A1756" s="1538" t="s">
        <v>1229</v>
      </c>
      <c r="B1756" s="241">
        <v>14617</v>
      </c>
      <c r="C1756" s="1207">
        <v>0.1</v>
      </c>
      <c r="D1756" s="1057" t="s">
        <v>1230</v>
      </c>
      <c r="E1756" s="143">
        <v>1000000</v>
      </c>
      <c r="F1756" s="779">
        <v>0.08</v>
      </c>
      <c r="G1756" s="535">
        <f>E1756*F1756</f>
        <v>80000</v>
      </c>
      <c r="H1756" s="241" t="s">
        <v>1095</v>
      </c>
      <c r="I1756" s="241" t="s">
        <v>242</v>
      </c>
      <c r="J1756" s="1274"/>
      <c r="K1756" s="14"/>
      <c r="L1756" s="27"/>
      <c r="M1756" s="14"/>
      <c r="N1756" s="14"/>
      <c r="O1756" s="14"/>
    </row>
    <row r="1757" spans="1:15" ht="15.75">
      <c r="A1757" s="1538"/>
      <c r="B1757" s="241">
        <v>14684</v>
      </c>
      <c r="C1757" s="1207">
        <v>0.1</v>
      </c>
      <c r="D1757" s="243" t="s">
        <v>1195</v>
      </c>
      <c r="E1757" s="143">
        <v>900000</v>
      </c>
      <c r="F1757" s="779">
        <v>0.04</v>
      </c>
      <c r="G1757" s="535">
        <f t="shared" ref="G1757:G1760" si="88">E1757*F1757</f>
        <v>36000</v>
      </c>
      <c r="H1757" s="241" t="s">
        <v>1228</v>
      </c>
      <c r="I1757" s="241" t="s">
        <v>307</v>
      </c>
      <c r="J1757" s="1274"/>
      <c r="K1757" s="27"/>
      <c r="L1757" s="27"/>
      <c r="M1757" s="14"/>
      <c r="N1757" s="14"/>
      <c r="O1757" s="14"/>
    </row>
    <row r="1758" spans="1:15" ht="15.75">
      <c r="A1758" s="1538"/>
      <c r="B1758" s="241">
        <v>14781</v>
      </c>
      <c r="C1758" s="1357">
        <v>0.08</v>
      </c>
      <c r="D1758" s="243" t="s">
        <v>1231</v>
      </c>
      <c r="E1758" s="143">
        <v>1350000</v>
      </c>
      <c r="F1758" s="234">
        <v>0.04</v>
      </c>
      <c r="G1758" s="535">
        <f t="shared" si="88"/>
        <v>54000</v>
      </c>
      <c r="H1758" s="241" t="s">
        <v>30</v>
      </c>
      <c r="I1758" s="241" t="s">
        <v>989</v>
      </c>
      <c r="J1758" s="1274"/>
      <c r="K1758" s="27"/>
      <c r="L1758" s="27"/>
      <c r="M1758" s="14"/>
      <c r="N1758" s="14"/>
      <c r="O1758" s="14"/>
    </row>
    <row r="1759" spans="1:15" ht="15.75">
      <c r="A1759" s="1538"/>
      <c r="B1759" s="241">
        <v>14764</v>
      </c>
      <c r="C1759" s="1207">
        <v>0.1</v>
      </c>
      <c r="D1759" s="243" t="s">
        <v>1232</v>
      </c>
      <c r="E1759" s="143">
        <v>750000</v>
      </c>
      <c r="F1759" s="779">
        <v>0.04</v>
      </c>
      <c r="G1759" s="535">
        <f t="shared" si="88"/>
        <v>30000</v>
      </c>
      <c r="H1759" s="241" t="s">
        <v>741</v>
      </c>
      <c r="I1759" s="241" t="s">
        <v>307</v>
      </c>
      <c r="J1759" s="1274"/>
      <c r="K1759" s="27"/>
      <c r="L1759" s="27"/>
      <c r="M1759" s="14"/>
      <c r="N1759" s="14"/>
      <c r="O1759" s="14"/>
    </row>
    <row r="1760" spans="1:15" ht="15.75">
      <c r="A1760" s="1538"/>
      <c r="B1760" s="241">
        <v>14820</v>
      </c>
      <c r="C1760" s="1207">
        <v>0.1</v>
      </c>
      <c r="D1760" s="1376" t="s">
        <v>1233</v>
      </c>
      <c r="E1760" s="143">
        <v>1350000</v>
      </c>
      <c r="F1760" s="779">
        <v>0.08</v>
      </c>
      <c r="G1760" s="535">
        <f t="shared" si="88"/>
        <v>108000</v>
      </c>
      <c r="H1760" s="241" t="s">
        <v>1095</v>
      </c>
      <c r="I1760" s="241" t="s">
        <v>307</v>
      </c>
      <c r="J1760" s="1274"/>
      <c r="K1760" s="27"/>
      <c r="L1760" s="27"/>
      <c r="M1760" s="14"/>
      <c r="N1760" s="14"/>
      <c r="O1760" s="14"/>
    </row>
    <row r="1761" spans="1:15" ht="15.75">
      <c r="A1761" s="1538"/>
      <c r="B1761" s="209" t="s">
        <v>297</v>
      </c>
      <c r="C1761" s="1211">
        <v>0.1</v>
      </c>
      <c r="D1761" s="277" t="s">
        <v>1234</v>
      </c>
      <c r="E1761" s="308"/>
      <c r="F1761" s="877"/>
      <c r="G1761" s="1124"/>
      <c r="H1761" s="209" t="s">
        <v>311</v>
      </c>
      <c r="I1761" s="209" t="s">
        <v>242</v>
      </c>
      <c r="J1761" s="1310" t="s">
        <v>1235</v>
      </c>
      <c r="K1761" s="27"/>
      <c r="L1761" s="27"/>
      <c r="M1761" s="14"/>
      <c r="N1761" s="14"/>
      <c r="O1761" s="14"/>
    </row>
    <row r="1762" spans="1:15" ht="15.75">
      <c r="A1762" s="1538"/>
      <c r="B1762" s="209" t="s">
        <v>297</v>
      </c>
      <c r="C1762" s="1211">
        <v>0.1</v>
      </c>
      <c r="D1762" s="819" t="s">
        <v>1236</v>
      </c>
      <c r="E1762" s="308"/>
      <c r="F1762" s="877"/>
      <c r="G1762" s="1124"/>
      <c r="H1762" s="209" t="s">
        <v>741</v>
      </c>
      <c r="I1762" s="209" t="s">
        <v>100</v>
      </c>
      <c r="J1762" s="1310" t="s">
        <v>1237</v>
      </c>
      <c r="K1762" s="27"/>
      <c r="L1762" s="27"/>
      <c r="M1762" s="14"/>
      <c r="N1762" s="14"/>
      <c r="O1762" s="14"/>
    </row>
    <row r="1763" spans="1:15" ht="15.75">
      <c r="A1763" s="1538"/>
      <c r="B1763" s="209" t="s">
        <v>844</v>
      </c>
      <c r="C1763" s="1211"/>
      <c r="D1763" s="819" t="s">
        <v>1238</v>
      </c>
      <c r="E1763" s="308"/>
      <c r="F1763" s="877"/>
      <c r="G1763" s="1124"/>
      <c r="H1763" s="209" t="s">
        <v>1095</v>
      </c>
      <c r="I1763" s="209" t="s">
        <v>989</v>
      </c>
      <c r="J1763" s="1310" t="s">
        <v>1239</v>
      </c>
      <c r="K1763" s="27"/>
      <c r="L1763" s="27"/>
      <c r="M1763" s="14"/>
      <c r="N1763" s="14"/>
      <c r="O1763" s="14"/>
    </row>
    <row r="1764" spans="1:15" ht="15.75">
      <c r="A1764" s="1538"/>
      <c r="B1764" s="209" t="s">
        <v>297</v>
      </c>
      <c r="C1764" s="348">
        <v>0.1</v>
      </c>
      <c r="D1764" s="277" t="s">
        <v>1240</v>
      </c>
      <c r="E1764" s="308"/>
      <c r="F1764" s="877"/>
      <c r="G1764" s="1124"/>
      <c r="H1764" s="209" t="s">
        <v>1241</v>
      </c>
      <c r="I1764" s="209" t="s">
        <v>100</v>
      </c>
      <c r="J1764" s="1310" t="s">
        <v>1242</v>
      </c>
      <c r="K1764" s="27"/>
      <c r="L1764" s="27"/>
      <c r="M1764" s="14"/>
      <c r="N1764" s="14"/>
      <c r="O1764" s="14"/>
    </row>
    <row r="1765" spans="1:15" ht="20.25">
      <c r="A1765" s="1538"/>
      <c r="B1765" s="1319"/>
      <c r="C1765" s="1270"/>
      <c r="D1765" s="1091"/>
      <c r="E1765" s="1110">
        <f>SUM(E1756:E1764)</f>
        <v>5350000</v>
      </c>
      <c r="F1765" s="1091"/>
      <c r="G1765" s="332">
        <f>SUM(G1756:G1764)</f>
        <v>308000</v>
      </c>
      <c r="H1765" s="1091"/>
      <c r="I1765" s="1091"/>
      <c r="J1765" s="1271"/>
      <c r="K1765" s="27"/>
      <c r="L1765" s="27"/>
      <c r="M1765" s="906" t="s">
        <v>80</v>
      </c>
      <c r="N1765" s="906"/>
      <c r="O1765" s="869">
        <f>G1765</f>
        <v>308000</v>
      </c>
    </row>
    <row r="1769" spans="1:15" ht="23.25">
      <c r="A1769" s="1530" t="s">
        <v>1097</v>
      </c>
      <c r="B1769" s="1531"/>
      <c r="C1769" s="1532"/>
      <c r="D1769" s="1531"/>
      <c r="E1769" s="1531"/>
      <c r="F1769" s="1531"/>
      <c r="G1769" s="1531"/>
      <c r="H1769" s="1532"/>
      <c r="I1769" s="1532"/>
      <c r="J1769" s="1532"/>
      <c r="K1769" s="1533" t="s">
        <v>2</v>
      </c>
      <c r="L1769" s="1533"/>
      <c r="M1769" s="1533"/>
      <c r="N1769" s="1533"/>
      <c r="O1769" s="1533"/>
    </row>
    <row r="1770" spans="1:15" ht="30.75">
      <c r="A1770" s="126" t="s">
        <v>3</v>
      </c>
      <c r="B1770" s="1" t="s">
        <v>120</v>
      </c>
      <c r="C1770" s="367" t="s">
        <v>4</v>
      </c>
      <c r="D1770" s="1" t="s">
        <v>5</v>
      </c>
      <c r="E1770" s="1" t="s">
        <v>6</v>
      </c>
      <c r="F1770" s="1" t="s">
        <v>7</v>
      </c>
      <c r="G1770" s="1" t="s">
        <v>8</v>
      </c>
      <c r="H1770" s="361" t="s">
        <v>9</v>
      </c>
      <c r="I1770" s="1" t="s">
        <v>10</v>
      </c>
      <c r="J1770" s="126" t="s">
        <v>11</v>
      </c>
      <c r="K1770" s="3" t="s">
        <v>12</v>
      </c>
      <c r="L1770" s="3" t="s">
        <v>5</v>
      </c>
      <c r="M1770" s="3" t="s">
        <v>13</v>
      </c>
      <c r="N1770" s="1" t="s">
        <v>7</v>
      </c>
      <c r="O1770" s="1" t="s">
        <v>14</v>
      </c>
    </row>
    <row r="1771" spans="1:15" ht="15.75">
      <c r="A1771" s="1630">
        <v>0</v>
      </c>
      <c r="B1771" s="163"/>
      <c r="C1771" s="1276"/>
      <c r="D1771" s="1240"/>
      <c r="E1771" s="793"/>
      <c r="F1771" s="1325"/>
      <c r="G1771" s="1323"/>
      <c r="H1771" s="235"/>
      <c r="I1771" s="235"/>
      <c r="J1771" s="1325"/>
      <c r="K1771" s="163"/>
      <c r="L1771" s="165"/>
      <c r="M1771" s="1099"/>
      <c r="N1771" s="27"/>
      <c r="O1771" s="27"/>
    </row>
    <row r="1772" spans="1:15" ht="15.75">
      <c r="A1772" s="1538"/>
      <c r="B1772" s="235"/>
      <c r="C1772" s="1352"/>
      <c r="D1772" s="1231"/>
      <c r="E1772" s="261"/>
      <c r="F1772" s="1325"/>
      <c r="G1772" s="1323"/>
      <c r="H1772" s="235"/>
      <c r="I1772" s="235"/>
      <c r="J1772" s="1325"/>
      <c r="K1772" s="163"/>
      <c r="L1772" s="165"/>
      <c r="M1772" s="1101"/>
      <c r="N1772" s="27"/>
      <c r="O1772" s="27"/>
    </row>
    <row r="1773" spans="1:15" ht="15.75">
      <c r="A1773" s="1538"/>
      <c r="B1773" s="235"/>
      <c r="C1773" s="1352"/>
      <c r="D1773" s="1092"/>
      <c r="E1773" s="261"/>
      <c r="F1773" s="1325"/>
      <c r="G1773" s="1323"/>
      <c r="H1773" s="235"/>
      <c r="I1773" s="235"/>
      <c r="J1773" s="1325"/>
      <c r="K1773" s="263"/>
      <c r="L1773" s="165"/>
      <c r="M1773" s="1101"/>
      <c r="N1773" s="959"/>
      <c r="O1773" s="959"/>
    </row>
    <row r="1774" spans="1:15" ht="15.75">
      <c r="A1774" s="1538"/>
      <c r="B1774" s="235"/>
      <c r="C1774" s="1323"/>
      <c r="D1774" s="1324"/>
      <c r="E1774" s="1325"/>
      <c r="F1774" s="1325"/>
      <c r="G1774" s="1323"/>
      <c r="H1774" s="235"/>
      <c r="I1774" s="235"/>
      <c r="J1774" s="1325"/>
      <c r="K1774" s="263"/>
      <c r="L1774" s="165"/>
      <c r="M1774" s="1101"/>
      <c r="N1774" s="959"/>
      <c r="O1774" s="959"/>
    </row>
    <row r="1775" spans="1:15" ht="15.75">
      <c r="A1775" s="1538"/>
      <c r="B1775" s="71"/>
      <c r="C1775" s="71"/>
      <c r="D1775" s="14"/>
      <c r="E1775" s="332">
        <f>SUM(E1771:E1774)</f>
        <v>0</v>
      </c>
      <c r="F1775" s="14"/>
      <c r="G1775" s="71"/>
      <c r="H1775" s="14"/>
      <c r="I1775" s="14"/>
      <c r="J1775" s="14"/>
      <c r="K1775" s="263"/>
      <c r="L1775" s="165"/>
      <c r="M1775" s="884"/>
      <c r="N1775" s="27"/>
      <c r="O1775" s="27"/>
    </row>
    <row r="1776" spans="1:15" ht="15.75">
      <c r="L1776" s="1045" t="s">
        <v>80</v>
      </c>
      <c r="M1776" s="539">
        <f>SUM(M1771:M1775)</f>
        <v>0</v>
      </c>
    </row>
    <row r="1778" spans="1:15" ht="23.25">
      <c r="A1778" s="1530" t="s">
        <v>274</v>
      </c>
      <c r="B1778" s="1531"/>
      <c r="C1778" s="1532"/>
      <c r="D1778" s="1531"/>
      <c r="E1778" s="1531"/>
      <c r="F1778" s="1531"/>
      <c r="G1778" s="1531"/>
      <c r="H1778" s="1532"/>
      <c r="I1778" s="1532"/>
      <c r="J1778" s="1532"/>
      <c r="K1778" s="1533" t="s">
        <v>2</v>
      </c>
      <c r="L1778" s="1533"/>
      <c r="M1778" s="1533"/>
      <c r="N1778" s="1533"/>
      <c r="O1778" s="1533"/>
    </row>
    <row r="1779" spans="1:15" ht="30.75">
      <c r="A1779" s="126" t="s">
        <v>3</v>
      </c>
      <c r="B1779" s="1" t="s">
        <v>120</v>
      </c>
      <c r="C1779" s="367" t="s">
        <v>4</v>
      </c>
      <c r="D1779" s="1" t="s">
        <v>5</v>
      </c>
      <c r="E1779" s="1" t="s">
        <v>6</v>
      </c>
      <c r="F1779" s="1" t="s">
        <v>7</v>
      </c>
      <c r="G1779" s="1" t="s">
        <v>8</v>
      </c>
      <c r="H1779" s="361" t="s">
        <v>9</v>
      </c>
      <c r="I1779" s="1" t="s">
        <v>10</v>
      </c>
      <c r="J1779" s="126" t="s">
        <v>11</v>
      </c>
      <c r="K1779" s="3" t="s">
        <v>12</v>
      </c>
      <c r="L1779" s="3" t="s">
        <v>5</v>
      </c>
      <c r="M1779" s="3" t="s">
        <v>13</v>
      </c>
      <c r="N1779" s="1" t="s">
        <v>7</v>
      </c>
      <c r="O1779" s="1" t="s">
        <v>14</v>
      </c>
    </row>
    <row r="1780" spans="1:15" ht="15.75">
      <c r="A1780" s="1631"/>
      <c r="B1780" s="135">
        <v>14618</v>
      </c>
      <c r="C1780" s="478">
        <v>0.1</v>
      </c>
      <c r="D1780" s="1317" t="s">
        <v>1243</v>
      </c>
      <c r="E1780" s="1044">
        <v>1400000</v>
      </c>
      <c r="F1780" s="545"/>
      <c r="G1780" s="1260"/>
      <c r="H1780" s="545"/>
      <c r="I1780" s="241" t="s">
        <v>1171</v>
      </c>
      <c r="J1780" s="545"/>
      <c r="K1780" s="163"/>
      <c r="L1780" s="165"/>
      <c r="M1780" s="1101"/>
      <c r="N1780" s="27"/>
      <c r="O1780" s="27"/>
    </row>
    <row r="1781" spans="1:15" ht="15.75">
      <c r="A1781" s="1534"/>
      <c r="B1781" s="241">
        <v>14797</v>
      </c>
      <c r="C1781" s="1207">
        <v>0.1</v>
      </c>
      <c r="D1781" s="243" t="s">
        <v>1244</v>
      </c>
      <c r="E1781" s="1044">
        <v>1600000</v>
      </c>
      <c r="F1781" s="545"/>
      <c r="G1781" s="1260"/>
      <c r="H1781" s="545"/>
      <c r="I1781" s="241" t="s">
        <v>1245</v>
      </c>
      <c r="J1781" s="545"/>
      <c r="K1781" s="263"/>
      <c r="L1781" s="165"/>
      <c r="M1781" s="1101"/>
      <c r="N1781" s="27"/>
      <c r="O1781" s="27"/>
    </row>
    <row r="1782" spans="1:15" ht="15.75">
      <c r="A1782" s="1629"/>
      <c r="B1782" s="71"/>
      <c r="C1782" s="71"/>
      <c r="D1782" s="14"/>
      <c r="E1782" s="1110">
        <f>SUM(E1780:E1781)</f>
        <v>3000000</v>
      </c>
      <c r="F1782" s="14"/>
      <c r="G1782" s="71"/>
      <c r="H1782" s="14"/>
      <c r="I1782" s="14"/>
      <c r="J1782" s="14"/>
      <c r="K1782" s="263"/>
      <c r="L1782" s="165"/>
      <c r="M1782" s="884"/>
      <c r="N1782" s="27"/>
      <c r="O1782" s="27"/>
    </row>
    <row r="1783" spans="1:15" ht="15.75">
      <c r="L1783" s="1045" t="s">
        <v>80</v>
      </c>
      <c r="M1783" s="539">
        <f>SUM(M1780:M1782)</f>
        <v>0</v>
      </c>
    </row>
    <row r="1785" spans="1:15" ht="18">
      <c r="A1785" s="1535" t="s">
        <v>68</v>
      </c>
      <c r="B1785" s="1535"/>
      <c r="C1785" s="365"/>
      <c r="D1785" s="341">
        <f>E1707+E1722+E1736+E1751+E1765+E1775+E1782</f>
        <v>49250000</v>
      </c>
    </row>
    <row r="1786" spans="1:15">
      <c r="A1786" s="1536" t="s">
        <v>69</v>
      </c>
      <c r="B1786" s="1536"/>
      <c r="C1786" s="22"/>
      <c r="D1786" s="20"/>
    </row>
    <row r="1787" spans="1:15">
      <c r="A1787" s="1537" t="s">
        <v>70</v>
      </c>
      <c r="B1787" s="1537"/>
      <c r="C1787" s="101"/>
      <c r="D1787" s="21"/>
    </row>
    <row r="1790" spans="1:15" ht="31.5">
      <c r="A1790" s="1546" t="s">
        <v>1246</v>
      </c>
      <c r="B1790" s="1547"/>
      <c r="C1790" s="1547"/>
      <c r="D1790" s="1547"/>
      <c r="E1790" s="1547"/>
      <c r="F1790" s="1547"/>
      <c r="G1790" s="1547"/>
      <c r="H1790" s="1547"/>
      <c r="I1790" s="1547"/>
      <c r="J1790" s="1547"/>
    </row>
    <row r="1791" spans="1:15" ht="23.25">
      <c r="A1791" s="1548" t="s">
        <v>56</v>
      </c>
      <c r="B1791" s="1532"/>
      <c r="C1791" s="1532"/>
      <c r="D1791" s="1531"/>
      <c r="E1791" s="1532"/>
      <c r="F1791" s="1532"/>
      <c r="G1791" s="1532"/>
      <c r="H1791" s="1532"/>
      <c r="I1791" s="1532"/>
      <c r="J1791" s="1549"/>
      <c r="K1791" s="1533" t="s">
        <v>2</v>
      </c>
      <c r="L1791" s="1555"/>
      <c r="M1791" s="1533"/>
      <c r="N1791" s="1533"/>
      <c r="O1791" s="1533"/>
    </row>
    <row r="1792" spans="1:15" ht="30.75">
      <c r="A1792" s="1" t="s">
        <v>3</v>
      </c>
      <c r="B1792" s="361" t="s">
        <v>120</v>
      </c>
      <c r="C1792" s="367" t="s">
        <v>4</v>
      </c>
      <c r="D1792" s="3" t="s">
        <v>5</v>
      </c>
      <c r="E1792" s="361" t="s">
        <v>6</v>
      </c>
      <c r="F1792" s="1" t="s">
        <v>7</v>
      </c>
      <c r="G1792" s="1" t="s">
        <v>8</v>
      </c>
      <c r="H1792" s="361" t="s">
        <v>9</v>
      </c>
      <c r="I1792" s="1" t="s">
        <v>10</v>
      </c>
      <c r="J1792" s="126" t="s">
        <v>11</v>
      </c>
      <c r="K1792" s="129" t="s">
        <v>12</v>
      </c>
      <c r="L1792" s="3" t="s">
        <v>5</v>
      </c>
      <c r="M1792" s="657" t="s">
        <v>13</v>
      </c>
      <c r="N1792" s="129" t="s">
        <v>7</v>
      </c>
      <c r="O1792" s="68" t="s">
        <v>14</v>
      </c>
    </row>
    <row r="1793" spans="1:15" ht="15.75">
      <c r="A1793" s="1632" t="s">
        <v>1247</v>
      </c>
      <c r="B1793" s="135">
        <v>14879</v>
      </c>
      <c r="C1793" s="1399">
        <v>0.1</v>
      </c>
      <c r="D1793" s="259" t="s">
        <v>1248</v>
      </c>
      <c r="E1793" s="1044">
        <v>2100000</v>
      </c>
      <c r="F1793" s="1119">
        <v>0.1</v>
      </c>
      <c r="G1793" s="619">
        <f>E1793*F1793</f>
        <v>210000</v>
      </c>
      <c r="H1793" s="995" t="s">
        <v>311</v>
      </c>
      <c r="I1793" s="995" t="s">
        <v>242</v>
      </c>
      <c r="J1793" s="1104"/>
      <c r="K1793" s="135">
        <v>14913</v>
      </c>
      <c r="L1793" s="1264" t="s">
        <v>1249</v>
      </c>
      <c r="M1793" s="1044">
        <v>1300000</v>
      </c>
      <c r="N1793" s="232">
        <v>0.05</v>
      </c>
      <c r="O1793" s="178">
        <f>M1793*N1793</f>
        <v>65000</v>
      </c>
    </row>
    <row r="1794" spans="1:15" ht="15.75">
      <c r="A1794" s="1528"/>
      <c r="B1794" s="241">
        <v>14905</v>
      </c>
      <c r="C1794" s="1118">
        <v>0.1</v>
      </c>
      <c r="D1794" s="259" t="s">
        <v>1250</v>
      </c>
      <c r="E1794" s="1044">
        <v>1400000</v>
      </c>
      <c r="F1794" s="1119">
        <v>0.06</v>
      </c>
      <c r="G1794" s="619">
        <f t="shared" ref="G1794:G1807" si="89">E1794*F1794</f>
        <v>84000</v>
      </c>
      <c r="H1794" s="995" t="s">
        <v>30</v>
      </c>
      <c r="I1794" s="995" t="s">
        <v>242</v>
      </c>
      <c r="J1794" s="998"/>
      <c r="K1794" s="241">
        <v>14927</v>
      </c>
      <c r="L1794" s="243" t="s">
        <v>1251</v>
      </c>
      <c r="M1794" s="143">
        <v>1800000</v>
      </c>
      <c r="N1794" s="1356">
        <v>0.04</v>
      </c>
      <c r="O1794" s="178">
        <f t="shared" ref="O1794:O1795" si="90">M1794*N1794</f>
        <v>72000</v>
      </c>
    </row>
    <row r="1795" spans="1:15" ht="15.75">
      <c r="A1795" s="1528"/>
      <c r="B1795" s="241">
        <v>14898</v>
      </c>
      <c r="C1795" s="478">
        <v>0.1</v>
      </c>
      <c r="D1795" s="1376" t="s">
        <v>1252</v>
      </c>
      <c r="E1795" s="699">
        <v>1900000</v>
      </c>
      <c r="F1795" s="478">
        <v>0.1</v>
      </c>
      <c r="G1795" s="619">
        <f t="shared" si="89"/>
        <v>190000</v>
      </c>
      <c r="H1795" s="995" t="s">
        <v>311</v>
      </c>
      <c r="I1795" s="997" t="s">
        <v>989</v>
      </c>
      <c r="J1795" s="1132"/>
      <c r="K1795" s="241">
        <v>14944</v>
      </c>
      <c r="L1795" s="243" t="s">
        <v>1253</v>
      </c>
      <c r="M1795" s="143">
        <v>1100000</v>
      </c>
      <c r="N1795" s="232">
        <v>0.05</v>
      </c>
      <c r="O1795" s="178">
        <f t="shared" si="90"/>
        <v>55000</v>
      </c>
    </row>
    <row r="1796" spans="1:15" ht="15.75">
      <c r="A1796" s="1528"/>
      <c r="B1796" s="241">
        <v>14915</v>
      </c>
      <c r="C1796" s="478">
        <v>0.1</v>
      </c>
      <c r="D1796" s="243" t="s">
        <v>1254</v>
      </c>
      <c r="E1796" s="699">
        <v>1700000</v>
      </c>
      <c r="F1796" s="478">
        <v>0.1</v>
      </c>
      <c r="G1796" s="619">
        <f t="shared" si="89"/>
        <v>170000</v>
      </c>
      <c r="H1796" s="995" t="s">
        <v>311</v>
      </c>
      <c r="I1796" s="997" t="s">
        <v>989</v>
      </c>
      <c r="J1796" s="998"/>
      <c r="K1796" s="1253"/>
      <c r="L1796" s="27"/>
      <c r="M1796" s="27"/>
      <c r="N1796" s="27"/>
      <c r="O1796" s="27"/>
    </row>
    <row r="1797" spans="1:15" ht="15.75">
      <c r="A1797" s="1528"/>
      <c r="B1797" s="241">
        <v>14930</v>
      </c>
      <c r="C1797" s="140">
        <v>0.08</v>
      </c>
      <c r="D1797" s="243" t="s">
        <v>1255</v>
      </c>
      <c r="E1797" s="699">
        <v>1600000</v>
      </c>
      <c r="F1797" s="140">
        <v>0.04</v>
      </c>
      <c r="G1797" s="619">
        <f t="shared" si="89"/>
        <v>64000</v>
      </c>
      <c r="H1797" s="995" t="s">
        <v>520</v>
      </c>
      <c r="I1797" s="1121" t="s">
        <v>242</v>
      </c>
      <c r="J1797" s="998"/>
      <c r="K1797" s="1253"/>
      <c r="L1797" s="27"/>
      <c r="M1797" s="27"/>
      <c r="N1797" s="27"/>
      <c r="O1797" s="27"/>
    </row>
    <row r="1798" spans="1:15" ht="15.75">
      <c r="A1798" s="1528"/>
      <c r="B1798" s="241">
        <v>14949</v>
      </c>
      <c r="C1798" s="1119">
        <v>0.1</v>
      </c>
      <c r="D1798" s="243" t="s">
        <v>1256</v>
      </c>
      <c r="E1798" s="1044">
        <v>1600000</v>
      </c>
      <c r="F1798" s="1119">
        <v>0.1</v>
      </c>
      <c r="G1798" s="619">
        <f t="shared" si="89"/>
        <v>160000</v>
      </c>
      <c r="H1798" s="995" t="s">
        <v>311</v>
      </c>
      <c r="I1798" s="997" t="s">
        <v>1257</v>
      </c>
      <c r="J1798" s="998"/>
      <c r="K1798" s="1253"/>
      <c r="L1798" s="27"/>
      <c r="M1798" s="27"/>
      <c r="N1798" s="27"/>
      <c r="O1798" s="27"/>
    </row>
    <row r="1799" spans="1:15" ht="15.75">
      <c r="A1799" s="1528"/>
      <c r="B1799" s="241">
        <v>14971</v>
      </c>
      <c r="C1799" s="1118">
        <v>0.1</v>
      </c>
      <c r="D1799" s="1376" t="s">
        <v>1258</v>
      </c>
      <c r="E1799" s="1044">
        <v>1600000</v>
      </c>
      <c r="F1799" s="1119">
        <v>0.05</v>
      </c>
      <c r="G1799" s="619">
        <f t="shared" si="89"/>
        <v>80000</v>
      </c>
      <c r="H1799" s="995" t="s">
        <v>1095</v>
      </c>
      <c r="I1799" s="997" t="s">
        <v>989</v>
      </c>
      <c r="J1799" s="998"/>
      <c r="K1799" s="1253"/>
      <c r="L1799" s="27"/>
      <c r="M1799" s="27"/>
      <c r="N1799" s="27"/>
      <c r="O1799" s="27"/>
    </row>
    <row r="1800" spans="1:15" ht="15.75">
      <c r="A1800" s="1528"/>
      <c r="B1800" s="241">
        <v>14994</v>
      </c>
      <c r="C1800" s="1119">
        <v>0.1</v>
      </c>
      <c r="D1800" s="243" t="s">
        <v>1259</v>
      </c>
      <c r="E1800" s="1044">
        <v>1600000</v>
      </c>
      <c r="F1800" s="1119">
        <v>0.1</v>
      </c>
      <c r="G1800" s="619">
        <f t="shared" si="89"/>
        <v>160000</v>
      </c>
      <c r="H1800" s="995" t="s">
        <v>311</v>
      </c>
      <c r="I1800" s="997" t="s">
        <v>1260</v>
      </c>
      <c r="J1800" s="998"/>
      <c r="K1800" s="1253"/>
      <c r="L1800" s="27"/>
      <c r="M1800" s="27"/>
      <c r="N1800" s="27"/>
      <c r="O1800" s="27"/>
    </row>
    <row r="1801" spans="1:15" ht="15.75">
      <c r="A1801" s="1528"/>
      <c r="B1801" s="241">
        <v>14988</v>
      </c>
      <c r="C1801" s="1118">
        <v>0.1</v>
      </c>
      <c r="D1801" s="1232" t="s">
        <v>489</v>
      </c>
      <c r="E1801" s="1044">
        <v>1700000</v>
      </c>
      <c r="F1801" s="1119">
        <v>0.06</v>
      </c>
      <c r="G1801" s="619">
        <f t="shared" si="89"/>
        <v>102000</v>
      </c>
      <c r="H1801" s="995" t="s">
        <v>30</v>
      </c>
      <c r="I1801" s="1121" t="s">
        <v>100</v>
      </c>
      <c r="J1801" s="998"/>
      <c r="K1801" s="1253"/>
      <c r="L1801" s="27"/>
      <c r="M1801" s="27"/>
      <c r="N1801" s="27"/>
      <c r="O1801" s="27"/>
    </row>
    <row r="1802" spans="1:15" ht="15.75">
      <c r="A1802" s="1528"/>
      <c r="B1802" s="241">
        <v>14991</v>
      </c>
      <c r="C1802" s="1118">
        <v>0.1</v>
      </c>
      <c r="D1802" s="1376" t="s">
        <v>1261</v>
      </c>
      <c r="E1802" s="1044">
        <v>2000000</v>
      </c>
      <c r="F1802" s="1119">
        <v>0.1</v>
      </c>
      <c r="G1802" s="619">
        <f t="shared" si="89"/>
        <v>200000</v>
      </c>
      <c r="H1802" s="995" t="s">
        <v>311</v>
      </c>
      <c r="I1802" s="1121" t="s">
        <v>100</v>
      </c>
      <c r="J1802" s="998"/>
      <c r="K1802" s="1253"/>
      <c r="L1802" s="27"/>
      <c r="M1802" s="27"/>
      <c r="N1802" s="27"/>
      <c r="O1802" s="27"/>
    </row>
    <row r="1803" spans="1:15" ht="15.75">
      <c r="A1803" s="1528"/>
      <c r="B1803" s="241">
        <v>15023</v>
      </c>
      <c r="C1803" s="140">
        <v>0.08</v>
      </c>
      <c r="D1803" s="1376" t="s">
        <v>1262</v>
      </c>
      <c r="E1803" s="699">
        <v>1650000</v>
      </c>
      <c r="F1803" s="140">
        <v>0.08</v>
      </c>
      <c r="G1803" s="619">
        <f t="shared" si="89"/>
        <v>132000</v>
      </c>
      <c r="H1803" s="995" t="s">
        <v>311</v>
      </c>
      <c r="I1803" s="1121" t="s">
        <v>989</v>
      </c>
      <c r="J1803" s="998"/>
      <c r="K1803" s="1253"/>
      <c r="L1803" s="27"/>
      <c r="M1803" s="27"/>
      <c r="N1803" s="27"/>
      <c r="O1803" s="27"/>
    </row>
    <row r="1804" spans="1:15" ht="15.75">
      <c r="A1804" s="1528"/>
      <c r="B1804" s="241">
        <v>15036</v>
      </c>
      <c r="C1804" s="1329">
        <v>0.09</v>
      </c>
      <c r="D1804" s="243" t="s">
        <v>1263</v>
      </c>
      <c r="E1804" s="1044">
        <v>1550000</v>
      </c>
      <c r="F1804" s="1329">
        <v>0.08</v>
      </c>
      <c r="G1804" s="619">
        <f t="shared" si="89"/>
        <v>124000</v>
      </c>
      <c r="H1804" s="995" t="s">
        <v>311</v>
      </c>
      <c r="I1804" s="1121" t="s">
        <v>242</v>
      </c>
      <c r="J1804" s="998"/>
      <c r="K1804" s="1253"/>
      <c r="L1804" s="27"/>
      <c r="M1804" s="27"/>
      <c r="N1804" s="27"/>
      <c r="O1804" s="27"/>
    </row>
    <row r="1805" spans="1:15" ht="15.75">
      <c r="A1805" s="1528"/>
      <c r="B1805" s="241">
        <v>15072</v>
      </c>
      <c r="C1805" s="1119">
        <v>0.1</v>
      </c>
      <c r="D1805" s="1232" t="s">
        <v>1264</v>
      </c>
      <c r="E1805" s="1044">
        <v>1600000</v>
      </c>
      <c r="F1805" s="1119">
        <v>0.1</v>
      </c>
      <c r="G1805" s="619">
        <f t="shared" si="89"/>
        <v>160000</v>
      </c>
      <c r="H1805" s="995" t="s">
        <v>311</v>
      </c>
      <c r="I1805" s="1121" t="s">
        <v>1179</v>
      </c>
      <c r="J1805" s="998"/>
      <c r="K1805" s="1253"/>
      <c r="L1805" s="27"/>
      <c r="M1805" s="27"/>
      <c r="N1805" s="27"/>
      <c r="O1805" s="27"/>
    </row>
    <row r="1806" spans="1:15" ht="15.75">
      <c r="A1806" s="1528"/>
      <c r="B1806" s="241">
        <v>15054</v>
      </c>
      <c r="C1806" s="1119">
        <v>0.1</v>
      </c>
      <c r="D1806" s="1232" t="s">
        <v>369</v>
      </c>
      <c r="E1806" s="1044">
        <v>1550000</v>
      </c>
      <c r="F1806" s="1119">
        <v>0.06</v>
      </c>
      <c r="G1806" s="619">
        <f t="shared" si="89"/>
        <v>93000</v>
      </c>
      <c r="H1806" s="995" t="s">
        <v>30</v>
      </c>
      <c r="I1806" s="1121" t="s">
        <v>100</v>
      </c>
      <c r="J1806" s="998"/>
      <c r="K1806" s="1253"/>
      <c r="L1806" s="27"/>
      <c r="M1806" s="27"/>
      <c r="N1806" s="27"/>
      <c r="O1806" s="27"/>
    </row>
    <row r="1807" spans="1:15" ht="15.75">
      <c r="A1807" s="1528"/>
      <c r="B1807" s="241" t="s">
        <v>1265</v>
      </c>
      <c r="C1807" s="1119">
        <v>0.1</v>
      </c>
      <c r="D1807" s="243" t="s">
        <v>1266</v>
      </c>
      <c r="E1807" s="1044">
        <v>850000</v>
      </c>
      <c r="F1807" s="1119">
        <v>0.06</v>
      </c>
      <c r="G1807" s="619">
        <f t="shared" si="89"/>
        <v>51000</v>
      </c>
      <c r="H1807" s="995" t="s">
        <v>30</v>
      </c>
      <c r="I1807" s="1121" t="s">
        <v>333</v>
      </c>
      <c r="J1807" s="1388"/>
      <c r="K1807" s="1253"/>
      <c r="L1807" s="27"/>
      <c r="M1807" s="27"/>
      <c r="N1807" s="27"/>
      <c r="O1807" s="27"/>
    </row>
    <row r="1808" spans="1:15" ht="18">
      <c r="A1808" s="1528"/>
      <c r="B1808" s="209" t="s">
        <v>297</v>
      </c>
      <c r="C1808" s="1247"/>
      <c r="D1808" s="819" t="s">
        <v>1267</v>
      </c>
      <c r="E1808" s="1248"/>
      <c r="F1808" s="1249"/>
      <c r="G1808" s="943"/>
      <c r="H1808" s="1011"/>
      <c r="I1808" s="1011"/>
      <c r="J1808" s="1433" t="s">
        <v>1268</v>
      </c>
      <c r="K1808" s="1253"/>
      <c r="L1808" s="27"/>
      <c r="M1808" s="772" t="s">
        <v>80</v>
      </c>
      <c r="N1808" s="772"/>
      <c r="O1808" s="533">
        <f>SUM(O1793:O1799)</f>
        <v>192000</v>
      </c>
    </row>
    <row r="1809" spans="1:15" ht="15.75">
      <c r="A1809" s="1528"/>
      <c r="B1809" s="209" t="s">
        <v>297</v>
      </c>
      <c r="C1809" s="1247"/>
      <c r="D1809" s="1382" t="s">
        <v>1269</v>
      </c>
      <c r="E1809" s="1248"/>
      <c r="F1809" s="1249"/>
      <c r="G1809" s="1256"/>
      <c r="H1809" s="1011"/>
      <c r="I1809" s="1011"/>
      <c r="J1809" s="1012" t="s">
        <v>1270</v>
      </c>
      <c r="K1809" s="1253"/>
      <c r="L1809" s="27"/>
      <c r="M1809" s="27"/>
      <c r="N1809" s="27"/>
      <c r="O1809" s="27"/>
    </row>
    <row r="1810" spans="1:15" ht="20.25">
      <c r="A1810" s="1529"/>
      <c r="B1810" s="263"/>
      <c r="C1810" s="788"/>
      <c r="D1810" s="165"/>
      <c r="E1810" s="1272">
        <f>SUM(E1793:E1809)</f>
        <v>24400000</v>
      </c>
      <c r="F1810" s="659"/>
      <c r="G1810" s="895">
        <f>SUM(G1793:G1809)</f>
        <v>1980000</v>
      </c>
      <c r="H1810" s="999"/>
      <c r="I1810" s="1093"/>
      <c r="J1810" s="1134"/>
      <c r="K1810" s="27"/>
      <c r="L1810" s="27"/>
      <c r="M1810" s="906" t="s">
        <v>80</v>
      </c>
      <c r="N1810" s="906"/>
      <c r="O1810" s="869">
        <f>G1810+O1808</f>
        <v>2172000</v>
      </c>
    </row>
    <row r="1811" spans="1:15">
      <c r="A1811" s="32"/>
      <c r="B1811" s="85"/>
      <c r="C1811" s="85"/>
      <c r="D1811" s="32"/>
      <c r="E1811" s="32"/>
      <c r="F1811" s="32"/>
      <c r="G1811" s="85"/>
      <c r="H1811" s="32"/>
      <c r="I1811" s="32"/>
      <c r="J1811" s="32"/>
    </row>
    <row r="1812" spans="1:15">
      <c r="A1812" s="32"/>
      <c r="B1812" s="85"/>
      <c r="C1812" s="85"/>
      <c r="D1812" s="32"/>
      <c r="E1812" s="32"/>
      <c r="F1812" s="32"/>
      <c r="G1812" s="85"/>
      <c r="H1812" s="32"/>
      <c r="I1812" s="32"/>
      <c r="J1812" s="32"/>
    </row>
    <row r="1813" spans="1:15" ht="23.25">
      <c r="A1813" s="1548" t="s">
        <v>465</v>
      </c>
      <c r="B1813" s="1532"/>
      <c r="C1813" s="1532"/>
      <c r="D1813" s="1531"/>
      <c r="E1813" s="1532"/>
      <c r="F1813" s="1532"/>
      <c r="G1813" s="1532"/>
      <c r="H1813" s="1532"/>
      <c r="I1813" s="1532"/>
      <c r="J1813" s="1549"/>
      <c r="K1813" s="1533" t="s">
        <v>2</v>
      </c>
      <c r="L1813" s="1555"/>
      <c r="M1813" s="1533"/>
      <c r="N1813" s="1533"/>
      <c r="O1813" s="1533"/>
    </row>
    <row r="1814" spans="1:15" ht="30.75">
      <c r="A1814" s="1" t="s">
        <v>3</v>
      </c>
      <c r="B1814" s="361" t="s">
        <v>120</v>
      </c>
      <c r="C1814" s="367" t="s">
        <v>4</v>
      </c>
      <c r="D1814" s="3" t="s">
        <v>5</v>
      </c>
      <c r="E1814" s="361" t="s">
        <v>6</v>
      </c>
      <c r="F1814" s="1" t="s">
        <v>7</v>
      </c>
      <c r="G1814" s="1" t="s">
        <v>8</v>
      </c>
      <c r="H1814" s="361" t="s">
        <v>9</v>
      </c>
      <c r="I1814" s="1" t="s">
        <v>10</v>
      </c>
      <c r="J1814" s="126" t="s">
        <v>11</v>
      </c>
      <c r="K1814" s="129" t="s">
        <v>12</v>
      </c>
      <c r="L1814" s="3" t="s">
        <v>5</v>
      </c>
      <c r="M1814" s="657" t="s">
        <v>13</v>
      </c>
      <c r="N1814" s="129" t="s">
        <v>7</v>
      </c>
      <c r="O1814" s="68" t="s">
        <v>14</v>
      </c>
    </row>
    <row r="1815" spans="1:15" ht="15.75">
      <c r="A1815" s="1528" t="s">
        <v>95</v>
      </c>
      <c r="B1815" s="241">
        <v>14953</v>
      </c>
      <c r="C1815" s="140">
        <v>0.09</v>
      </c>
      <c r="D1815" s="1232" t="s">
        <v>1271</v>
      </c>
      <c r="E1815" s="139">
        <v>1400000</v>
      </c>
      <c r="F1815" s="234">
        <v>0.08</v>
      </c>
      <c r="G1815" s="1342">
        <f>E1815*F1815</f>
        <v>112000</v>
      </c>
      <c r="H1815" s="741" t="s">
        <v>520</v>
      </c>
      <c r="I1815" s="739" t="s">
        <v>100</v>
      </c>
      <c r="J1815" s="755"/>
      <c r="K1815" s="1392">
        <v>14930</v>
      </c>
      <c r="L1815" s="137" t="s">
        <v>1255</v>
      </c>
      <c r="M1815" s="699">
        <v>1600000</v>
      </c>
      <c r="N1815" s="1356">
        <v>0.04</v>
      </c>
      <c r="O1815" s="178">
        <f>M1815*N1815</f>
        <v>64000</v>
      </c>
    </row>
    <row r="1816" spans="1:15" ht="15.75">
      <c r="A1816" s="1528"/>
      <c r="B1816" s="241">
        <v>14938</v>
      </c>
      <c r="C1816" s="478">
        <v>0.1</v>
      </c>
      <c r="D1816" s="259" t="s">
        <v>474</v>
      </c>
      <c r="E1816" s="699">
        <v>1480000</v>
      </c>
      <c r="F1816" s="478">
        <v>0.06</v>
      </c>
      <c r="G1816" s="1342">
        <f t="shared" ref="G1816:G1819" si="91">E1816*F1816</f>
        <v>88800</v>
      </c>
      <c r="H1816" s="997" t="s">
        <v>30</v>
      </c>
      <c r="I1816" s="997" t="s">
        <v>307</v>
      </c>
      <c r="J1816" s="1104"/>
      <c r="K1816" s="241">
        <v>15092</v>
      </c>
      <c r="L1816" s="1376" t="s">
        <v>1272</v>
      </c>
      <c r="M1816" s="143">
        <v>1750000</v>
      </c>
      <c r="N1816" s="232">
        <v>0.05</v>
      </c>
      <c r="O1816" s="178">
        <f>M1816*N1816</f>
        <v>87500</v>
      </c>
    </row>
    <row r="1817" spans="1:15" ht="15.75">
      <c r="A1817" s="1528"/>
      <c r="B1817" s="241">
        <v>14913</v>
      </c>
      <c r="C1817" s="1206">
        <v>0.1</v>
      </c>
      <c r="D1817" s="243" t="s">
        <v>1249</v>
      </c>
      <c r="E1817" s="1044">
        <v>1300000</v>
      </c>
      <c r="F1817" s="1119">
        <v>0.05</v>
      </c>
      <c r="G1817" s="1342">
        <f t="shared" si="91"/>
        <v>65000</v>
      </c>
      <c r="H1817" s="1121" t="s">
        <v>311</v>
      </c>
      <c r="I1817" s="1120" t="s">
        <v>307</v>
      </c>
      <c r="J1817" s="1132"/>
      <c r="K1817" s="27"/>
      <c r="L1817" s="1253"/>
      <c r="M1817" s="27"/>
      <c r="N1817" s="27"/>
      <c r="O1817" s="27"/>
    </row>
    <row r="1818" spans="1:15" ht="15.75">
      <c r="A1818" s="1528"/>
      <c r="B1818" s="241">
        <v>15056</v>
      </c>
      <c r="C1818" s="478">
        <v>0.1</v>
      </c>
      <c r="D1818" s="1376" t="s">
        <v>1273</v>
      </c>
      <c r="E1818" s="699">
        <v>1550000</v>
      </c>
      <c r="F1818" s="478">
        <v>0.1</v>
      </c>
      <c r="G1818" s="1342">
        <f t="shared" si="91"/>
        <v>155000</v>
      </c>
      <c r="H1818" s="997" t="s">
        <v>520</v>
      </c>
      <c r="I1818" s="997" t="s">
        <v>100</v>
      </c>
      <c r="J1818" s="1104"/>
      <c r="K1818" s="27"/>
      <c r="L1818" s="1253"/>
      <c r="M1818" s="27"/>
      <c r="N1818" s="27"/>
      <c r="O1818" s="27"/>
    </row>
    <row r="1819" spans="1:15" ht="15.75">
      <c r="A1819" s="1528"/>
      <c r="B1819" s="241">
        <v>15079</v>
      </c>
      <c r="C1819" s="1329">
        <v>0.08</v>
      </c>
      <c r="D1819" s="243" t="s">
        <v>1274</v>
      </c>
      <c r="E1819" s="1044">
        <v>1900000</v>
      </c>
      <c r="F1819" s="1329">
        <v>0.08</v>
      </c>
      <c r="G1819" s="1342">
        <f t="shared" si="91"/>
        <v>152000</v>
      </c>
      <c r="H1819" s="1121" t="s">
        <v>520</v>
      </c>
      <c r="I1819" s="1121" t="s">
        <v>307</v>
      </c>
      <c r="J1819" s="1132"/>
      <c r="K1819" s="235"/>
      <c r="L1819" s="1253"/>
      <c r="M1819" s="27"/>
      <c r="N1819" s="27"/>
      <c r="O1819" s="27"/>
    </row>
    <row r="1820" spans="1:15" ht="15.75">
      <c r="A1820" s="1528"/>
      <c r="B1820" s="814" t="s">
        <v>297</v>
      </c>
      <c r="C1820" s="1417"/>
      <c r="D1820" s="819" t="s">
        <v>1275</v>
      </c>
      <c r="E1820" s="1248"/>
      <c r="F1820" s="1249"/>
      <c r="G1820" s="1418"/>
      <c r="H1820" s="1419" t="s">
        <v>30</v>
      </c>
      <c r="I1820" s="1419" t="s">
        <v>100</v>
      </c>
      <c r="J1820" s="1420" t="s">
        <v>1276</v>
      </c>
      <c r="K1820" s="163"/>
      <c r="L1820" s="1253"/>
      <c r="M1820" s="27"/>
      <c r="N1820" s="27"/>
      <c r="O1820" s="27"/>
    </row>
    <row r="1821" spans="1:15" ht="18">
      <c r="A1821" s="1528"/>
      <c r="B1821" s="814" t="s">
        <v>297</v>
      </c>
      <c r="C1821" s="348"/>
      <c r="D1821" s="819" t="s">
        <v>1277</v>
      </c>
      <c r="E1821" s="749"/>
      <c r="F1821" s="348"/>
      <c r="G1821" s="943"/>
      <c r="H1821" s="1006" t="s">
        <v>520</v>
      </c>
      <c r="I1821" s="1006" t="s">
        <v>1179</v>
      </c>
      <c r="J1821" s="1012" t="s">
        <v>1278</v>
      </c>
      <c r="K1821" s="27"/>
      <c r="L1821" s="1253"/>
      <c r="M1821" s="772" t="s">
        <v>80</v>
      </c>
      <c r="N1821" s="772"/>
      <c r="O1821" s="533">
        <f>SUM(O1814:O1820)</f>
        <v>151500</v>
      </c>
    </row>
    <row r="1822" spans="1:15" ht="18">
      <c r="A1822" s="1528"/>
      <c r="B1822" s="814" t="s">
        <v>297</v>
      </c>
      <c r="C1822" s="348"/>
      <c r="D1822" s="819" t="s">
        <v>1279</v>
      </c>
      <c r="E1822" s="749"/>
      <c r="F1822" s="348"/>
      <c r="G1822" s="943"/>
      <c r="H1822" s="1006" t="s">
        <v>520</v>
      </c>
      <c r="I1822" s="1006" t="s">
        <v>1257</v>
      </c>
      <c r="J1822" s="1012" t="s">
        <v>1280</v>
      </c>
      <c r="K1822" s="27"/>
      <c r="L1822" s="1253"/>
      <c r="M1822" s="772"/>
      <c r="N1822" s="772"/>
      <c r="O1822" s="533"/>
    </row>
    <row r="1823" spans="1:15" ht="20.25">
      <c r="A1823" s="1529"/>
      <c r="B1823" s="263"/>
      <c r="C1823" s="659"/>
      <c r="D1823" s="165"/>
      <c r="E1823" s="1272">
        <f>SUM(E1815:E1822)</f>
        <v>7630000</v>
      </c>
      <c r="F1823" s="659"/>
      <c r="G1823" s="895">
        <f>SUM(G1815:G1822)</f>
        <v>572800</v>
      </c>
      <c r="H1823" s="999"/>
      <c r="I1823" s="1093"/>
      <c r="J1823" s="1134"/>
      <c r="K1823" s="27"/>
      <c r="L1823" s="27"/>
      <c r="M1823" s="906" t="s">
        <v>80</v>
      </c>
      <c r="N1823" s="906"/>
      <c r="O1823" s="869">
        <f>G1823+O1821</f>
        <v>724300</v>
      </c>
    </row>
    <row r="1824" spans="1:15">
      <c r="A1824" s="1543"/>
      <c r="B1824" s="1544"/>
      <c r="C1824" s="1544"/>
      <c r="D1824" s="1544"/>
      <c r="E1824" s="1544"/>
      <c r="F1824" s="1544"/>
      <c r="G1824" s="1544"/>
      <c r="H1824" s="1544"/>
      <c r="I1824" s="1544"/>
      <c r="J1824" s="1544"/>
      <c r="K1824" s="1544"/>
      <c r="L1824" s="1544"/>
      <c r="M1824" s="1544"/>
      <c r="N1824" s="1544"/>
      <c r="O1824" s="1544"/>
    </row>
    <row r="1825" spans="1:15">
      <c r="A1825" s="1543"/>
      <c r="B1825" s="1544"/>
      <c r="C1825" s="1544"/>
      <c r="D1825" s="1544"/>
      <c r="E1825" s="1544"/>
      <c r="F1825" s="1544"/>
      <c r="G1825" s="1544"/>
      <c r="H1825" s="1544"/>
      <c r="I1825" s="1544"/>
      <c r="J1825" s="1544"/>
      <c r="K1825" s="1544"/>
      <c r="L1825" s="1544"/>
      <c r="M1825" s="1544"/>
      <c r="N1825" s="1544"/>
      <c r="O1825" s="1544"/>
    </row>
    <row r="1826" spans="1:15" ht="23.25">
      <c r="A1826" s="1539" t="s">
        <v>1075</v>
      </c>
      <c r="B1826" s="1540"/>
      <c r="C1826" s="1540"/>
      <c r="D1826" s="1540"/>
      <c r="E1826" s="1540"/>
      <c r="F1826" s="1540"/>
      <c r="G1826" s="1540"/>
      <c r="H1826" s="1540"/>
      <c r="I1826" s="1540"/>
      <c r="J1826" s="1540"/>
      <c r="K1826" s="1533" t="s">
        <v>2</v>
      </c>
      <c r="L1826" s="1533"/>
      <c r="M1826" s="1533"/>
      <c r="N1826" s="1533"/>
      <c r="O1826" s="1533"/>
    </row>
    <row r="1827" spans="1:15" ht="30.75">
      <c r="A1827" s="126" t="s">
        <v>3</v>
      </c>
      <c r="B1827" s="3" t="s">
        <v>120</v>
      </c>
      <c r="C1827" s="2" t="s">
        <v>4</v>
      </c>
      <c r="D1827" s="3" t="s">
        <v>5</v>
      </c>
      <c r="E1827" s="3" t="s">
        <v>6</v>
      </c>
      <c r="F1827" s="3" t="s">
        <v>7</v>
      </c>
      <c r="G1827" s="3" t="s">
        <v>8</v>
      </c>
      <c r="H1827" s="3" t="s">
        <v>9</v>
      </c>
      <c r="I1827" s="3" t="s">
        <v>10</v>
      </c>
      <c r="J1827" s="3" t="s">
        <v>11</v>
      </c>
      <c r="K1827" s="657" t="s">
        <v>12</v>
      </c>
      <c r="L1827" s="68" t="s">
        <v>5</v>
      </c>
      <c r="M1827" s="68" t="s">
        <v>13</v>
      </c>
      <c r="N1827" s="129" t="s">
        <v>7</v>
      </c>
      <c r="O1827" s="68" t="s">
        <v>14</v>
      </c>
    </row>
    <row r="1828" spans="1:15" ht="15.75">
      <c r="A1828" s="1538" t="s">
        <v>1281</v>
      </c>
      <c r="B1828" s="241">
        <v>14870</v>
      </c>
      <c r="C1828" s="140">
        <v>0.08</v>
      </c>
      <c r="D1828" s="1376" t="s">
        <v>1282</v>
      </c>
      <c r="E1828" s="143">
        <v>900000</v>
      </c>
      <c r="F1828" s="234">
        <v>0.03</v>
      </c>
      <c r="G1828" s="1342">
        <f>E1828*F1828</f>
        <v>27000</v>
      </c>
      <c r="H1828" s="241" t="s">
        <v>1095</v>
      </c>
      <c r="I1828" s="241" t="s">
        <v>1179</v>
      </c>
      <c r="J1828" s="241"/>
      <c r="K1828" s="1392">
        <v>14863</v>
      </c>
      <c r="L1828" s="1024" t="s">
        <v>1283</v>
      </c>
      <c r="M1828" s="558">
        <v>1200000</v>
      </c>
      <c r="N1828" s="232">
        <v>0.04</v>
      </c>
      <c r="O1828" s="178">
        <f>M1828*N1828</f>
        <v>48000</v>
      </c>
    </row>
    <row r="1829" spans="1:15" ht="15.75">
      <c r="A1829" s="1538"/>
      <c r="B1829" s="241">
        <v>14871</v>
      </c>
      <c r="C1829" s="478">
        <v>0.1</v>
      </c>
      <c r="D1829" s="243" t="s">
        <v>1284</v>
      </c>
      <c r="E1829" s="143">
        <v>1800000</v>
      </c>
      <c r="F1829" s="231">
        <v>0.08</v>
      </c>
      <c r="G1829" s="1342">
        <f t="shared" ref="G1829:G1836" si="92">E1829*F1829</f>
        <v>144000</v>
      </c>
      <c r="H1829" s="241" t="s">
        <v>1015</v>
      </c>
      <c r="I1829" s="241" t="s">
        <v>307</v>
      </c>
      <c r="J1829" s="241"/>
      <c r="K1829" s="241">
        <v>14899</v>
      </c>
      <c r="L1829" s="1057" t="s">
        <v>1285</v>
      </c>
      <c r="M1829" s="143">
        <v>1150000</v>
      </c>
      <c r="N1829" s="232">
        <v>0.04</v>
      </c>
      <c r="O1829" s="178">
        <f t="shared" ref="O1829:O1830" si="93">M1829*N1829</f>
        <v>46000</v>
      </c>
    </row>
    <row r="1830" spans="1:15" ht="15.75">
      <c r="A1830" s="1538"/>
      <c r="B1830" s="241">
        <v>14912</v>
      </c>
      <c r="C1830" s="478">
        <v>0.1</v>
      </c>
      <c r="D1830" s="1376" t="s">
        <v>1286</v>
      </c>
      <c r="E1830" s="143">
        <v>1000000</v>
      </c>
      <c r="F1830" s="231">
        <v>0.08</v>
      </c>
      <c r="G1830" s="1342">
        <f t="shared" si="92"/>
        <v>80000</v>
      </c>
      <c r="H1830" s="241" t="s">
        <v>1015</v>
      </c>
      <c r="I1830" s="241" t="s">
        <v>307</v>
      </c>
      <c r="J1830" s="1350"/>
      <c r="K1830" s="241">
        <v>15083</v>
      </c>
      <c r="L1830" s="1232" t="s">
        <v>1287</v>
      </c>
      <c r="M1830" s="143">
        <v>1150000</v>
      </c>
      <c r="N1830" s="232">
        <v>0.04</v>
      </c>
      <c r="O1830" s="178">
        <f t="shared" si="93"/>
        <v>46000</v>
      </c>
    </row>
    <row r="1831" spans="1:15" ht="15.75">
      <c r="A1831" s="1538"/>
      <c r="B1831" s="241">
        <v>14927</v>
      </c>
      <c r="C1831" s="140">
        <v>0.09</v>
      </c>
      <c r="D1831" s="243" t="s">
        <v>1251</v>
      </c>
      <c r="E1831" s="143">
        <v>1800000</v>
      </c>
      <c r="F1831" s="234">
        <v>0.03</v>
      </c>
      <c r="G1831" s="1342">
        <f t="shared" si="92"/>
        <v>54000</v>
      </c>
      <c r="H1831" s="241" t="s">
        <v>311</v>
      </c>
      <c r="I1831" s="241" t="s">
        <v>1179</v>
      </c>
      <c r="J1831" s="1350"/>
      <c r="K1831" s="27"/>
      <c r="L1831" s="27"/>
      <c r="M1831" s="14"/>
      <c r="N1831" s="14"/>
      <c r="O1831" s="14"/>
    </row>
    <row r="1832" spans="1:15" ht="15.75">
      <c r="A1832" s="1538"/>
      <c r="B1832" s="241">
        <v>14934</v>
      </c>
      <c r="C1832" s="478">
        <v>0.1</v>
      </c>
      <c r="D1832" s="1376" t="s">
        <v>1288</v>
      </c>
      <c r="E1832" s="143">
        <v>1400000</v>
      </c>
      <c r="F1832" s="231">
        <v>0.05</v>
      </c>
      <c r="G1832" s="1342">
        <f t="shared" si="92"/>
        <v>70000</v>
      </c>
      <c r="H1832" s="241" t="s">
        <v>30</v>
      </c>
      <c r="I1832" s="241" t="s">
        <v>1179</v>
      </c>
      <c r="J1832" s="1350"/>
      <c r="K1832" s="27"/>
      <c r="L1832" s="27"/>
      <c r="M1832" s="14"/>
      <c r="N1832" s="14"/>
      <c r="O1832" s="14"/>
    </row>
    <row r="1833" spans="1:15" ht="15.75">
      <c r="A1833" s="1538"/>
      <c r="B1833" s="241">
        <v>15002</v>
      </c>
      <c r="C1833" s="478">
        <v>0.1</v>
      </c>
      <c r="D1833" s="243" t="s">
        <v>1289</v>
      </c>
      <c r="E1833" s="143">
        <v>1100000</v>
      </c>
      <c r="F1833" s="534">
        <v>0.08</v>
      </c>
      <c r="G1833" s="1342">
        <f t="shared" si="92"/>
        <v>88000</v>
      </c>
      <c r="H1833" s="238" t="s">
        <v>1015</v>
      </c>
      <c r="I1833" s="241" t="s">
        <v>100</v>
      </c>
      <c r="J1833" s="1350"/>
      <c r="K1833" s="27"/>
      <c r="L1833" s="27"/>
      <c r="M1833" s="14"/>
      <c r="N1833" s="14"/>
      <c r="O1833" s="14"/>
    </row>
    <row r="1834" spans="1:15" ht="15.75">
      <c r="A1834" s="1538"/>
      <c r="B1834" s="241">
        <v>15017</v>
      </c>
      <c r="C1834" s="140">
        <v>0.08</v>
      </c>
      <c r="D1834" s="243" t="s">
        <v>1290</v>
      </c>
      <c r="E1834" s="143">
        <v>1500000</v>
      </c>
      <c r="F1834" s="1370">
        <v>0.04</v>
      </c>
      <c r="G1834" s="1342">
        <f t="shared" si="92"/>
        <v>60000</v>
      </c>
      <c r="H1834" s="238" t="s">
        <v>30</v>
      </c>
      <c r="I1834" s="241" t="s">
        <v>307</v>
      </c>
      <c r="J1834" s="1350"/>
      <c r="K1834" s="27"/>
      <c r="L1834" s="27"/>
      <c r="M1834" s="14"/>
      <c r="N1834" s="14"/>
      <c r="O1834" s="14"/>
    </row>
    <row r="1835" spans="1:15" ht="18">
      <c r="A1835" s="1538"/>
      <c r="B1835" s="241">
        <v>15021</v>
      </c>
      <c r="C1835" s="478">
        <v>0.1</v>
      </c>
      <c r="D1835" s="1232" t="s">
        <v>1291</v>
      </c>
      <c r="E1835" s="143">
        <v>1250000</v>
      </c>
      <c r="F1835" s="231">
        <v>0.08</v>
      </c>
      <c r="G1835" s="1342">
        <f t="shared" si="92"/>
        <v>100000</v>
      </c>
      <c r="H1835" s="241" t="s">
        <v>1015</v>
      </c>
      <c r="I1835" s="241" t="s">
        <v>1179</v>
      </c>
      <c r="J1835" s="1350"/>
      <c r="K1835" s="27"/>
      <c r="L1835" s="27"/>
      <c r="M1835" s="772" t="s">
        <v>80</v>
      </c>
      <c r="N1835" s="772"/>
      <c r="O1835" s="533">
        <f>SUM(O1828:O1834)</f>
        <v>140000</v>
      </c>
    </row>
    <row r="1836" spans="1:15" ht="15.75">
      <c r="A1836" s="1538"/>
      <c r="B1836" s="241">
        <v>15092</v>
      </c>
      <c r="C1836" s="138">
        <v>0.1</v>
      </c>
      <c r="D1836" s="1024" t="s">
        <v>1272</v>
      </c>
      <c r="E1836" s="143">
        <v>1750000</v>
      </c>
      <c r="F1836" s="1436">
        <v>0.04</v>
      </c>
      <c r="G1836" s="619">
        <f t="shared" si="92"/>
        <v>70000</v>
      </c>
      <c r="H1836" s="133" t="s">
        <v>520</v>
      </c>
      <c r="I1836" s="135" t="s">
        <v>1179</v>
      </c>
      <c r="J1836" s="1273"/>
      <c r="K1836" s="27"/>
      <c r="L1836" s="27"/>
      <c r="M1836" s="14"/>
      <c r="N1836" s="14"/>
      <c r="O1836" s="14"/>
    </row>
    <row r="1837" spans="1:15" ht="20.25">
      <c r="A1837" s="1538"/>
      <c r="B1837" s="1319"/>
      <c r="C1837" s="1270"/>
      <c r="D1837" s="1091"/>
      <c r="E1837" s="1110">
        <f>SUM(E1828:E1836)</f>
        <v>12500000</v>
      </c>
      <c r="F1837" s="1091"/>
      <c r="G1837" s="895">
        <f>SUM(G1828:G1836)</f>
        <v>693000</v>
      </c>
      <c r="H1837" s="1091"/>
      <c r="I1837" s="1091"/>
      <c r="J1837" s="1271"/>
      <c r="K1837" s="27"/>
      <c r="L1837" s="27"/>
      <c r="M1837" s="906" t="s">
        <v>80</v>
      </c>
      <c r="N1837" s="906"/>
      <c r="O1837" s="869">
        <f>G1837+O1835</f>
        <v>833000</v>
      </c>
    </row>
    <row r="1840" spans="1:15" ht="23.25">
      <c r="A1840" s="1539" t="s">
        <v>1087</v>
      </c>
      <c r="B1840" s="1540"/>
      <c r="C1840" s="1540"/>
      <c r="D1840" s="1540"/>
      <c r="E1840" s="1540"/>
      <c r="F1840" s="1540"/>
      <c r="G1840" s="1540"/>
      <c r="H1840" s="1540"/>
      <c r="I1840" s="1540"/>
      <c r="J1840" s="1540"/>
      <c r="K1840" s="1555" t="s">
        <v>2</v>
      </c>
      <c r="L1840" s="1533"/>
      <c r="M1840" s="1533"/>
      <c r="N1840" s="1533"/>
      <c r="O1840" s="1533"/>
    </row>
    <row r="1841" spans="1:15" ht="30.75">
      <c r="A1841" s="126" t="s">
        <v>3</v>
      </c>
      <c r="B1841" s="3" t="s">
        <v>120</v>
      </c>
      <c r="C1841" s="2" t="s">
        <v>4</v>
      </c>
      <c r="D1841" s="3" t="s">
        <v>5</v>
      </c>
      <c r="E1841" s="3" t="s">
        <v>6</v>
      </c>
      <c r="F1841" s="3" t="s">
        <v>7</v>
      </c>
      <c r="G1841" s="3" t="s">
        <v>8</v>
      </c>
      <c r="H1841" s="3" t="s">
        <v>9</v>
      </c>
      <c r="I1841" s="3" t="s">
        <v>10</v>
      </c>
      <c r="J1841" s="1283" t="s">
        <v>11</v>
      </c>
      <c r="K1841" s="3" t="s">
        <v>12</v>
      </c>
      <c r="L1841" s="657" t="s">
        <v>5</v>
      </c>
      <c r="M1841" s="68" t="s">
        <v>13</v>
      </c>
      <c r="N1841" s="129" t="s">
        <v>7</v>
      </c>
      <c r="O1841" s="68" t="s">
        <v>14</v>
      </c>
    </row>
    <row r="1842" spans="1:15" ht="15.75">
      <c r="A1842" s="1538" t="s">
        <v>466</v>
      </c>
      <c r="B1842" s="241">
        <v>14863</v>
      </c>
      <c r="C1842" s="478">
        <v>0.1</v>
      </c>
      <c r="D1842" s="1376" t="s">
        <v>1283</v>
      </c>
      <c r="E1842" s="143">
        <v>1200000</v>
      </c>
      <c r="F1842" s="779">
        <v>0.04</v>
      </c>
      <c r="G1842" s="619">
        <f>E1842*F1842</f>
        <v>48000</v>
      </c>
      <c r="H1842" s="241" t="s">
        <v>1015</v>
      </c>
      <c r="I1842" s="241" t="s">
        <v>1179</v>
      </c>
      <c r="J1842" s="1274"/>
      <c r="K1842" s="241">
        <v>15053</v>
      </c>
      <c r="L1842" s="1024" t="s">
        <v>1292</v>
      </c>
      <c r="M1842" s="143">
        <v>2300000</v>
      </c>
      <c r="N1842" s="232">
        <v>0.04</v>
      </c>
      <c r="O1842" s="178">
        <f>M1842*N1842</f>
        <v>92000</v>
      </c>
    </row>
    <row r="1843" spans="1:15" ht="15.75">
      <c r="A1843" s="1538"/>
      <c r="B1843" s="241">
        <v>14899</v>
      </c>
      <c r="C1843" s="478">
        <v>0.1</v>
      </c>
      <c r="D1843" s="1057" t="s">
        <v>1285</v>
      </c>
      <c r="E1843" s="143">
        <v>1150000</v>
      </c>
      <c r="F1843" s="779">
        <v>0.04</v>
      </c>
      <c r="G1843" s="619">
        <f t="shared" ref="G1843:G1849" si="94">E1843*F1843</f>
        <v>46000</v>
      </c>
      <c r="H1843" s="241" t="s">
        <v>1015</v>
      </c>
      <c r="I1843" s="241" t="s">
        <v>1179</v>
      </c>
      <c r="J1843" s="1274"/>
      <c r="K1843" s="27"/>
      <c r="L1843" s="27"/>
      <c r="M1843" s="14"/>
      <c r="N1843" s="14"/>
      <c r="O1843" s="14"/>
    </row>
    <row r="1844" spans="1:15" ht="15.75">
      <c r="A1844" s="1538"/>
      <c r="B1844" s="241">
        <v>14917</v>
      </c>
      <c r="C1844" s="478">
        <v>0.1</v>
      </c>
      <c r="D1844" s="1057" t="s">
        <v>1293</v>
      </c>
      <c r="E1844" s="143">
        <v>1850000</v>
      </c>
      <c r="F1844" s="779">
        <v>0.08</v>
      </c>
      <c r="G1844" s="619">
        <f t="shared" si="94"/>
        <v>148000</v>
      </c>
      <c r="H1844" s="241" t="s">
        <v>1090</v>
      </c>
      <c r="I1844" s="241" t="s">
        <v>1179</v>
      </c>
      <c r="J1844" s="1274"/>
      <c r="K1844" s="27"/>
      <c r="L1844" s="27"/>
      <c r="M1844" s="14"/>
      <c r="N1844" s="14"/>
      <c r="O1844" s="14"/>
    </row>
    <row r="1845" spans="1:15" ht="15.75">
      <c r="A1845" s="1538"/>
      <c r="B1845" s="241">
        <v>14919</v>
      </c>
      <c r="C1845" s="140">
        <v>0.08</v>
      </c>
      <c r="D1845" s="1397" t="s">
        <v>1294</v>
      </c>
      <c r="E1845" s="143">
        <v>1400000</v>
      </c>
      <c r="F1845" s="234">
        <v>0.06</v>
      </c>
      <c r="G1845" s="619">
        <f t="shared" si="94"/>
        <v>84000</v>
      </c>
      <c r="H1845" s="241" t="s">
        <v>1090</v>
      </c>
      <c r="I1845" s="241" t="s">
        <v>1179</v>
      </c>
      <c r="J1845" s="1274"/>
      <c r="K1845" s="27"/>
      <c r="L1845" s="27"/>
      <c r="M1845" s="14"/>
      <c r="N1845" s="14"/>
      <c r="O1845" s="14"/>
    </row>
    <row r="1846" spans="1:15" ht="15.75">
      <c r="A1846" s="1538"/>
      <c r="B1846" s="241">
        <v>14944</v>
      </c>
      <c r="C1846" s="478">
        <v>0.1</v>
      </c>
      <c r="D1846" s="243" t="s">
        <v>1253</v>
      </c>
      <c r="E1846" s="143">
        <v>1100000</v>
      </c>
      <c r="F1846" s="779">
        <v>0.04</v>
      </c>
      <c r="G1846" s="619">
        <f t="shared" si="94"/>
        <v>44000</v>
      </c>
      <c r="H1846" s="241" t="s">
        <v>311</v>
      </c>
      <c r="I1846" s="241" t="s">
        <v>100</v>
      </c>
      <c r="J1846" s="1274"/>
      <c r="K1846" s="27"/>
      <c r="L1846" s="27"/>
      <c r="M1846" s="14"/>
      <c r="N1846" s="14"/>
      <c r="O1846" s="14"/>
    </row>
    <row r="1847" spans="1:15" ht="15.75">
      <c r="A1847" s="1538"/>
      <c r="B1847" s="241">
        <v>15029</v>
      </c>
      <c r="C1847" s="478">
        <v>0.1</v>
      </c>
      <c r="D1847" s="1232" t="s">
        <v>1295</v>
      </c>
      <c r="E1847" s="143">
        <v>1400000</v>
      </c>
      <c r="F1847" s="779">
        <v>0.05</v>
      </c>
      <c r="G1847" s="619">
        <f t="shared" si="94"/>
        <v>70000</v>
      </c>
      <c r="H1847" s="257" t="s">
        <v>30</v>
      </c>
      <c r="I1847" s="257" t="s">
        <v>100</v>
      </c>
      <c r="J1847" s="1353"/>
      <c r="K1847" s="27"/>
      <c r="L1847" s="27"/>
      <c r="M1847" s="14"/>
      <c r="N1847" s="14"/>
      <c r="O1847" s="14"/>
    </row>
    <row r="1848" spans="1:15" ht="15.75">
      <c r="A1848" s="1538"/>
      <c r="B1848" s="241">
        <v>15083</v>
      </c>
      <c r="C1848" s="478">
        <v>0.1</v>
      </c>
      <c r="D1848" s="1232" t="s">
        <v>1296</v>
      </c>
      <c r="E1848" s="143">
        <v>1150000</v>
      </c>
      <c r="F1848" s="1423">
        <v>0.04</v>
      </c>
      <c r="G1848" s="619">
        <f t="shared" si="94"/>
        <v>46000</v>
      </c>
      <c r="H1848" s="135" t="s">
        <v>1015</v>
      </c>
      <c r="I1848" s="135" t="s">
        <v>1179</v>
      </c>
      <c r="J1848" s="1424"/>
      <c r="K1848" s="27"/>
      <c r="L1848" s="27"/>
      <c r="M1848" s="14"/>
      <c r="N1848" s="14"/>
      <c r="O1848" s="14"/>
    </row>
    <row r="1849" spans="1:15" ht="15.75">
      <c r="A1849" s="1538"/>
      <c r="B1849" s="241">
        <v>15081</v>
      </c>
      <c r="C1849" s="478">
        <v>0.1</v>
      </c>
      <c r="D1849" s="1232" t="s">
        <v>1297</v>
      </c>
      <c r="E1849" s="766">
        <v>1200000</v>
      </c>
      <c r="F1849" s="779">
        <v>0.08</v>
      </c>
      <c r="G1849" s="619">
        <f t="shared" si="94"/>
        <v>96000</v>
      </c>
      <c r="H1849" s="135" t="s">
        <v>1090</v>
      </c>
      <c r="I1849" s="135" t="s">
        <v>1179</v>
      </c>
      <c r="J1849" s="1424"/>
      <c r="K1849" s="27"/>
      <c r="L1849" s="27"/>
      <c r="M1849" s="14"/>
      <c r="N1849" s="14"/>
      <c r="O1849" s="14"/>
    </row>
    <row r="1850" spans="1:15" ht="18">
      <c r="A1850" s="1538"/>
      <c r="B1850" s="209" t="s">
        <v>297</v>
      </c>
      <c r="C1850" s="348"/>
      <c r="D1850" s="1255" t="s">
        <v>1298</v>
      </c>
      <c r="E1850" s="1422"/>
      <c r="F1850" s="877"/>
      <c r="G1850" s="1349"/>
      <c r="H1850" s="814"/>
      <c r="I1850" s="814"/>
      <c r="J1850" s="1401" t="s">
        <v>1299</v>
      </c>
      <c r="K1850" s="27"/>
      <c r="L1850" s="27"/>
      <c r="M1850" s="772" t="s">
        <v>80</v>
      </c>
      <c r="N1850" s="772"/>
      <c r="O1850" s="533">
        <f>SUM(O1842:O1844)</f>
        <v>92000</v>
      </c>
    </row>
    <row r="1851" spans="1:15" ht="15.75">
      <c r="A1851" s="1538"/>
      <c r="B1851" s="814" t="s">
        <v>297</v>
      </c>
      <c r="C1851" s="1417">
        <v>0.09</v>
      </c>
      <c r="D1851" s="819" t="s">
        <v>1300</v>
      </c>
      <c r="E1851" s="1430"/>
      <c r="F1851" s="348"/>
      <c r="G1851" s="1431"/>
      <c r="H1851" s="1011" t="s">
        <v>520</v>
      </c>
      <c r="I1851" s="1011" t="s">
        <v>100</v>
      </c>
      <c r="J1851" s="1432" t="s">
        <v>1301</v>
      </c>
      <c r="K1851" s="27"/>
      <c r="L1851" s="27"/>
      <c r="M1851" s="14"/>
      <c r="N1851" s="14"/>
      <c r="O1851" s="14"/>
    </row>
    <row r="1852" spans="1:15" ht="20.25">
      <c r="A1852" s="1538"/>
      <c r="B1852" s="1319"/>
      <c r="C1852" s="1270"/>
      <c r="D1852" s="1091"/>
      <c r="E1852" s="1110">
        <f>SUM(E1842:E1851)</f>
        <v>10450000</v>
      </c>
      <c r="F1852" s="1091"/>
      <c r="G1852" s="332">
        <f>SUM(G1842:G1851)</f>
        <v>582000</v>
      </c>
      <c r="H1852" s="1091"/>
      <c r="I1852" s="1091"/>
      <c r="J1852" s="1271"/>
      <c r="K1852" s="27"/>
      <c r="L1852" s="27"/>
      <c r="M1852" s="906" t="s">
        <v>80</v>
      </c>
      <c r="N1852" s="906"/>
      <c r="O1852" s="869">
        <f>G1852+O1850</f>
        <v>674000</v>
      </c>
    </row>
    <row r="1855" spans="1:15" ht="23.25">
      <c r="A1855" s="1539" t="s">
        <v>1093</v>
      </c>
      <c r="B1855" s="1540"/>
      <c r="C1855" s="1540"/>
      <c r="D1855" s="1540"/>
      <c r="E1855" s="1540"/>
      <c r="F1855" s="1540"/>
      <c r="G1855" s="1540"/>
      <c r="H1855" s="1540"/>
      <c r="I1855" s="1540"/>
      <c r="J1855" s="1540"/>
      <c r="K1855" s="1555" t="s">
        <v>2</v>
      </c>
      <c r="L1855" s="1555"/>
      <c r="M1855" s="1533"/>
      <c r="N1855" s="1533"/>
      <c r="O1855" s="1533"/>
    </row>
    <row r="1856" spans="1:15" ht="30.75">
      <c r="A1856" s="126" t="s">
        <v>3</v>
      </c>
      <c r="B1856" s="3" t="s">
        <v>120</v>
      </c>
      <c r="C1856" s="2" t="s">
        <v>4</v>
      </c>
      <c r="D1856" s="3" t="s">
        <v>5</v>
      </c>
      <c r="E1856" s="3" t="s">
        <v>6</v>
      </c>
      <c r="F1856" s="3" t="s">
        <v>7</v>
      </c>
      <c r="G1856" s="3" t="s">
        <v>8</v>
      </c>
      <c r="H1856" s="3" t="s">
        <v>9</v>
      </c>
      <c r="I1856" s="3" t="s">
        <v>10</v>
      </c>
      <c r="J1856" s="1283" t="s">
        <v>11</v>
      </c>
      <c r="K1856" s="3" t="s">
        <v>12</v>
      </c>
      <c r="L1856" s="1359" t="s">
        <v>5</v>
      </c>
      <c r="M1856" s="657" t="s">
        <v>13</v>
      </c>
      <c r="N1856" s="129" t="s">
        <v>7</v>
      </c>
      <c r="O1856" s="68" t="s">
        <v>14</v>
      </c>
    </row>
    <row r="1857" spans="1:15" ht="15.75">
      <c r="A1857" s="1538" t="s">
        <v>1302</v>
      </c>
      <c r="B1857" s="241">
        <v>14876</v>
      </c>
      <c r="C1857" s="1207">
        <v>0.1</v>
      </c>
      <c r="D1857" s="1057" t="s">
        <v>1303</v>
      </c>
      <c r="E1857" s="143">
        <v>1450000</v>
      </c>
      <c r="F1857" s="779">
        <v>0.08</v>
      </c>
      <c r="G1857" s="535">
        <f>E1857*F1857</f>
        <v>116000</v>
      </c>
      <c r="H1857" s="241" t="s">
        <v>1095</v>
      </c>
      <c r="I1857" s="241" t="s">
        <v>242</v>
      </c>
      <c r="J1857" s="1274"/>
      <c r="K1857" s="135">
        <v>14971</v>
      </c>
      <c r="L1857" s="1250" t="s">
        <v>1258</v>
      </c>
      <c r="M1857" s="1044">
        <v>1600000</v>
      </c>
      <c r="N1857" s="232">
        <v>0.04</v>
      </c>
      <c r="O1857" s="178">
        <f>M1857*N1857</f>
        <v>64000</v>
      </c>
    </row>
    <row r="1858" spans="1:15" ht="15.75">
      <c r="A1858" s="1538"/>
      <c r="B1858" s="241">
        <v>14951</v>
      </c>
      <c r="C1858" s="1207">
        <v>0.1</v>
      </c>
      <c r="D1858" s="1232" t="s">
        <v>1304</v>
      </c>
      <c r="E1858" s="143">
        <v>1450000</v>
      </c>
      <c r="F1858" s="779">
        <v>0.08</v>
      </c>
      <c r="G1858" s="535">
        <f t="shared" ref="G1858:G1860" si="95">E1858*F1858</f>
        <v>116000</v>
      </c>
      <c r="H1858" s="241" t="s">
        <v>1095</v>
      </c>
      <c r="I1858" s="241" t="s">
        <v>100</v>
      </c>
      <c r="J1858" s="1274"/>
      <c r="K1858" s="241">
        <v>14870</v>
      </c>
      <c r="L1858" s="1376" t="s">
        <v>1282</v>
      </c>
      <c r="M1858" s="143">
        <v>900000</v>
      </c>
      <c r="N1858" s="1356">
        <v>0.03</v>
      </c>
      <c r="O1858" s="178">
        <f>M1858*N1858</f>
        <v>27000</v>
      </c>
    </row>
    <row r="1859" spans="1:15" ht="15.75">
      <c r="A1859" s="1538"/>
      <c r="B1859" s="241">
        <v>15074</v>
      </c>
      <c r="C1859" s="1207">
        <v>0.1</v>
      </c>
      <c r="D1859" s="1232" t="s">
        <v>1305</v>
      </c>
      <c r="E1859" s="143">
        <v>1350000</v>
      </c>
      <c r="F1859" s="779">
        <v>0.08</v>
      </c>
      <c r="G1859" s="535">
        <f t="shared" si="95"/>
        <v>108000</v>
      </c>
      <c r="H1859" s="241" t="s">
        <v>1095</v>
      </c>
      <c r="I1859" s="241" t="s">
        <v>1179</v>
      </c>
      <c r="J1859" s="1274"/>
      <c r="K1859" s="27"/>
      <c r="L1859" s="1091"/>
      <c r="M1859" s="14"/>
      <c r="N1859" s="14"/>
      <c r="O1859" s="14"/>
    </row>
    <row r="1860" spans="1:15" ht="15.75">
      <c r="A1860" s="1538"/>
      <c r="B1860" s="241">
        <v>15108</v>
      </c>
      <c r="C1860" s="1357">
        <v>0.09</v>
      </c>
      <c r="D1860" s="1232" t="s">
        <v>1306</v>
      </c>
      <c r="E1860" s="143">
        <v>1400000</v>
      </c>
      <c r="F1860" s="234">
        <v>0.06</v>
      </c>
      <c r="G1860" s="535">
        <f t="shared" si="95"/>
        <v>84000</v>
      </c>
      <c r="H1860" s="241" t="s">
        <v>1095</v>
      </c>
      <c r="I1860" s="241" t="s">
        <v>100</v>
      </c>
      <c r="J1860" s="1274"/>
      <c r="K1860" s="27"/>
      <c r="L1860" s="27"/>
      <c r="M1860" s="14"/>
      <c r="N1860" s="14"/>
      <c r="O1860" s="14"/>
    </row>
    <row r="1861" spans="1:15" ht="15.75">
      <c r="A1861" s="1538"/>
      <c r="B1861" s="209" t="s">
        <v>297</v>
      </c>
      <c r="C1861" s="1403"/>
      <c r="D1861" s="1255" t="s">
        <v>1307</v>
      </c>
      <c r="E1861" s="308"/>
      <c r="F1861" s="877"/>
      <c r="G1861" s="1124"/>
      <c r="H1861" s="209" t="s">
        <v>1095</v>
      </c>
      <c r="I1861" s="209" t="s">
        <v>1179</v>
      </c>
      <c r="J1861" s="1310" t="s">
        <v>1308</v>
      </c>
      <c r="K1861" s="27"/>
      <c r="L1861" s="27"/>
      <c r="M1861" s="14"/>
      <c r="N1861" s="14"/>
      <c r="O1861" s="14"/>
    </row>
    <row r="1862" spans="1:15" ht="18">
      <c r="A1862" s="1538"/>
      <c r="B1862" s="209" t="s">
        <v>297</v>
      </c>
      <c r="C1862" s="1211"/>
      <c r="D1862" s="819" t="s">
        <v>1309</v>
      </c>
      <c r="E1862" s="308"/>
      <c r="F1862" s="877"/>
      <c r="G1862" s="1124"/>
      <c r="H1862" s="209"/>
      <c r="I1862" s="209"/>
      <c r="J1862" s="1310" t="s">
        <v>1310</v>
      </c>
      <c r="K1862" s="27"/>
      <c r="L1862" s="27"/>
      <c r="M1862" s="772" t="s">
        <v>80</v>
      </c>
      <c r="N1862" s="772"/>
      <c r="O1862" s="533">
        <f>SUM(O1857:O1861)</f>
        <v>91000</v>
      </c>
    </row>
    <row r="1863" spans="1:15" ht="15.75">
      <c r="A1863" s="1538"/>
      <c r="B1863" s="209" t="s">
        <v>297</v>
      </c>
      <c r="C1863" s="1211"/>
      <c r="D1863" s="1255" t="s">
        <v>1311</v>
      </c>
      <c r="E1863" s="308"/>
      <c r="F1863" s="877"/>
      <c r="G1863" s="1124"/>
      <c r="H1863" s="209"/>
      <c r="I1863" s="209"/>
      <c r="J1863" s="1310" t="s">
        <v>1308</v>
      </c>
      <c r="K1863" s="27"/>
      <c r="L1863" s="27"/>
      <c r="M1863" s="14"/>
      <c r="N1863" s="14"/>
      <c r="O1863" s="14"/>
    </row>
    <row r="1864" spans="1:15" ht="20.25">
      <c r="A1864" s="1538"/>
      <c r="B1864" s="1319"/>
      <c r="C1864" s="1270"/>
      <c r="D1864" s="1091"/>
      <c r="E1864" s="1110">
        <f>SUM(E1857:E1863)</f>
        <v>5650000</v>
      </c>
      <c r="F1864" s="1091"/>
      <c r="G1864" s="332">
        <f>SUM(G1857:G1863)</f>
        <v>424000</v>
      </c>
      <c r="H1864" s="1091"/>
      <c r="I1864" s="1091"/>
      <c r="J1864" s="1271"/>
      <c r="K1864" s="27"/>
      <c r="L1864" s="27"/>
      <c r="M1864" s="906" t="s">
        <v>80</v>
      </c>
      <c r="N1864" s="906"/>
      <c r="O1864" s="869">
        <f>G1864+O1862</f>
        <v>515000</v>
      </c>
    </row>
    <row r="1868" spans="1:15" ht="23.25">
      <c r="A1868" s="1530" t="s">
        <v>1097</v>
      </c>
      <c r="B1868" s="1531"/>
      <c r="C1868" s="1532"/>
      <c r="D1868" s="1531"/>
      <c r="E1868" s="1531"/>
      <c r="F1868" s="1531"/>
      <c r="G1868" s="1531"/>
      <c r="H1868" s="1532"/>
      <c r="I1868" s="1532"/>
      <c r="J1868" s="1532"/>
      <c r="K1868" s="1533" t="s">
        <v>2</v>
      </c>
      <c r="L1868" s="1533"/>
      <c r="M1868" s="1533"/>
      <c r="N1868" s="1533"/>
      <c r="O1868" s="1533"/>
    </row>
    <row r="1869" spans="1:15" ht="30.75">
      <c r="A1869" s="126" t="s">
        <v>3</v>
      </c>
      <c r="B1869" s="1" t="s">
        <v>120</v>
      </c>
      <c r="C1869" s="367" t="s">
        <v>4</v>
      </c>
      <c r="D1869" s="1" t="s">
        <v>5</v>
      </c>
      <c r="E1869" s="1" t="s">
        <v>6</v>
      </c>
      <c r="F1869" s="1" t="s">
        <v>7</v>
      </c>
      <c r="G1869" s="1" t="s">
        <v>8</v>
      </c>
      <c r="H1869" s="361" t="s">
        <v>9</v>
      </c>
      <c r="I1869" s="1" t="s">
        <v>10</v>
      </c>
      <c r="J1869" s="126" t="s">
        <v>11</v>
      </c>
      <c r="K1869" s="3" t="s">
        <v>12</v>
      </c>
      <c r="L1869" s="3" t="s">
        <v>5</v>
      </c>
      <c r="M1869" s="3" t="s">
        <v>13</v>
      </c>
      <c r="N1869" s="1" t="s">
        <v>7</v>
      </c>
      <c r="O1869" s="1" t="s">
        <v>14</v>
      </c>
    </row>
    <row r="1870" spans="1:15" ht="15.75" customHeight="1">
      <c r="A1870" s="1538" t="s">
        <v>151</v>
      </c>
      <c r="B1870" s="209" t="s">
        <v>297</v>
      </c>
      <c r="C1870" s="1211"/>
      <c r="D1870" s="1255" t="s">
        <v>1312</v>
      </c>
      <c r="E1870" s="1411"/>
      <c r="F1870" s="1412"/>
      <c r="G1870" s="1413"/>
      <c r="H1870" s="1410"/>
      <c r="I1870" s="1410"/>
      <c r="J1870" s="1414" t="s">
        <v>1313</v>
      </c>
      <c r="K1870" s="163"/>
      <c r="L1870" s="165"/>
      <c r="M1870" s="1101"/>
      <c r="N1870" s="27"/>
      <c r="O1870" s="27"/>
    </row>
    <row r="1871" spans="1:15" ht="15.75" customHeight="1">
      <c r="A1871" s="1538"/>
      <c r="B1871" s="209" t="s">
        <v>1314</v>
      </c>
      <c r="C1871" s="1211"/>
      <c r="D1871" s="1255" t="s">
        <v>1315</v>
      </c>
      <c r="E1871" s="1411"/>
      <c r="F1871" s="1412"/>
      <c r="G1871" s="1413"/>
      <c r="H1871" s="1410"/>
      <c r="I1871" s="1410"/>
      <c r="J1871" s="1414" t="s">
        <v>1316</v>
      </c>
      <c r="K1871" s="263"/>
      <c r="L1871" s="165"/>
      <c r="M1871" s="1101"/>
      <c r="N1871" s="959"/>
      <c r="O1871" s="959"/>
    </row>
    <row r="1872" spans="1:15" ht="15.75" customHeight="1">
      <c r="A1872" s="1538"/>
      <c r="B1872" s="235"/>
      <c r="C1872" s="1323"/>
      <c r="D1872" s="1324"/>
      <c r="E1872" s="1325"/>
      <c r="F1872" s="1325"/>
      <c r="G1872" s="1323"/>
      <c r="H1872" s="235"/>
      <c r="I1872" s="235"/>
      <c r="J1872" s="1325"/>
      <c r="K1872" s="263"/>
      <c r="L1872" s="165"/>
      <c r="M1872" s="1101"/>
      <c r="N1872" s="959"/>
      <c r="O1872" s="959"/>
    </row>
    <row r="1873" spans="1:15" ht="15.75" customHeight="1">
      <c r="A1873" s="1538"/>
      <c r="B1873" s="71"/>
      <c r="C1873" s="71"/>
      <c r="D1873" s="14"/>
      <c r="E1873" s="332">
        <f>SUM(E1870:E1872)</f>
        <v>0</v>
      </c>
      <c r="F1873" s="14"/>
      <c r="G1873" s="71"/>
      <c r="H1873" s="14"/>
      <c r="I1873" s="14"/>
      <c r="J1873" s="14"/>
      <c r="K1873" s="263"/>
      <c r="L1873" s="165"/>
      <c r="M1873" s="884"/>
      <c r="N1873" s="27"/>
      <c r="O1873" s="27"/>
    </row>
    <row r="1874" spans="1:15" ht="15.75">
      <c r="L1874" s="1045" t="s">
        <v>80</v>
      </c>
      <c r="M1874" s="539">
        <f>SUM(M1870:M1873)</f>
        <v>0</v>
      </c>
    </row>
    <row r="1876" spans="1:15" ht="23.25">
      <c r="A1876" s="1530" t="s">
        <v>274</v>
      </c>
      <c r="B1876" s="1531"/>
      <c r="C1876" s="1532"/>
      <c r="D1876" s="1531"/>
      <c r="E1876" s="1531"/>
      <c r="F1876" s="1531"/>
      <c r="G1876" s="1531"/>
      <c r="H1876" s="1532"/>
      <c r="I1876" s="1532"/>
      <c r="J1876" s="1532"/>
      <c r="K1876" s="1533" t="s">
        <v>2</v>
      </c>
      <c r="L1876" s="1533"/>
      <c r="M1876" s="1533"/>
      <c r="N1876" s="1533"/>
      <c r="O1876" s="1533"/>
    </row>
    <row r="1877" spans="1:15" ht="30.75">
      <c r="A1877" s="126" t="s">
        <v>3</v>
      </c>
      <c r="B1877" s="1" t="s">
        <v>120</v>
      </c>
      <c r="C1877" s="367" t="s">
        <v>4</v>
      </c>
      <c r="D1877" s="1" t="s">
        <v>5</v>
      </c>
      <c r="E1877" s="1" t="s">
        <v>6</v>
      </c>
      <c r="F1877" s="1" t="s">
        <v>7</v>
      </c>
      <c r="G1877" s="1" t="s">
        <v>8</v>
      </c>
      <c r="H1877" s="361" t="s">
        <v>9</v>
      </c>
      <c r="I1877" s="1" t="s">
        <v>10</v>
      </c>
      <c r="J1877" s="126" t="s">
        <v>11</v>
      </c>
      <c r="K1877" s="3" t="s">
        <v>12</v>
      </c>
      <c r="L1877" s="3" t="s">
        <v>5</v>
      </c>
      <c r="M1877" s="3" t="s">
        <v>13</v>
      </c>
      <c r="N1877" s="1" t="s">
        <v>7</v>
      </c>
      <c r="O1877" s="1" t="s">
        <v>14</v>
      </c>
    </row>
    <row r="1878" spans="1:15" ht="15.75">
      <c r="A1878" s="1631"/>
      <c r="B1878" s="211" t="s">
        <v>297</v>
      </c>
      <c r="C1878" s="348">
        <v>0.1</v>
      </c>
      <c r="D1878" s="819" t="s">
        <v>1317</v>
      </c>
      <c r="E1878" s="1248"/>
      <c r="F1878" s="1402"/>
      <c r="G1878" s="1349"/>
      <c r="H1878" s="1402"/>
      <c r="I1878" s="209"/>
      <c r="J1878" s="1421" t="s">
        <v>1318</v>
      </c>
      <c r="K1878" s="163"/>
      <c r="L1878" s="165"/>
      <c r="M1878" s="1101"/>
      <c r="N1878" s="27"/>
      <c r="O1878" s="27"/>
    </row>
    <row r="1879" spans="1:15" ht="15.75">
      <c r="A1879" s="1534"/>
      <c r="B1879" s="235"/>
      <c r="C1879" s="1352"/>
      <c r="D1879" s="794"/>
      <c r="E1879" s="1385"/>
      <c r="F1879" s="27"/>
      <c r="G1879" s="38"/>
      <c r="H1879" s="27"/>
      <c r="I1879" s="235"/>
      <c r="J1879" s="27"/>
      <c r="K1879" s="263"/>
      <c r="L1879" s="165"/>
      <c r="M1879" s="1101"/>
      <c r="N1879" s="27"/>
      <c r="O1879" s="27"/>
    </row>
    <row r="1880" spans="1:15" ht="15.75">
      <c r="A1880" s="1629"/>
      <c r="B1880" s="71"/>
      <c r="C1880" s="71"/>
      <c r="D1880" s="14"/>
      <c r="E1880" s="332">
        <f>SUM(E1878:E1879)</f>
        <v>0</v>
      </c>
      <c r="F1880" s="14"/>
      <c r="G1880" s="71"/>
      <c r="H1880" s="14"/>
      <c r="I1880" s="14"/>
      <c r="J1880" s="14"/>
      <c r="K1880" s="263"/>
      <c r="L1880" s="165"/>
      <c r="M1880" s="884"/>
      <c r="N1880" s="27"/>
      <c r="O1880" s="27"/>
    </row>
    <row r="1881" spans="1:15" ht="15.75">
      <c r="L1881" s="1045" t="s">
        <v>80</v>
      </c>
      <c r="M1881" s="539">
        <f>SUM(M1878:M1880)</f>
        <v>0</v>
      </c>
    </row>
    <row r="1883" spans="1:15" ht="18">
      <c r="A1883" s="1535" t="s">
        <v>68</v>
      </c>
      <c r="B1883" s="1535"/>
      <c r="C1883" s="365"/>
      <c r="D1883" s="341">
        <f>SUM(E1810+E1823+E1837+E1852+E1864)</f>
        <v>60630000</v>
      </c>
    </row>
    <row r="1884" spans="1:15">
      <c r="A1884" s="1536" t="s">
        <v>69</v>
      </c>
      <c r="B1884" s="1536"/>
      <c r="C1884" s="22"/>
      <c r="D1884" s="20"/>
    </row>
    <row r="1885" spans="1:15">
      <c r="A1885" s="1537" t="s">
        <v>70</v>
      </c>
      <c r="B1885" s="1537"/>
      <c r="C1885" s="101"/>
      <c r="D1885" s="21"/>
    </row>
    <row r="1890" spans="1:15" ht="31.5">
      <c r="A1890" s="1546" t="s">
        <v>1319</v>
      </c>
      <c r="B1890" s="1547"/>
      <c r="C1890" s="1547"/>
      <c r="D1890" s="1547"/>
      <c r="E1890" s="1547"/>
      <c r="F1890" s="1547"/>
      <c r="G1890" s="1547"/>
      <c r="H1890" s="1547"/>
      <c r="I1890" s="1547"/>
      <c r="J1890" s="1547"/>
    </row>
    <row r="1891" spans="1:15" ht="23.25">
      <c r="A1891" s="1548" t="s">
        <v>56</v>
      </c>
      <c r="B1891" s="1532"/>
      <c r="C1891" s="1532"/>
      <c r="D1891" s="1531"/>
      <c r="E1891" s="1532"/>
      <c r="F1891" s="1532"/>
      <c r="G1891" s="1532"/>
      <c r="H1891" s="1532"/>
      <c r="I1891" s="1532"/>
      <c r="J1891" s="1549"/>
      <c r="K1891" s="1555" t="s">
        <v>2</v>
      </c>
      <c r="L1891" s="1555"/>
      <c r="M1891" s="1533"/>
      <c r="N1891" s="1533"/>
      <c r="O1891" s="1533"/>
    </row>
    <row r="1892" spans="1:15" ht="30.75">
      <c r="A1892" s="1" t="s">
        <v>3</v>
      </c>
      <c r="B1892" s="361" t="s">
        <v>120</v>
      </c>
      <c r="C1892" s="367" t="s">
        <v>4</v>
      </c>
      <c r="D1892" s="3" t="s">
        <v>5</v>
      </c>
      <c r="E1892" s="361" t="s">
        <v>6</v>
      </c>
      <c r="F1892" s="1" t="s">
        <v>7</v>
      </c>
      <c r="G1892" s="1" t="s">
        <v>8</v>
      </c>
      <c r="H1892" s="361" t="s">
        <v>9</v>
      </c>
      <c r="I1892" s="1" t="s">
        <v>10</v>
      </c>
      <c r="J1892" s="126" t="s">
        <v>11</v>
      </c>
      <c r="K1892" s="3" t="s">
        <v>12</v>
      </c>
      <c r="L1892" s="1359" t="s">
        <v>5</v>
      </c>
      <c r="M1892" s="657" t="s">
        <v>13</v>
      </c>
      <c r="N1892" s="129" t="s">
        <v>7</v>
      </c>
      <c r="O1892" s="68" t="s">
        <v>14</v>
      </c>
    </row>
    <row r="1893" spans="1:15" ht="15.75">
      <c r="A1893" s="1632" t="s">
        <v>1320</v>
      </c>
      <c r="B1893" s="135">
        <v>15151</v>
      </c>
      <c r="C1893" s="188">
        <v>0.1</v>
      </c>
      <c r="D1893" s="243" t="s">
        <v>1321</v>
      </c>
      <c r="E1893" s="699">
        <v>1650000</v>
      </c>
      <c r="F1893" s="478">
        <v>0.1</v>
      </c>
      <c r="G1893" s="619">
        <f>E1893*F1893</f>
        <v>165000</v>
      </c>
      <c r="H1893" s="995" t="s">
        <v>311</v>
      </c>
      <c r="I1893" s="1121" t="s">
        <v>100</v>
      </c>
      <c r="J1893" s="1132"/>
      <c r="K1893" s="135">
        <v>15311</v>
      </c>
      <c r="L1893" s="1456" t="s">
        <v>1322</v>
      </c>
      <c r="M1893" s="558">
        <v>1700000</v>
      </c>
      <c r="N1893" s="1356">
        <v>0.04</v>
      </c>
      <c r="O1893" s="178">
        <f>M1893*N1893</f>
        <v>68000</v>
      </c>
    </row>
    <row r="1894" spans="1:15" ht="15.75">
      <c r="A1894" s="1543"/>
      <c r="B1894" s="135">
        <v>15180</v>
      </c>
      <c r="C1894" s="1329">
        <v>0.08</v>
      </c>
      <c r="D1894" s="1232" t="s">
        <v>1323</v>
      </c>
      <c r="E1894" s="1044">
        <v>1800000</v>
      </c>
      <c r="F1894" s="1329">
        <v>0.08</v>
      </c>
      <c r="G1894" s="619">
        <f t="shared" ref="G1894:G1904" si="96">E1894*F1894</f>
        <v>144000</v>
      </c>
      <c r="H1894" s="995" t="s">
        <v>311</v>
      </c>
      <c r="I1894" s="1121" t="s">
        <v>100</v>
      </c>
      <c r="J1894" s="1132"/>
      <c r="K1894" s="135">
        <v>15303</v>
      </c>
      <c r="L1894" s="1456" t="s">
        <v>1324</v>
      </c>
      <c r="M1894" s="558">
        <v>1300000</v>
      </c>
      <c r="N1894" s="232">
        <v>0.05</v>
      </c>
      <c r="O1894" s="178">
        <f>M1894*N1894</f>
        <v>65000</v>
      </c>
    </row>
    <row r="1895" spans="1:15" ht="15.75">
      <c r="A1895" s="1528"/>
      <c r="B1895" s="241">
        <v>15182</v>
      </c>
      <c r="C1895" s="1119">
        <v>0.1</v>
      </c>
      <c r="D1895" s="1232" t="s">
        <v>1325</v>
      </c>
      <c r="E1895" s="1044">
        <v>1800000</v>
      </c>
      <c r="F1895" s="1119">
        <v>0.1</v>
      </c>
      <c r="G1895" s="619">
        <f t="shared" si="96"/>
        <v>180000</v>
      </c>
      <c r="H1895" s="995" t="s">
        <v>311</v>
      </c>
      <c r="I1895" s="1121" t="s">
        <v>100</v>
      </c>
      <c r="J1895" s="998"/>
      <c r="K1895" s="27"/>
      <c r="L1895" s="1253"/>
      <c r="M1895" s="27"/>
      <c r="N1895" s="27"/>
      <c r="O1895" s="27"/>
    </row>
    <row r="1896" spans="1:15" ht="15.75">
      <c r="A1896" s="1528"/>
      <c r="B1896" s="241">
        <v>15212</v>
      </c>
      <c r="C1896" s="1118">
        <v>0.1</v>
      </c>
      <c r="D1896" s="1232" t="s">
        <v>1326</v>
      </c>
      <c r="E1896" s="1044">
        <v>1450000</v>
      </c>
      <c r="F1896" s="1119">
        <v>0.1</v>
      </c>
      <c r="G1896" s="619">
        <f t="shared" si="96"/>
        <v>145000</v>
      </c>
      <c r="H1896" s="995" t="s">
        <v>311</v>
      </c>
      <c r="I1896" s="997" t="s">
        <v>100</v>
      </c>
      <c r="J1896" s="998"/>
      <c r="K1896" s="27"/>
      <c r="L1896" s="1253"/>
      <c r="M1896" s="27"/>
      <c r="N1896" s="27"/>
      <c r="O1896" s="27"/>
    </row>
    <row r="1897" spans="1:15" ht="15.75">
      <c r="A1897" s="1528"/>
      <c r="B1897" s="241">
        <v>15243</v>
      </c>
      <c r="C1897" s="1118">
        <v>0.1</v>
      </c>
      <c r="D1897" s="1376" t="s">
        <v>1327</v>
      </c>
      <c r="E1897" s="1044">
        <v>1800000</v>
      </c>
      <c r="F1897" s="1119">
        <v>0.1</v>
      </c>
      <c r="G1897" s="619">
        <f t="shared" si="96"/>
        <v>180000</v>
      </c>
      <c r="H1897" s="995" t="s">
        <v>311</v>
      </c>
      <c r="I1897" s="1121" t="s">
        <v>989</v>
      </c>
      <c r="J1897" s="998"/>
      <c r="K1897" s="27"/>
      <c r="L1897" s="1253"/>
      <c r="M1897" s="27"/>
      <c r="N1897" s="27"/>
      <c r="O1897" s="27"/>
    </row>
    <row r="1898" spans="1:15" ht="15.75">
      <c r="A1898" s="1528"/>
      <c r="B1898" s="241">
        <v>15235</v>
      </c>
      <c r="C1898" s="1119">
        <v>0.1</v>
      </c>
      <c r="D1898" s="259" t="s">
        <v>1328</v>
      </c>
      <c r="E1898" s="1044">
        <v>1700000</v>
      </c>
      <c r="F1898" s="1119">
        <v>0.1</v>
      </c>
      <c r="G1898" s="619">
        <f t="shared" si="96"/>
        <v>170000</v>
      </c>
      <c r="H1898" s="995" t="s">
        <v>311</v>
      </c>
      <c r="I1898" s="997" t="s">
        <v>242</v>
      </c>
      <c r="J1898" s="998"/>
      <c r="K1898" s="27"/>
      <c r="L1898" s="1253"/>
      <c r="M1898" s="27"/>
      <c r="N1898" s="27"/>
      <c r="O1898" s="27"/>
    </row>
    <row r="1899" spans="1:15" ht="15.75">
      <c r="A1899" s="1528"/>
      <c r="B1899" s="241">
        <v>15247</v>
      </c>
      <c r="C1899" s="1119">
        <v>0.1</v>
      </c>
      <c r="D1899" s="243" t="s">
        <v>566</v>
      </c>
      <c r="E1899" s="1044">
        <v>1600000</v>
      </c>
      <c r="F1899" s="1119">
        <v>0.06</v>
      </c>
      <c r="G1899" s="619">
        <f t="shared" si="96"/>
        <v>96000</v>
      </c>
      <c r="H1899" s="995" t="s">
        <v>30</v>
      </c>
      <c r="I1899" s="997" t="s">
        <v>1179</v>
      </c>
      <c r="J1899" s="998"/>
      <c r="K1899" s="27"/>
      <c r="L1899" s="1253"/>
      <c r="M1899" s="27"/>
      <c r="N1899" s="27"/>
      <c r="O1899" s="27"/>
    </row>
    <row r="1900" spans="1:15" ht="15.75">
      <c r="A1900" s="1528"/>
      <c r="B1900" s="241">
        <v>15281</v>
      </c>
      <c r="C1900" s="1118">
        <v>0.1</v>
      </c>
      <c r="D1900" s="1312" t="s">
        <v>1329</v>
      </c>
      <c r="E1900" s="1044">
        <v>1700000</v>
      </c>
      <c r="F1900" s="1119">
        <v>0.1</v>
      </c>
      <c r="G1900" s="619">
        <f t="shared" si="96"/>
        <v>170000</v>
      </c>
      <c r="H1900" s="995" t="s">
        <v>311</v>
      </c>
      <c r="I1900" s="1121" t="s">
        <v>989</v>
      </c>
      <c r="J1900" s="998"/>
      <c r="K1900" s="27"/>
      <c r="L1900" s="1253"/>
      <c r="M1900" s="27"/>
      <c r="N1900" s="27"/>
      <c r="O1900" s="27"/>
    </row>
    <row r="1901" spans="1:15" ht="15.75">
      <c r="A1901" s="1528"/>
      <c r="B1901" s="241">
        <v>15267</v>
      </c>
      <c r="C1901" s="1281">
        <v>0.1</v>
      </c>
      <c r="D1901" s="259" t="s">
        <v>1330</v>
      </c>
      <c r="E1901" s="699">
        <v>1450000</v>
      </c>
      <c r="F1901" s="478">
        <v>0.05</v>
      </c>
      <c r="G1901" s="619">
        <f t="shared" si="96"/>
        <v>72500</v>
      </c>
      <c r="H1901" s="995" t="s">
        <v>1331</v>
      </c>
      <c r="I1901" s="997" t="s">
        <v>100</v>
      </c>
      <c r="J1901" s="998"/>
      <c r="K1901" s="27"/>
      <c r="L1901" s="1253"/>
      <c r="M1901" s="27"/>
      <c r="N1901" s="27"/>
      <c r="O1901" s="27"/>
    </row>
    <row r="1902" spans="1:15" ht="15.75">
      <c r="A1902" s="1528"/>
      <c r="B1902" s="241">
        <v>15348</v>
      </c>
      <c r="C1902" s="1119">
        <v>0.1</v>
      </c>
      <c r="D1902" s="243" t="s">
        <v>567</v>
      </c>
      <c r="E1902" s="1044">
        <v>1500000</v>
      </c>
      <c r="F1902" s="1119">
        <v>0.06</v>
      </c>
      <c r="G1902" s="619">
        <f t="shared" si="96"/>
        <v>90000</v>
      </c>
      <c r="H1902" s="995" t="s">
        <v>30</v>
      </c>
      <c r="I1902" s="1121" t="s">
        <v>242</v>
      </c>
      <c r="J1902" s="998"/>
      <c r="K1902" s="27"/>
      <c r="L1902" s="1253"/>
      <c r="M1902" s="27"/>
      <c r="N1902" s="27"/>
      <c r="O1902" s="27"/>
    </row>
    <row r="1903" spans="1:15" ht="15.75">
      <c r="A1903" s="1528"/>
      <c r="B1903" s="241">
        <v>15403</v>
      </c>
      <c r="C1903" s="933">
        <v>0.1</v>
      </c>
      <c r="D1903" s="259" t="s">
        <v>1332</v>
      </c>
      <c r="E1903" s="1044">
        <v>1600000</v>
      </c>
      <c r="F1903" s="1119">
        <v>0.06</v>
      </c>
      <c r="G1903" s="619">
        <f t="shared" si="96"/>
        <v>96000</v>
      </c>
      <c r="H1903" s="995" t="s">
        <v>30</v>
      </c>
      <c r="I1903" s="1121" t="s">
        <v>1333</v>
      </c>
      <c r="J1903" s="998"/>
      <c r="K1903" s="27"/>
      <c r="L1903" s="1253"/>
      <c r="M1903" s="27"/>
      <c r="N1903" s="27"/>
      <c r="O1903" s="27"/>
    </row>
    <row r="1904" spans="1:15" ht="15.75">
      <c r="A1904" s="1528"/>
      <c r="B1904" s="241">
        <v>15402</v>
      </c>
      <c r="C1904" s="1119">
        <v>0.1</v>
      </c>
      <c r="D1904" s="1232" t="s">
        <v>1334</v>
      </c>
      <c r="E1904" s="1044">
        <v>1700000</v>
      </c>
      <c r="F1904" s="1119">
        <v>0.05</v>
      </c>
      <c r="G1904" s="619">
        <f t="shared" si="96"/>
        <v>85000</v>
      </c>
      <c r="H1904" s="995" t="s">
        <v>1090</v>
      </c>
      <c r="I1904" s="1121" t="s">
        <v>242</v>
      </c>
      <c r="J1904" s="998"/>
      <c r="K1904" s="27"/>
      <c r="L1904" s="1253"/>
      <c r="M1904" s="27"/>
      <c r="N1904" s="27"/>
      <c r="O1904" s="27"/>
    </row>
    <row r="1905" spans="1:15" ht="18">
      <c r="A1905" s="1528"/>
      <c r="B1905" s="209" t="s">
        <v>297</v>
      </c>
      <c r="C1905" s="1247"/>
      <c r="D1905" s="819" t="s">
        <v>1335</v>
      </c>
      <c r="E1905" s="1248"/>
      <c r="F1905" s="1249"/>
      <c r="G1905" s="943"/>
      <c r="H1905" s="1011"/>
      <c r="I1905" s="1006"/>
      <c r="J1905" s="1012" t="s">
        <v>1336</v>
      </c>
      <c r="K1905" s="27"/>
      <c r="L1905" s="1253"/>
      <c r="M1905" s="772" t="s">
        <v>80</v>
      </c>
      <c r="N1905" s="772"/>
      <c r="O1905" s="533">
        <f>SUM(O1893:O1894)</f>
        <v>133000</v>
      </c>
    </row>
    <row r="1906" spans="1:15" ht="20.25">
      <c r="A1906" s="1529"/>
      <c r="B1906" s="263"/>
      <c r="C1906" s="788"/>
      <c r="D1906" s="165"/>
      <c r="E1906" s="1272">
        <f>SUM(E1893:E1904)</f>
        <v>19750000</v>
      </c>
      <c r="F1906" s="659"/>
      <c r="G1906" s="895">
        <f>SUM(G1893:G1905)</f>
        <v>1593500</v>
      </c>
      <c r="H1906" s="999"/>
      <c r="I1906" s="1093"/>
      <c r="J1906" s="1440"/>
      <c r="K1906" s="1091"/>
      <c r="L1906" s="27"/>
      <c r="M1906" s="906" t="s">
        <v>80</v>
      </c>
      <c r="N1906" s="906"/>
      <c r="O1906" s="869">
        <f>G1906+O1905</f>
        <v>1726500</v>
      </c>
    </row>
    <row r="1907" spans="1:15">
      <c r="A1907" s="32"/>
      <c r="B1907" s="85"/>
      <c r="C1907" s="85"/>
      <c r="D1907" s="32"/>
      <c r="E1907" s="32"/>
      <c r="F1907" s="32"/>
      <c r="G1907" s="85"/>
      <c r="H1907" s="32"/>
      <c r="I1907" s="32"/>
      <c r="J1907" s="32"/>
    </row>
    <row r="1908" spans="1:15">
      <c r="A1908" s="32"/>
      <c r="B1908" s="85"/>
      <c r="C1908" s="85"/>
      <c r="D1908" s="32"/>
      <c r="E1908" s="32"/>
      <c r="F1908" s="32"/>
      <c r="G1908" s="85"/>
      <c r="H1908" s="32"/>
      <c r="I1908" s="32"/>
      <c r="J1908" s="32"/>
    </row>
    <row r="1909" spans="1:15" ht="23.25">
      <c r="A1909" s="1548" t="s">
        <v>465</v>
      </c>
      <c r="B1909" s="1532"/>
      <c r="C1909" s="1532"/>
      <c r="D1909" s="1531"/>
      <c r="E1909" s="1532"/>
      <c r="F1909" s="1532"/>
      <c r="G1909" s="1532"/>
      <c r="H1909" s="1532"/>
      <c r="I1909" s="1532"/>
      <c r="J1909" s="1549"/>
      <c r="K1909" s="1555" t="s">
        <v>2</v>
      </c>
      <c r="L1909" s="1555"/>
      <c r="M1909" s="1533"/>
      <c r="N1909" s="1533"/>
      <c r="O1909" s="1533"/>
    </row>
    <row r="1910" spans="1:15" ht="30.75">
      <c r="A1910" s="1" t="s">
        <v>3</v>
      </c>
      <c r="B1910" s="361" t="s">
        <v>120</v>
      </c>
      <c r="C1910" s="367" t="s">
        <v>4</v>
      </c>
      <c r="D1910" s="3" t="s">
        <v>5</v>
      </c>
      <c r="E1910" s="361" t="s">
        <v>6</v>
      </c>
      <c r="F1910" s="1" t="s">
        <v>7</v>
      </c>
      <c r="G1910" s="1" t="s">
        <v>8</v>
      </c>
      <c r="H1910" s="361" t="s">
        <v>9</v>
      </c>
      <c r="I1910" s="1" t="s">
        <v>10</v>
      </c>
      <c r="J1910" s="126" t="s">
        <v>11</v>
      </c>
      <c r="K1910" s="3" t="s">
        <v>12</v>
      </c>
      <c r="L1910" s="1359" t="s">
        <v>5</v>
      </c>
      <c r="M1910" s="657" t="s">
        <v>13</v>
      </c>
      <c r="N1910" s="129" t="s">
        <v>7</v>
      </c>
      <c r="O1910" s="68" t="s">
        <v>14</v>
      </c>
    </row>
    <row r="1911" spans="1:15" ht="15.75" customHeight="1">
      <c r="A1911" s="1630">
        <v>20</v>
      </c>
      <c r="B1911" s="135">
        <v>15138</v>
      </c>
      <c r="C1911" s="1206">
        <v>0.1</v>
      </c>
      <c r="D1911" s="243" t="s">
        <v>1337</v>
      </c>
      <c r="E1911" s="1044">
        <v>1150000</v>
      </c>
      <c r="F1911" s="1119">
        <v>0.1</v>
      </c>
      <c r="G1911" s="1342">
        <f>E1911*F1911</f>
        <v>115000</v>
      </c>
      <c r="H1911" s="1121" t="s">
        <v>520</v>
      </c>
      <c r="I1911" s="1121" t="s">
        <v>1179</v>
      </c>
      <c r="J1911" s="1132"/>
      <c r="K1911" s="135">
        <v>15315</v>
      </c>
      <c r="L1911" s="1250" t="s">
        <v>1338</v>
      </c>
      <c r="M1911" s="558">
        <v>1300000</v>
      </c>
      <c r="N1911" s="232">
        <v>0.05</v>
      </c>
      <c r="O1911" s="1458">
        <f>M1911*N1911</f>
        <v>65000</v>
      </c>
    </row>
    <row r="1912" spans="1:15" ht="15.75" customHeight="1">
      <c r="A1912" s="1538"/>
      <c r="B1912" s="241">
        <v>15197</v>
      </c>
      <c r="C1912" s="478">
        <v>0.1</v>
      </c>
      <c r="D1912" s="1396" t="s">
        <v>1339</v>
      </c>
      <c r="E1912" s="699">
        <v>1500000</v>
      </c>
      <c r="F1912" s="478">
        <v>0.1</v>
      </c>
      <c r="G1912" s="1342">
        <f t="shared" ref="G1912:G1919" si="97">E1912*F1912</f>
        <v>150000</v>
      </c>
      <c r="H1912" s="997" t="s">
        <v>520</v>
      </c>
      <c r="I1912" s="997" t="s">
        <v>989</v>
      </c>
      <c r="J1912" s="998"/>
      <c r="K1912" s="241">
        <v>15227</v>
      </c>
      <c r="L1912" s="1232" t="s">
        <v>1340</v>
      </c>
      <c r="M1912" s="143">
        <v>1500000</v>
      </c>
      <c r="N1912" s="232">
        <v>0.05</v>
      </c>
      <c r="O1912" s="1458">
        <f>M1912*N1912</f>
        <v>75000</v>
      </c>
    </row>
    <row r="1913" spans="1:15" ht="15.75" customHeight="1">
      <c r="A1913" s="1538"/>
      <c r="B1913" s="241">
        <v>15246</v>
      </c>
      <c r="C1913" s="478">
        <v>0.1</v>
      </c>
      <c r="D1913" s="1376" t="s">
        <v>1341</v>
      </c>
      <c r="E1913" s="699">
        <v>1250000</v>
      </c>
      <c r="F1913" s="478">
        <v>0.05</v>
      </c>
      <c r="G1913" s="1342">
        <f t="shared" si="97"/>
        <v>62500</v>
      </c>
      <c r="H1913" s="997" t="s">
        <v>1015</v>
      </c>
      <c r="I1913" s="997" t="s">
        <v>242</v>
      </c>
      <c r="J1913" s="998"/>
      <c r="K1913" s="27"/>
      <c r="L1913" s="1253"/>
      <c r="M1913" s="27"/>
      <c r="N1913" s="27"/>
      <c r="O1913" s="27"/>
    </row>
    <row r="1914" spans="1:15" ht="15.75" customHeight="1">
      <c r="A1914" s="1538"/>
      <c r="B1914" s="241">
        <v>15259</v>
      </c>
      <c r="C1914" s="1119">
        <v>0.1</v>
      </c>
      <c r="D1914" s="1396" t="s">
        <v>1342</v>
      </c>
      <c r="E1914" s="1044">
        <v>1200000</v>
      </c>
      <c r="F1914" s="1119">
        <v>0.1</v>
      </c>
      <c r="G1914" s="1342">
        <f t="shared" si="97"/>
        <v>120000</v>
      </c>
      <c r="H1914" s="1121" t="s">
        <v>520</v>
      </c>
      <c r="I1914" s="1121" t="s">
        <v>989</v>
      </c>
      <c r="J1914" s="1132"/>
      <c r="K1914" s="163"/>
      <c r="L1914" s="1253"/>
      <c r="M1914" s="27"/>
      <c r="N1914" s="27"/>
      <c r="O1914" s="27"/>
    </row>
    <row r="1915" spans="1:15" ht="15.75" customHeight="1">
      <c r="A1915" s="1538"/>
      <c r="B1915" s="241">
        <v>15263</v>
      </c>
      <c r="C1915" s="1119">
        <v>0.1</v>
      </c>
      <c r="D1915" s="1396" t="s">
        <v>1343</v>
      </c>
      <c r="E1915" s="1044">
        <v>2800000</v>
      </c>
      <c r="F1915" s="1119">
        <v>0.06</v>
      </c>
      <c r="G1915" s="1342">
        <f t="shared" si="97"/>
        <v>168000</v>
      </c>
      <c r="H1915" s="1121" t="s">
        <v>30</v>
      </c>
      <c r="I1915" s="1121" t="s">
        <v>100</v>
      </c>
      <c r="J1915" s="1132"/>
      <c r="K1915" s="163"/>
      <c r="L1915" s="1253"/>
      <c r="M1915" s="27"/>
      <c r="N1915" s="27"/>
      <c r="O1915" s="27"/>
    </row>
    <row r="1916" spans="1:15" ht="15.75" customHeight="1">
      <c r="A1916" s="1538"/>
      <c r="B1916" s="241">
        <v>15292</v>
      </c>
      <c r="C1916" s="1119">
        <v>0.1</v>
      </c>
      <c r="D1916" s="1396" t="s">
        <v>484</v>
      </c>
      <c r="E1916" s="1044">
        <v>1150000</v>
      </c>
      <c r="F1916" s="1119">
        <v>0.06</v>
      </c>
      <c r="G1916" s="1342">
        <f t="shared" si="97"/>
        <v>69000</v>
      </c>
      <c r="H1916" s="1121" t="s">
        <v>30</v>
      </c>
      <c r="I1916" s="1121" t="s">
        <v>242</v>
      </c>
      <c r="J1916" s="1132"/>
      <c r="K1916" s="163"/>
      <c r="L1916" s="1253"/>
      <c r="M1916" s="27"/>
      <c r="N1916" s="27"/>
      <c r="O1916" s="27"/>
    </row>
    <row r="1917" spans="1:15" ht="15.75" customHeight="1">
      <c r="A1917" s="1538"/>
      <c r="B1917" s="241">
        <v>15332</v>
      </c>
      <c r="C1917" s="1119">
        <v>0.1</v>
      </c>
      <c r="D1917" s="1396" t="s">
        <v>1344</v>
      </c>
      <c r="E1917" s="1044">
        <v>1600000</v>
      </c>
      <c r="F1917" s="1119">
        <v>0.06</v>
      </c>
      <c r="G1917" s="1342">
        <f t="shared" si="97"/>
        <v>96000</v>
      </c>
      <c r="H1917" s="1121" t="s">
        <v>30</v>
      </c>
      <c r="I1917" s="1121" t="s">
        <v>100</v>
      </c>
      <c r="J1917" s="1132"/>
      <c r="K1917" s="163"/>
      <c r="L1917" s="1253"/>
      <c r="M1917" s="27"/>
      <c r="N1917" s="27"/>
      <c r="O1917" s="27"/>
    </row>
    <row r="1918" spans="1:15" ht="15.75" customHeight="1">
      <c r="A1918" s="1538"/>
      <c r="B1918" s="241">
        <v>15377</v>
      </c>
      <c r="C1918" s="1119">
        <v>0.1</v>
      </c>
      <c r="D1918" s="1396" t="s">
        <v>1345</v>
      </c>
      <c r="E1918" s="1044">
        <v>1200000</v>
      </c>
      <c r="F1918" s="1119">
        <v>0.1</v>
      </c>
      <c r="G1918" s="1342">
        <f t="shared" si="97"/>
        <v>120000</v>
      </c>
      <c r="H1918" s="1121" t="s">
        <v>520</v>
      </c>
      <c r="I1918" s="1121" t="s">
        <v>100</v>
      </c>
      <c r="J1918" s="1132"/>
      <c r="K1918" s="163"/>
      <c r="L1918" s="1253"/>
      <c r="M1918" s="27"/>
      <c r="N1918" s="27"/>
      <c r="O1918" s="27"/>
    </row>
    <row r="1919" spans="1:15" ht="15.75" customHeight="1">
      <c r="A1919" s="1538"/>
      <c r="B1919" s="241">
        <v>15404</v>
      </c>
      <c r="C1919" s="1329">
        <v>0.08</v>
      </c>
      <c r="D1919" s="243" t="s">
        <v>1346</v>
      </c>
      <c r="E1919" s="1044">
        <v>2150000</v>
      </c>
      <c r="F1919" s="1119">
        <v>0.08</v>
      </c>
      <c r="G1919" s="1342">
        <f t="shared" si="97"/>
        <v>172000</v>
      </c>
      <c r="H1919" s="1121" t="s">
        <v>520</v>
      </c>
      <c r="I1919" s="1121" t="s">
        <v>100</v>
      </c>
      <c r="J1919" s="1132"/>
      <c r="K1919" s="163"/>
      <c r="L1919" s="1253"/>
      <c r="M1919" s="772" t="s">
        <v>80</v>
      </c>
      <c r="N1919" s="772"/>
      <c r="O1919" s="533">
        <f>SUM(O1911:O1918)</f>
        <v>140000</v>
      </c>
    </row>
    <row r="1920" spans="1:15" ht="15.75" customHeight="1">
      <c r="A1920" s="1538"/>
      <c r="B1920" s="814" t="s">
        <v>297</v>
      </c>
      <c r="C1920" s="1417"/>
      <c r="D1920" s="819" t="s">
        <v>1347</v>
      </c>
      <c r="E1920" s="1248"/>
      <c r="F1920" s="1249"/>
      <c r="G1920" s="1418"/>
      <c r="H1920" s="1419"/>
      <c r="I1920" s="1419"/>
      <c r="J1920" s="1420" t="s">
        <v>1348</v>
      </c>
      <c r="K1920" s="163"/>
      <c r="L1920" s="1253"/>
      <c r="M1920" s="14"/>
      <c r="N1920" s="14"/>
      <c r="O1920" s="14"/>
    </row>
    <row r="1921" spans="1:15" ht="20.25" customHeight="1">
      <c r="A1921" s="736"/>
      <c r="B1921" s="263"/>
      <c r="C1921" s="659"/>
      <c r="D1921" s="165"/>
      <c r="E1921" s="1272">
        <f>SUM(E1911:E1920)</f>
        <v>14000000</v>
      </c>
      <c r="F1921" s="659"/>
      <c r="G1921" s="895">
        <f>SUM(G1911:G1920)</f>
        <v>1072500</v>
      </c>
      <c r="H1921" s="999"/>
      <c r="I1921" s="1093"/>
      <c r="J1921" s="1134"/>
      <c r="K1921" s="27"/>
      <c r="L1921" s="27"/>
      <c r="M1921" s="906" t="s">
        <v>80</v>
      </c>
      <c r="N1921" s="906"/>
      <c r="O1921" s="869">
        <f>G1921+O1919</f>
        <v>1212500</v>
      </c>
    </row>
    <row r="1922" spans="1:15">
      <c r="A1922" s="1543"/>
      <c r="B1922" s="1544"/>
      <c r="C1922" s="1544"/>
      <c r="D1922" s="1544"/>
      <c r="E1922" s="1544"/>
      <c r="F1922" s="1544"/>
      <c r="G1922" s="1544"/>
      <c r="H1922" s="1544"/>
      <c r="I1922" s="1544"/>
      <c r="J1922" s="1544"/>
      <c r="K1922" s="1544"/>
      <c r="L1922" s="1544"/>
      <c r="M1922" s="1544"/>
      <c r="N1922" s="1544"/>
      <c r="O1922" s="1544"/>
    </row>
    <row r="1923" spans="1:15">
      <c r="A1923" s="1543"/>
      <c r="B1923" s="1544"/>
      <c r="C1923" s="1544"/>
      <c r="D1923" s="1544"/>
      <c r="E1923" s="1544"/>
      <c r="F1923" s="1544"/>
      <c r="G1923" s="1544"/>
      <c r="H1923" s="1544"/>
      <c r="I1923" s="1544"/>
      <c r="J1923" s="1544"/>
      <c r="K1923" s="1544"/>
      <c r="L1923" s="1544"/>
      <c r="M1923" s="1544"/>
      <c r="N1923" s="1544"/>
      <c r="O1923" s="1544"/>
    </row>
    <row r="1924" spans="1:15" ht="23.25">
      <c r="A1924" s="1539" t="s">
        <v>1075</v>
      </c>
      <c r="B1924" s="1540"/>
      <c r="C1924" s="1540"/>
      <c r="D1924" s="1540"/>
      <c r="E1924" s="1540"/>
      <c r="F1924" s="1540"/>
      <c r="G1924" s="1540"/>
      <c r="H1924" s="1540"/>
      <c r="I1924" s="1540"/>
      <c r="J1924" s="1540"/>
      <c r="K1924" s="1533" t="s">
        <v>2</v>
      </c>
      <c r="L1924" s="1555"/>
      <c r="M1924" s="1533"/>
      <c r="N1924" s="1533"/>
      <c r="O1924" s="1533"/>
    </row>
    <row r="1925" spans="1:15" ht="30.75">
      <c r="A1925" s="126" t="s">
        <v>3</v>
      </c>
      <c r="B1925" s="3" t="s">
        <v>120</v>
      </c>
      <c r="C1925" s="2" t="s">
        <v>4</v>
      </c>
      <c r="D1925" s="3" t="s">
        <v>5</v>
      </c>
      <c r="E1925" s="3" t="s">
        <v>6</v>
      </c>
      <c r="F1925" s="3" t="s">
        <v>7</v>
      </c>
      <c r="G1925" s="3" t="s">
        <v>8</v>
      </c>
      <c r="H1925" s="3" t="s">
        <v>9</v>
      </c>
      <c r="I1925" s="3" t="s">
        <v>10</v>
      </c>
      <c r="J1925" s="3" t="s">
        <v>11</v>
      </c>
      <c r="K1925" s="1358" t="s">
        <v>12</v>
      </c>
      <c r="L1925" s="3" t="s">
        <v>5</v>
      </c>
      <c r="M1925" s="657" t="s">
        <v>13</v>
      </c>
      <c r="N1925" s="129" t="s">
        <v>7</v>
      </c>
      <c r="O1925" s="68" t="s">
        <v>14</v>
      </c>
    </row>
    <row r="1926" spans="1:15" ht="15.75">
      <c r="A1926" s="1538">
        <v>10</v>
      </c>
      <c r="B1926" s="241">
        <v>15219</v>
      </c>
      <c r="C1926" s="478">
        <v>0.1</v>
      </c>
      <c r="D1926" s="1057" t="s">
        <v>517</v>
      </c>
      <c r="E1926" s="143">
        <v>1700000</v>
      </c>
      <c r="F1926" s="231">
        <v>0.05</v>
      </c>
      <c r="G1926" s="535">
        <f>E1926*F1926</f>
        <v>85000</v>
      </c>
      <c r="H1926" s="241" t="s">
        <v>30</v>
      </c>
      <c r="I1926" s="241" t="s">
        <v>242</v>
      </c>
      <c r="J1926" s="1350"/>
      <c r="K1926" s="135">
        <v>15246</v>
      </c>
      <c r="L1926" s="1250" t="s">
        <v>1341</v>
      </c>
      <c r="M1926" s="699">
        <v>1250000</v>
      </c>
      <c r="N1926" s="232">
        <v>0.04</v>
      </c>
      <c r="O1926" s="178">
        <f>M1926*N1926</f>
        <v>50000</v>
      </c>
    </row>
    <row r="1927" spans="1:15" ht="15.75">
      <c r="A1927" s="1538"/>
      <c r="B1927" s="241">
        <v>15274</v>
      </c>
      <c r="C1927" s="478">
        <v>0.1</v>
      </c>
      <c r="D1927" s="1376" t="s">
        <v>1349</v>
      </c>
      <c r="E1927" s="143">
        <v>1700000</v>
      </c>
      <c r="F1927" s="231">
        <v>0.05</v>
      </c>
      <c r="G1927" s="535">
        <f t="shared" ref="G1927:G1931" si="98">E1927*F1927</f>
        <v>85000</v>
      </c>
      <c r="H1927" s="241" t="s">
        <v>30</v>
      </c>
      <c r="I1927" s="241" t="s">
        <v>242</v>
      </c>
      <c r="J1927" s="1350"/>
      <c r="K1927" s="1091"/>
      <c r="L1927" s="1091"/>
      <c r="M1927" s="14"/>
      <c r="N1927" s="14"/>
      <c r="O1927" s="14"/>
    </row>
    <row r="1928" spans="1:15" ht="15.75">
      <c r="A1928" s="1538"/>
      <c r="B1928" s="241">
        <v>15315</v>
      </c>
      <c r="C1928" s="478">
        <v>0.1</v>
      </c>
      <c r="D1928" s="1376" t="s">
        <v>1338</v>
      </c>
      <c r="E1928" s="143">
        <v>1300000</v>
      </c>
      <c r="F1928" s="231">
        <v>0.04</v>
      </c>
      <c r="G1928" s="535">
        <f t="shared" si="98"/>
        <v>52000</v>
      </c>
      <c r="H1928" s="241" t="s">
        <v>520</v>
      </c>
      <c r="I1928" s="241" t="s">
        <v>989</v>
      </c>
      <c r="J1928" s="1350"/>
      <c r="K1928" s="27"/>
      <c r="L1928" s="27"/>
      <c r="M1928" s="14"/>
      <c r="N1928" s="14"/>
      <c r="O1928" s="14"/>
    </row>
    <row r="1929" spans="1:15" ht="15.75">
      <c r="A1929" s="1538"/>
      <c r="B1929" s="241">
        <v>15357</v>
      </c>
      <c r="C1929" s="478">
        <v>0.1</v>
      </c>
      <c r="D1929" s="1376" t="s">
        <v>1350</v>
      </c>
      <c r="E1929" s="143">
        <v>1200000</v>
      </c>
      <c r="F1929" s="231">
        <v>0.04</v>
      </c>
      <c r="G1929" s="535">
        <f t="shared" si="98"/>
        <v>48000</v>
      </c>
      <c r="H1929" s="241" t="s">
        <v>1090</v>
      </c>
      <c r="I1929" s="241" t="s">
        <v>100</v>
      </c>
      <c r="J1929" s="1350"/>
      <c r="K1929" s="27"/>
      <c r="L1929" s="27"/>
      <c r="M1929" s="14"/>
      <c r="N1929" s="14"/>
      <c r="O1929" s="14"/>
    </row>
    <row r="1930" spans="1:15" ht="15.75">
      <c r="A1930" s="1538"/>
      <c r="B1930" s="241">
        <v>15380</v>
      </c>
      <c r="C1930" s="478">
        <v>0.1</v>
      </c>
      <c r="D1930" s="1376" t="s">
        <v>1351</v>
      </c>
      <c r="E1930" s="143">
        <v>1600000</v>
      </c>
      <c r="F1930" s="231">
        <v>0.08</v>
      </c>
      <c r="G1930" s="535">
        <f t="shared" si="98"/>
        <v>128000</v>
      </c>
      <c r="H1930" s="241" t="s">
        <v>1015</v>
      </c>
      <c r="I1930" s="241" t="s">
        <v>989</v>
      </c>
      <c r="J1930" s="1350"/>
      <c r="K1930" s="27"/>
      <c r="L1930" s="27"/>
      <c r="M1930" s="14"/>
      <c r="N1930" s="14"/>
      <c r="O1930" s="14"/>
    </row>
    <row r="1931" spans="1:15" ht="18">
      <c r="A1931" s="1538"/>
      <c r="B1931" s="241">
        <v>15381</v>
      </c>
      <c r="C1931" s="478">
        <v>0.1</v>
      </c>
      <c r="D1931" s="1376" t="s">
        <v>1352</v>
      </c>
      <c r="E1931" s="143">
        <v>4200000</v>
      </c>
      <c r="F1931" s="231">
        <v>0.08</v>
      </c>
      <c r="G1931" s="535">
        <f t="shared" si="98"/>
        <v>336000</v>
      </c>
      <c r="H1931" s="241" t="s">
        <v>1015</v>
      </c>
      <c r="I1931" s="241" t="s">
        <v>100</v>
      </c>
      <c r="J1931" s="1350"/>
      <c r="K1931" s="27"/>
      <c r="L1931" s="27"/>
      <c r="M1931" s="772" t="s">
        <v>80</v>
      </c>
      <c r="N1931" s="772"/>
      <c r="O1931" s="533">
        <f>SUM(O1926:O1930)</f>
        <v>50000</v>
      </c>
    </row>
    <row r="1932" spans="1:15" ht="15.75">
      <c r="A1932" s="1538"/>
      <c r="B1932" s="209" t="s">
        <v>297</v>
      </c>
      <c r="C1932" s="348"/>
      <c r="D1932" s="1382" t="s">
        <v>1353</v>
      </c>
      <c r="E1932" s="308"/>
      <c r="F1932" s="212"/>
      <c r="G1932" s="1418"/>
      <c r="H1932" s="209"/>
      <c r="I1932" s="209"/>
      <c r="J1932" s="1448" t="s">
        <v>1354</v>
      </c>
      <c r="K1932" s="27"/>
      <c r="L1932" s="27"/>
      <c r="M1932" s="14"/>
      <c r="N1932" s="14"/>
      <c r="O1932" s="14"/>
    </row>
    <row r="1933" spans="1:15" ht="20.25">
      <c r="A1933" s="1538"/>
      <c r="B1933" s="1319"/>
      <c r="C1933" s="1270"/>
      <c r="D1933" s="1091"/>
      <c r="E1933" s="1110">
        <f>SUM(E1926:E1931)</f>
        <v>11700000</v>
      </c>
      <c r="F1933" s="1091"/>
      <c r="G1933" s="1457">
        <f>SUM(G1926:G1932)</f>
        <v>734000</v>
      </c>
      <c r="H1933" s="1091"/>
      <c r="I1933" s="1091"/>
      <c r="J1933" s="1271"/>
      <c r="K1933" s="27"/>
      <c r="L1933" s="27"/>
      <c r="M1933" s="906" t="s">
        <v>80</v>
      </c>
      <c r="N1933" s="906"/>
      <c r="O1933" s="869">
        <f>G1933+O1931</f>
        <v>784000</v>
      </c>
    </row>
    <row r="1936" spans="1:15" ht="23.25">
      <c r="A1936" s="1539" t="s">
        <v>1087</v>
      </c>
      <c r="B1936" s="1540"/>
      <c r="C1936" s="1540"/>
      <c r="D1936" s="1540"/>
      <c r="E1936" s="1540"/>
      <c r="F1936" s="1540"/>
      <c r="G1936" s="1540"/>
      <c r="H1936" s="1540"/>
      <c r="I1936" s="1540"/>
      <c r="J1936" s="1540"/>
      <c r="K1936" s="1533" t="s">
        <v>2</v>
      </c>
      <c r="L1936" s="1533"/>
      <c r="M1936" s="1533"/>
      <c r="N1936" s="1533"/>
      <c r="O1936" s="1533"/>
    </row>
    <row r="1937" spans="1:15" ht="30.75">
      <c r="A1937" s="126" t="s">
        <v>3</v>
      </c>
      <c r="B1937" s="3" t="s">
        <v>120</v>
      </c>
      <c r="C1937" s="2" t="s">
        <v>4</v>
      </c>
      <c r="D1937" s="3" t="s">
        <v>5</v>
      </c>
      <c r="E1937" s="3" t="s">
        <v>6</v>
      </c>
      <c r="F1937" s="3" t="s">
        <v>7</v>
      </c>
      <c r="G1937" s="3" t="s">
        <v>8</v>
      </c>
      <c r="H1937" s="3" t="s">
        <v>9</v>
      </c>
      <c r="I1937" s="3" t="s">
        <v>10</v>
      </c>
      <c r="J1937" s="3" t="s">
        <v>11</v>
      </c>
      <c r="K1937" s="657" t="s">
        <v>12</v>
      </c>
      <c r="L1937" s="68" t="s">
        <v>5</v>
      </c>
      <c r="M1937" s="68" t="s">
        <v>13</v>
      </c>
      <c r="N1937" s="129" t="s">
        <v>7</v>
      </c>
      <c r="O1937" s="68" t="s">
        <v>14</v>
      </c>
    </row>
    <row r="1938" spans="1:15" ht="15.75">
      <c r="A1938" s="1538" t="s">
        <v>1355</v>
      </c>
      <c r="B1938" s="241">
        <v>15149</v>
      </c>
      <c r="C1938" s="478">
        <v>0.1</v>
      </c>
      <c r="D1938" s="1057" t="s">
        <v>1356</v>
      </c>
      <c r="E1938" s="143">
        <v>1200000</v>
      </c>
      <c r="F1938" s="779">
        <v>0.08</v>
      </c>
      <c r="G1938" s="535">
        <f>E1938*F1938</f>
        <v>96000</v>
      </c>
      <c r="H1938" s="241" t="s">
        <v>1090</v>
      </c>
      <c r="I1938" s="241" t="s">
        <v>989</v>
      </c>
      <c r="J1938" s="1274"/>
      <c r="K1938" s="241">
        <v>15336</v>
      </c>
      <c r="L1938" s="1376" t="s">
        <v>1357</v>
      </c>
      <c r="M1938" s="143">
        <v>1250000</v>
      </c>
      <c r="N1938" s="232">
        <v>0.04</v>
      </c>
      <c r="O1938" s="178">
        <f>M1938*N1938</f>
        <v>50000</v>
      </c>
    </row>
    <row r="1939" spans="1:15" ht="15.75">
      <c r="A1939" s="1538"/>
      <c r="B1939" s="241">
        <v>15165</v>
      </c>
      <c r="C1939" s="478">
        <v>0.1</v>
      </c>
      <c r="D1939" s="243" t="s">
        <v>1358</v>
      </c>
      <c r="E1939" s="143">
        <v>1200000</v>
      </c>
      <c r="F1939" s="779">
        <v>0.08</v>
      </c>
      <c r="G1939" s="535">
        <f t="shared" ref="G1939:G1944" si="99">E1939*F1939</f>
        <v>96000</v>
      </c>
      <c r="H1939" s="241" t="s">
        <v>1090</v>
      </c>
      <c r="I1939" s="241" t="s">
        <v>100</v>
      </c>
      <c r="J1939" s="1274"/>
      <c r="K1939" s="241">
        <v>15357</v>
      </c>
      <c r="L1939" s="1376" t="s">
        <v>1350</v>
      </c>
      <c r="M1939" s="143">
        <v>1200000</v>
      </c>
      <c r="N1939" s="232">
        <v>0.04</v>
      </c>
      <c r="O1939" s="178">
        <f>M1939*N1939</f>
        <v>48000</v>
      </c>
    </row>
    <row r="1940" spans="1:15" ht="15.75">
      <c r="A1940" s="1538"/>
      <c r="B1940" s="241">
        <v>15196</v>
      </c>
      <c r="C1940" s="478">
        <v>0.1</v>
      </c>
      <c r="D1940" s="243" t="s">
        <v>1359</v>
      </c>
      <c r="E1940" s="143">
        <v>1200000</v>
      </c>
      <c r="F1940" s="779">
        <v>0.08</v>
      </c>
      <c r="G1940" s="535">
        <f t="shared" si="99"/>
        <v>96000</v>
      </c>
      <c r="H1940" s="241" t="s">
        <v>1090</v>
      </c>
      <c r="I1940" s="241" t="s">
        <v>100</v>
      </c>
      <c r="J1940" s="1274"/>
      <c r="K1940" s="241">
        <v>15402</v>
      </c>
      <c r="L1940" s="1232" t="s">
        <v>1334</v>
      </c>
      <c r="M1940" s="143">
        <v>1700000</v>
      </c>
      <c r="N1940" s="232">
        <v>0.04</v>
      </c>
      <c r="O1940" s="178">
        <f>M1940*N1940</f>
        <v>68000</v>
      </c>
    </row>
    <row r="1941" spans="1:15" ht="15.75">
      <c r="A1941" s="1538"/>
      <c r="B1941" s="241">
        <v>15227</v>
      </c>
      <c r="C1941" s="478">
        <v>0.1</v>
      </c>
      <c r="D1941" s="1232" t="s">
        <v>1340</v>
      </c>
      <c r="E1941" s="143">
        <v>1500000</v>
      </c>
      <c r="F1941" s="779">
        <v>0.04</v>
      </c>
      <c r="G1941" s="535">
        <f t="shared" si="99"/>
        <v>60000</v>
      </c>
      <c r="H1941" s="241" t="s">
        <v>520</v>
      </c>
      <c r="I1941" s="241" t="s">
        <v>100</v>
      </c>
      <c r="J1941" s="1274"/>
      <c r="K1941" s="27"/>
      <c r="L1941" s="27"/>
      <c r="M1941" s="14"/>
      <c r="N1941" s="14"/>
      <c r="O1941" s="14"/>
    </row>
    <row r="1942" spans="1:15" ht="15.75">
      <c r="A1942" s="1538"/>
      <c r="B1942" s="241">
        <v>15264</v>
      </c>
      <c r="C1942" s="478">
        <v>0.1</v>
      </c>
      <c r="D1942" s="1376" t="s">
        <v>1360</v>
      </c>
      <c r="E1942" s="143">
        <v>1200000</v>
      </c>
      <c r="F1942" s="779">
        <v>0.08</v>
      </c>
      <c r="G1942" s="535">
        <f t="shared" si="99"/>
        <v>96000</v>
      </c>
      <c r="H1942" s="241" t="s">
        <v>1090</v>
      </c>
      <c r="I1942" s="241" t="s">
        <v>989</v>
      </c>
      <c r="J1942" s="1274"/>
      <c r="K1942" s="27"/>
      <c r="L1942" s="27"/>
      <c r="M1942" s="14"/>
      <c r="N1942" s="14"/>
      <c r="O1942" s="14"/>
    </row>
    <row r="1943" spans="1:15" ht="15.75">
      <c r="A1943" s="1538"/>
      <c r="B1943" s="241">
        <v>15296</v>
      </c>
      <c r="C1943" s="478">
        <v>0.1</v>
      </c>
      <c r="D1943" s="1376" t="s">
        <v>1361</v>
      </c>
      <c r="E1943" s="143">
        <v>1900000</v>
      </c>
      <c r="F1943" s="779">
        <v>0.04</v>
      </c>
      <c r="G1943" s="535">
        <f t="shared" si="99"/>
        <v>76000</v>
      </c>
      <c r="H1943" s="241" t="s">
        <v>1362</v>
      </c>
      <c r="I1943" s="241" t="s">
        <v>242</v>
      </c>
      <c r="J1943" s="1274"/>
      <c r="K1943" s="27"/>
      <c r="L1943" s="27"/>
      <c r="M1943" s="14"/>
      <c r="N1943" s="14"/>
      <c r="O1943" s="14"/>
    </row>
    <row r="1944" spans="1:15" ht="15.75">
      <c r="A1944" s="1538"/>
      <c r="B1944" s="241">
        <v>15314</v>
      </c>
      <c r="C1944" s="478">
        <v>0.1</v>
      </c>
      <c r="D1944" s="1376" t="s">
        <v>1363</v>
      </c>
      <c r="E1944" s="143">
        <v>1200000</v>
      </c>
      <c r="F1944" s="779">
        <v>0.08</v>
      </c>
      <c r="G1944" s="535">
        <f t="shared" si="99"/>
        <v>96000</v>
      </c>
      <c r="H1944" s="241" t="s">
        <v>1090</v>
      </c>
      <c r="I1944" s="241" t="s">
        <v>989</v>
      </c>
      <c r="J1944" s="1274"/>
      <c r="K1944" s="27"/>
      <c r="L1944" s="27"/>
      <c r="M1944" s="14"/>
      <c r="N1944" s="14"/>
      <c r="O1944" s="14"/>
    </row>
    <row r="1945" spans="1:15" ht="15.75">
      <c r="A1945" s="1538"/>
      <c r="B1945" s="209" t="s">
        <v>297</v>
      </c>
      <c r="C1945" s="348">
        <v>0.1</v>
      </c>
      <c r="D1945" s="1382" t="s">
        <v>1364</v>
      </c>
      <c r="E1945" s="308"/>
      <c r="F1945" s="877"/>
      <c r="G1945" s="1124"/>
      <c r="H1945" s="209" t="s">
        <v>1090</v>
      </c>
      <c r="I1945" s="209" t="s">
        <v>989</v>
      </c>
      <c r="J1945" s="1310" t="s">
        <v>1365</v>
      </c>
      <c r="K1945" s="27"/>
      <c r="L1945" s="27"/>
      <c r="M1945" s="14"/>
      <c r="N1945" s="14"/>
      <c r="O1945" s="14"/>
    </row>
    <row r="1946" spans="1:15" ht="18">
      <c r="A1946" s="1538"/>
      <c r="B1946" s="209" t="s">
        <v>297</v>
      </c>
      <c r="C1946" s="785"/>
      <c r="D1946" s="1437" t="s">
        <v>1366</v>
      </c>
      <c r="E1946" s="308"/>
      <c r="F1946" s="877"/>
      <c r="G1946" s="1124"/>
      <c r="H1946" s="209"/>
      <c r="I1946" s="209"/>
      <c r="J1946" s="1401" t="s">
        <v>1367</v>
      </c>
      <c r="K1946" s="27"/>
      <c r="L1946" s="27"/>
      <c r="M1946" s="772" t="s">
        <v>80</v>
      </c>
      <c r="N1946" s="772"/>
      <c r="O1946" s="533">
        <f>SUM(O1938:O1945)</f>
        <v>166000</v>
      </c>
    </row>
    <row r="1947" spans="1:15" ht="15.75">
      <c r="A1947" s="1538"/>
      <c r="B1947" s="209" t="s">
        <v>297</v>
      </c>
      <c r="C1947" s="348"/>
      <c r="D1947" s="819" t="s">
        <v>1368</v>
      </c>
      <c r="E1947" s="308"/>
      <c r="F1947" s="877"/>
      <c r="G1947" s="1124"/>
      <c r="H1947" s="209"/>
      <c r="I1947" s="209"/>
      <c r="J1947" s="1310" t="s">
        <v>1369</v>
      </c>
      <c r="K1947" s="27"/>
      <c r="L1947" s="27"/>
      <c r="M1947" s="14"/>
      <c r="N1947" s="14"/>
      <c r="O1947" s="14"/>
    </row>
    <row r="1948" spans="1:15" ht="20.25">
      <c r="A1948" s="1538"/>
      <c r="B1948" s="1319"/>
      <c r="C1948" s="1270"/>
      <c r="D1948" s="1091"/>
      <c r="E1948" s="1110">
        <f>SUM(E1938:E1947)</f>
        <v>9400000</v>
      </c>
      <c r="F1948" s="1091"/>
      <c r="G1948" s="332">
        <f>SUM(G1938:G1947)</f>
        <v>616000</v>
      </c>
      <c r="H1948" s="1091"/>
      <c r="I1948" s="1091"/>
      <c r="J1948" s="1271"/>
      <c r="K1948" s="27"/>
      <c r="L1948" s="27"/>
      <c r="M1948" s="906" t="s">
        <v>80</v>
      </c>
      <c r="N1948" s="906"/>
      <c r="O1948" s="869">
        <f>G1948+O1946</f>
        <v>782000</v>
      </c>
    </row>
    <row r="1951" spans="1:15" ht="23.25">
      <c r="A1951" s="1539" t="s">
        <v>1093</v>
      </c>
      <c r="B1951" s="1540"/>
      <c r="C1951" s="1540"/>
      <c r="D1951" s="1540"/>
      <c r="E1951" s="1540"/>
      <c r="F1951" s="1540"/>
      <c r="G1951" s="1540"/>
      <c r="H1951" s="1540"/>
      <c r="I1951" s="1540"/>
      <c r="J1951" s="1540"/>
      <c r="K1951" s="1533" t="s">
        <v>2</v>
      </c>
      <c r="L1951" s="1533"/>
      <c r="M1951" s="1533"/>
      <c r="N1951" s="1533"/>
      <c r="O1951" s="1533"/>
    </row>
    <row r="1952" spans="1:15" ht="30.75">
      <c r="A1952" s="126" t="s">
        <v>3</v>
      </c>
      <c r="B1952" s="3" t="s">
        <v>120</v>
      </c>
      <c r="C1952" s="2" t="s">
        <v>4</v>
      </c>
      <c r="D1952" s="3" t="s">
        <v>5</v>
      </c>
      <c r="E1952" s="3" t="s">
        <v>6</v>
      </c>
      <c r="F1952" s="3" t="s">
        <v>7</v>
      </c>
      <c r="G1952" s="3" t="s">
        <v>8</v>
      </c>
      <c r="H1952" s="3" t="s">
        <v>9</v>
      </c>
      <c r="I1952" s="3" t="s">
        <v>10</v>
      </c>
      <c r="J1952" s="3" t="s">
        <v>11</v>
      </c>
      <c r="K1952" s="657" t="s">
        <v>12</v>
      </c>
      <c r="L1952" s="68" t="s">
        <v>5</v>
      </c>
      <c r="M1952" s="68" t="s">
        <v>13</v>
      </c>
      <c r="N1952" s="129" t="s">
        <v>7</v>
      </c>
      <c r="O1952" s="68" t="s">
        <v>14</v>
      </c>
    </row>
    <row r="1953" spans="1:15" ht="15.75">
      <c r="A1953" s="1538">
        <v>5</v>
      </c>
      <c r="B1953" s="241">
        <v>15218</v>
      </c>
      <c r="C1953" s="1207">
        <v>0.1</v>
      </c>
      <c r="D1953" s="1396" t="s">
        <v>1370</v>
      </c>
      <c r="E1953" s="143">
        <v>1900000</v>
      </c>
      <c r="F1953" s="231">
        <v>0.08</v>
      </c>
      <c r="G1953" s="535">
        <f>E1953*F1953</f>
        <v>152000</v>
      </c>
      <c r="H1953" s="241" t="s">
        <v>1095</v>
      </c>
      <c r="I1953" s="241" t="s">
        <v>100</v>
      </c>
      <c r="J1953" s="1350"/>
      <c r="K1953" s="14"/>
      <c r="L1953" s="27"/>
      <c r="M1953" s="14"/>
      <c r="N1953" s="14"/>
      <c r="O1953" s="14"/>
    </row>
    <row r="1954" spans="1:15" ht="15.75">
      <c r="A1954" s="1538"/>
      <c r="B1954" s="241">
        <v>15215</v>
      </c>
      <c r="C1954" s="1207">
        <v>0.1</v>
      </c>
      <c r="D1954" s="1397" t="s">
        <v>1371</v>
      </c>
      <c r="E1954" s="143">
        <v>1400000</v>
      </c>
      <c r="F1954" s="779">
        <v>0.05</v>
      </c>
      <c r="G1954" s="535">
        <f t="shared" ref="G1954:G1960" si="100">E1954*F1954</f>
        <v>70000</v>
      </c>
      <c r="H1954" s="241" t="s">
        <v>30</v>
      </c>
      <c r="I1954" s="241" t="s">
        <v>989</v>
      </c>
      <c r="J1954" s="1274"/>
      <c r="K1954" s="27"/>
      <c r="L1954" s="27"/>
      <c r="M1954" s="14"/>
      <c r="N1954" s="14"/>
      <c r="O1954" s="14"/>
    </row>
    <row r="1955" spans="1:15" ht="15.75">
      <c r="A1955" s="1538"/>
      <c r="B1955" s="241">
        <v>15311</v>
      </c>
      <c r="C1955" s="1357">
        <v>0.09</v>
      </c>
      <c r="D1955" s="1397" t="s">
        <v>1322</v>
      </c>
      <c r="E1955" s="143">
        <v>1700000</v>
      </c>
      <c r="F1955" s="234">
        <v>0.03</v>
      </c>
      <c r="G1955" s="535">
        <f t="shared" si="100"/>
        <v>51000</v>
      </c>
      <c r="H1955" s="241" t="s">
        <v>311</v>
      </c>
      <c r="I1955" s="241" t="s">
        <v>989</v>
      </c>
      <c r="J1955" s="1274"/>
      <c r="K1955" s="27"/>
      <c r="L1955" s="27"/>
      <c r="M1955" s="14"/>
      <c r="N1955" s="14"/>
      <c r="O1955" s="14"/>
    </row>
    <row r="1956" spans="1:15" ht="15.75">
      <c r="A1956" s="1538"/>
      <c r="B1956" s="241">
        <v>15290</v>
      </c>
      <c r="C1956" s="1357">
        <v>0.08</v>
      </c>
      <c r="D1956" s="243" t="s">
        <v>1372</v>
      </c>
      <c r="E1956" s="143">
        <v>1600000</v>
      </c>
      <c r="F1956" s="234">
        <v>0.04</v>
      </c>
      <c r="G1956" s="535">
        <f t="shared" si="100"/>
        <v>64000</v>
      </c>
      <c r="H1956" s="241" t="s">
        <v>30</v>
      </c>
      <c r="I1956" s="241" t="s">
        <v>989</v>
      </c>
      <c r="J1956" s="1274"/>
      <c r="K1956" s="27"/>
      <c r="L1956" s="27"/>
      <c r="M1956" s="14"/>
      <c r="N1956" s="14"/>
      <c r="O1956" s="14"/>
    </row>
    <row r="1957" spans="1:15" ht="15.75">
      <c r="A1957" s="1538"/>
      <c r="B1957" s="241">
        <v>15299</v>
      </c>
      <c r="C1957" s="1207">
        <v>0.1</v>
      </c>
      <c r="D1957" s="1376" t="s">
        <v>561</v>
      </c>
      <c r="E1957" s="143">
        <v>850000</v>
      </c>
      <c r="F1957" s="779">
        <v>0.05</v>
      </c>
      <c r="G1957" s="535">
        <f t="shared" si="100"/>
        <v>42500</v>
      </c>
      <c r="H1957" s="241" t="s">
        <v>30</v>
      </c>
      <c r="I1957" s="241" t="s">
        <v>242</v>
      </c>
      <c r="J1957" s="1274"/>
      <c r="K1957" s="27"/>
      <c r="L1957" s="27"/>
      <c r="M1957" s="14"/>
      <c r="N1957" s="14"/>
      <c r="O1957" s="14"/>
    </row>
    <row r="1958" spans="1:15" ht="15.75">
      <c r="A1958" s="1538"/>
      <c r="B1958" s="241">
        <v>15333</v>
      </c>
      <c r="C1958" s="1207">
        <v>0.1</v>
      </c>
      <c r="D1958" s="1376" t="s">
        <v>1373</v>
      </c>
      <c r="E1958" s="143">
        <v>950000</v>
      </c>
      <c r="F1958" s="779">
        <v>0.05</v>
      </c>
      <c r="G1958" s="535">
        <f t="shared" si="100"/>
        <v>47500</v>
      </c>
      <c r="H1958" s="241" t="s">
        <v>30</v>
      </c>
      <c r="I1958" s="241" t="s">
        <v>242</v>
      </c>
      <c r="J1958" s="1274"/>
      <c r="K1958" s="27"/>
      <c r="L1958" s="27"/>
      <c r="M1958" s="14"/>
      <c r="N1958" s="14"/>
      <c r="O1958" s="14"/>
    </row>
    <row r="1959" spans="1:15" ht="15.75">
      <c r="A1959" s="1538"/>
      <c r="B1959" s="241">
        <v>15338</v>
      </c>
      <c r="C1959" s="1357">
        <v>0.08</v>
      </c>
      <c r="D1959" s="1376" t="s">
        <v>1374</v>
      </c>
      <c r="E1959" s="143">
        <v>2000000</v>
      </c>
      <c r="F1959" s="234">
        <v>0.06</v>
      </c>
      <c r="G1959" s="535">
        <f t="shared" si="100"/>
        <v>120000</v>
      </c>
      <c r="H1959" s="241" t="s">
        <v>1095</v>
      </c>
      <c r="I1959" s="241" t="s">
        <v>989</v>
      </c>
      <c r="J1959" s="1274"/>
      <c r="K1959" s="27"/>
      <c r="L1959" s="27"/>
      <c r="M1959" s="14"/>
      <c r="N1959" s="14"/>
      <c r="O1959" s="14"/>
    </row>
    <row r="1960" spans="1:15" ht="15.75">
      <c r="A1960" s="1538"/>
      <c r="B1960" s="241">
        <v>15369</v>
      </c>
      <c r="C1960" s="1207">
        <v>0.1</v>
      </c>
      <c r="D1960" s="243" t="s">
        <v>154</v>
      </c>
      <c r="E1960" s="143">
        <v>1050000</v>
      </c>
      <c r="F1960" s="779">
        <v>0.05</v>
      </c>
      <c r="G1960" s="535">
        <f t="shared" si="100"/>
        <v>52500</v>
      </c>
      <c r="H1960" s="241" t="s">
        <v>30</v>
      </c>
      <c r="I1960" s="241" t="s">
        <v>242</v>
      </c>
      <c r="J1960" s="1274"/>
      <c r="K1960" s="27"/>
      <c r="L1960" s="27"/>
      <c r="M1960" s="14"/>
      <c r="N1960" s="14"/>
      <c r="O1960" s="14"/>
    </row>
    <row r="1961" spans="1:15" ht="15.75">
      <c r="A1961" s="1538"/>
      <c r="B1961" s="209" t="s">
        <v>297</v>
      </c>
      <c r="C1961" s="1211"/>
      <c r="D1961" s="1255" t="s">
        <v>1375</v>
      </c>
      <c r="E1961" s="308"/>
      <c r="F1961" s="877"/>
      <c r="G1961" s="1124"/>
      <c r="H1961" s="209" t="s">
        <v>30</v>
      </c>
      <c r="I1961" s="209" t="s">
        <v>242</v>
      </c>
      <c r="J1961" s="1310" t="s">
        <v>1376</v>
      </c>
      <c r="K1961" s="27"/>
      <c r="L1961" s="27"/>
      <c r="M1961" s="14"/>
      <c r="N1961" s="14"/>
      <c r="O1961" s="14"/>
    </row>
    <row r="1962" spans="1:15" ht="30.75">
      <c r="A1962" s="1538"/>
      <c r="B1962" s="209" t="s">
        <v>297</v>
      </c>
      <c r="C1962" s="1403"/>
      <c r="D1962" s="1255" t="s">
        <v>1377</v>
      </c>
      <c r="E1962" s="308"/>
      <c r="F1962" s="877"/>
      <c r="G1962" s="1124"/>
      <c r="H1962" s="209"/>
      <c r="I1962" s="209"/>
      <c r="J1962" s="1462" t="s">
        <v>1378</v>
      </c>
      <c r="K1962" s="27"/>
      <c r="L1962" s="27"/>
      <c r="M1962" s="14"/>
      <c r="N1962" s="14"/>
      <c r="O1962" s="14"/>
    </row>
    <row r="1963" spans="1:15" ht="15.75">
      <c r="A1963" s="1538"/>
      <c r="B1963" s="209" t="s">
        <v>538</v>
      </c>
      <c r="C1963" s="1211"/>
      <c r="D1963" s="1382" t="s">
        <v>1379</v>
      </c>
      <c r="E1963" s="1211"/>
      <c r="F1963" s="1382"/>
      <c r="G1963" s="1124"/>
      <c r="H1963" s="209"/>
      <c r="I1963" s="209"/>
      <c r="J1963" s="1310" t="s">
        <v>538</v>
      </c>
      <c r="K1963" s="27"/>
      <c r="L1963" s="27"/>
      <c r="M1963" s="14"/>
      <c r="N1963" s="14"/>
      <c r="O1963" s="14"/>
    </row>
    <row r="1964" spans="1:15" ht="20.25">
      <c r="A1964" s="1538"/>
      <c r="B1964" s="1319"/>
      <c r="C1964" s="1270"/>
      <c r="D1964" s="1091"/>
      <c r="E1964" s="1110">
        <f>SUM(E1953:E1963)</f>
        <v>11450000</v>
      </c>
      <c r="F1964" s="1091"/>
      <c r="G1964" s="332">
        <f>SUM(G1953:G1963)</f>
        <v>599500</v>
      </c>
      <c r="H1964" s="1091"/>
      <c r="I1964" s="1091"/>
      <c r="J1964" s="1271"/>
      <c r="K1964" s="27"/>
      <c r="L1964" s="27"/>
      <c r="M1964" s="906" t="s">
        <v>80</v>
      </c>
      <c r="N1964" s="906"/>
      <c r="O1964" s="869">
        <f>G1964</f>
        <v>599500</v>
      </c>
    </row>
    <row r="1967" spans="1:15" ht="23.25">
      <c r="A1967" s="1530" t="s">
        <v>1097</v>
      </c>
      <c r="B1967" s="1531"/>
      <c r="C1967" s="1532"/>
      <c r="D1967" s="1531"/>
      <c r="E1967" s="1531"/>
      <c r="F1967" s="1531"/>
      <c r="G1967" s="1531"/>
      <c r="H1967" s="1532"/>
      <c r="I1967" s="1532"/>
      <c r="J1967" s="1532"/>
      <c r="K1967" s="1533" t="s">
        <v>2</v>
      </c>
      <c r="L1967" s="1533"/>
      <c r="M1967" s="1533"/>
      <c r="N1967" s="1533"/>
      <c r="O1967" s="1533"/>
    </row>
    <row r="1968" spans="1:15" ht="30.75">
      <c r="A1968" s="126" t="s">
        <v>3</v>
      </c>
      <c r="B1968" s="3" t="s">
        <v>120</v>
      </c>
      <c r="C1968" s="367" t="s">
        <v>4</v>
      </c>
      <c r="D1968" s="1" t="s">
        <v>5</v>
      </c>
      <c r="E1968" s="1" t="s">
        <v>6</v>
      </c>
      <c r="F1968" s="126" t="s">
        <v>7</v>
      </c>
      <c r="G1968" s="3" t="s">
        <v>8</v>
      </c>
      <c r="H1968" s="361" t="s">
        <v>9</v>
      </c>
      <c r="I1968" s="1" t="s">
        <v>10</v>
      </c>
      <c r="J1968" s="126" t="s">
        <v>11</v>
      </c>
      <c r="K1968" s="3" t="s">
        <v>12</v>
      </c>
      <c r="L1968" s="3" t="s">
        <v>5</v>
      </c>
      <c r="M1968" s="3" t="s">
        <v>13</v>
      </c>
      <c r="N1968" s="1" t="s">
        <v>7</v>
      </c>
      <c r="O1968" s="1" t="s">
        <v>14</v>
      </c>
    </row>
    <row r="1969" spans="1:15" ht="15.75">
      <c r="A1969" s="1630">
        <v>5</v>
      </c>
      <c r="B1969" s="135">
        <v>15193</v>
      </c>
      <c r="C1969" s="1206">
        <v>0.1</v>
      </c>
      <c r="D1969" s="137" t="s">
        <v>483</v>
      </c>
      <c r="E1969" s="558">
        <v>1050000</v>
      </c>
      <c r="F1969" s="534">
        <v>0.05</v>
      </c>
      <c r="G1969" s="278">
        <f>E1969*F1969</f>
        <v>52500</v>
      </c>
      <c r="H1969" s="238" t="s">
        <v>30</v>
      </c>
      <c r="I1969" s="241" t="s">
        <v>100</v>
      </c>
      <c r="J1969" s="1443"/>
      <c r="K1969" s="163"/>
      <c r="L1969" s="165"/>
      <c r="M1969" s="1101"/>
      <c r="N1969" s="27"/>
      <c r="O1969" s="27"/>
    </row>
    <row r="1970" spans="1:15" ht="15.75">
      <c r="A1970" s="1538"/>
      <c r="B1970" s="1301" t="s">
        <v>297</v>
      </c>
      <c r="C1970" s="348"/>
      <c r="D1970" s="1454" t="s">
        <v>1380</v>
      </c>
      <c r="E1970" s="1450"/>
      <c r="F1970" s="1412"/>
      <c r="G1970" s="1459"/>
      <c r="H1970" s="209"/>
      <c r="I1970" s="209"/>
      <c r="J1970" s="1414" t="s">
        <v>1381</v>
      </c>
      <c r="K1970" s="263"/>
      <c r="L1970" s="165"/>
      <c r="M1970" s="1101"/>
      <c r="N1970" s="959"/>
      <c r="O1970" s="959"/>
    </row>
    <row r="1971" spans="1:15" ht="15.75">
      <c r="A1971" s="1538"/>
      <c r="B1971" s="1301" t="s">
        <v>297</v>
      </c>
      <c r="C1971" s="348">
        <v>0.1</v>
      </c>
      <c r="D1971" s="1454" t="s">
        <v>1382</v>
      </c>
      <c r="E1971" s="1450"/>
      <c r="F1971" s="1412"/>
      <c r="G1971" s="1413"/>
      <c r="H1971" s="209" t="s">
        <v>30</v>
      </c>
      <c r="I1971" s="209" t="s">
        <v>242</v>
      </c>
      <c r="J1971" s="1414" t="s">
        <v>1383</v>
      </c>
      <c r="K1971" s="263"/>
      <c r="L1971" s="165"/>
      <c r="M1971" s="1101"/>
      <c r="N1971" s="959"/>
      <c r="O1971" s="959"/>
    </row>
    <row r="1972" spans="1:15" ht="15.75">
      <c r="A1972" s="1538"/>
      <c r="B1972" s="1301" t="s">
        <v>297</v>
      </c>
      <c r="C1972" s="348"/>
      <c r="D1972" s="1454" t="s">
        <v>1384</v>
      </c>
      <c r="E1972" s="1450"/>
      <c r="F1972" s="1412"/>
      <c r="G1972" s="1413"/>
      <c r="H1972" s="1410"/>
      <c r="I1972" s="1410"/>
      <c r="J1972" s="1414" t="s">
        <v>1310</v>
      </c>
      <c r="K1972" s="263"/>
      <c r="L1972" s="181"/>
      <c r="M1972" s="1099"/>
      <c r="N1972" s="959"/>
      <c r="O1972" s="959"/>
    </row>
    <row r="1973" spans="1:15" ht="20.25">
      <c r="A1973" s="1538"/>
      <c r="B1973" s="71"/>
      <c r="C1973" s="1261"/>
      <c r="D1973" s="14"/>
      <c r="E1973" s="1110">
        <f>SUM(E1969:E1972)</f>
        <v>1050000</v>
      </c>
      <c r="F1973" s="14"/>
      <c r="G1973" s="332">
        <f>SUM(G1969:G1972)</f>
        <v>52500</v>
      </c>
      <c r="H1973" s="14"/>
      <c r="I1973" s="14"/>
      <c r="J1973" s="14"/>
      <c r="K1973" s="273"/>
      <c r="L1973" s="165"/>
      <c r="M1973" s="906" t="s">
        <v>80</v>
      </c>
      <c r="N1973" s="906"/>
      <c r="O1973" s="869">
        <f>G1973</f>
        <v>52500</v>
      </c>
    </row>
    <row r="1974" spans="1:15" ht="20.25">
      <c r="L1974" s="1337"/>
      <c r="M1974" s="987"/>
      <c r="N1974" s="987"/>
      <c r="O1974" s="989"/>
    </row>
    <row r="1976" spans="1:15" ht="23.25">
      <c r="A1976" s="1530" t="s">
        <v>274</v>
      </c>
      <c r="B1976" s="1531"/>
      <c r="C1976" s="1532"/>
      <c r="D1976" s="1531"/>
      <c r="E1976" s="1531"/>
      <c r="F1976" s="1531"/>
      <c r="G1976" s="1531"/>
      <c r="H1976" s="1532"/>
      <c r="I1976" s="1532"/>
      <c r="J1976" s="1532"/>
      <c r="K1976" s="1533" t="s">
        <v>2</v>
      </c>
      <c r="L1976" s="1533"/>
      <c r="M1976" s="1533"/>
      <c r="N1976" s="1533"/>
      <c r="O1976" s="1533"/>
    </row>
    <row r="1977" spans="1:15" ht="30.75">
      <c r="A1977" s="126" t="s">
        <v>3</v>
      </c>
      <c r="B1977" s="1" t="s">
        <v>120</v>
      </c>
      <c r="C1977" s="367" t="s">
        <v>4</v>
      </c>
      <c r="D1977" s="3" t="s">
        <v>5</v>
      </c>
      <c r="E1977" s="361" t="s">
        <v>6</v>
      </c>
      <c r="F1977" s="1" t="s">
        <v>7</v>
      </c>
      <c r="G1977" s="1" t="s">
        <v>8</v>
      </c>
      <c r="H1977" s="361" t="s">
        <v>9</v>
      </c>
      <c r="I1977" s="1" t="s">
        <v>10</v>
      </c>
      <c r="J1977" s="126" t="s">
        <v>11</v>
      </c>
      <c r="K1977" s="3" t="s">
        <v>12</v>
      </c>
      <c r="L1977" s="3" t="s">
        <v>5</v>
      </c>
      <c r="M1977" s="3" t="s">
        <v>13</v>
      </c>
      <c r="N1977" s="1" t="s">
        <v>7</v>
      </c>
      <c r="O1977" s="1" t="s">
        <v>14</v>
      </c>
    </row>
    <row r="1978" spans="1:15" ht="15.75">
      <c r="A1978" s="1631"/>
      <c r="B1978" s="163"/>
      <c r="C1978" s="1276"/>
      <c r="D1978" s="165"/>
      <c r="E1978" s="1385"/>
      <c r="F1978" s="27"/>
      <c r="G1978" s="38"/>
      <c r="H1978" s="27"/>
      <c r="I1978" s="235"/>
      <c r="J1978" s="846"/>
      <c r="K1978" s="163"/>
      <c r="L1978" s="165"/>
      <c r="M1978" s="1101"/>
      <c r="N1978" s="27"/>
      <c r="O1978" s="27"/>
    </row>
    <row r="1979" spans="1:15" ht="15.75">
      <c r="A1979" s="1534"/>
      <c r="B1979" s="235"/>
      <c r="C1979" s="1352"/>
      <c r="D1979" s="794"/>
      <c r="E1979" s="1385"/>
      <c r="F1979" s="27"/>
      <c r="G1979" s="38"/>
      <c r="H1979" s="27"/>
      <c r="I1979" s="235"/>
      <c r="J1979" s="27"/>
      <c r="K1979" s="263"/>
      <c r="L1979" s="165"/>
      <c r="M1979" s="1101"/>
      <c r="N1979" s="27"/>
      <c r="O1979" s="27"/>
    </row>
    <row r="1980" spans="1:15" ht="15.75">
      <c r="A1980" s="1629"/>
      <c r="B1980" s="71"/>
      <c r="C1980" s="71"/>
      <c r="D1980" s="14"/>
      <c r="E1980" s="332">
        <f>SUM(E1978:E1979)</f>
        <v>0</v>
      </c>
      <c r="F1980" s="14"/>
      <c r="G1980" s="71"/>
      <c r="H1980" s="14"/>
      <c r="I1980" s="14"/>
      <c r="J1980" s="14"/>
      <c r="K1980" s="263"/>
      <c r="L1980" s="165"/>
      <c r="M1980" s="884"/>
      <c r="N1980" s="27"/>
      <c r="O1980" s="27"/>
    </row>
    <row r="1981" spans="1:15" ht="15.75">
      <c r="L1981" s="1045" t="s">
        <v>80</v>
      </c>
      <c r="M1981" s="539">
        <f>SUM(M1978:M1980)</f>
        <v>0</v>
      </c>
    </row>
    <row r="1983" spans="1:15" ht="18">
      <c r="A1983" s="1535" t="s">
        <v>68</v>
      </c>
      <c r="B1983" s="1535"/>
      <c r="C1983" s="365"/>
      <c r="D1983" s="341">
        <f>E1906+E1921+E1933+E1948+E1964+E1973+E1980</f>
        <v>67350000</v>
      </c>
    </row>
    <row r="1984" spans="1:15">
      <c r="A1984" s="1536" t="s">
        <v>69</v>
      </c>
      <c r="B1984" s="1536"/>
      <c r="C1984" s="22"/>
      <c r="D1984" s="20"/>
    </row>
    <row r="1985" spans="1:15">
      <c r="A1985" s="1537" t="s">
        <v>70</v>
      </c>
      <c r="B1985" s="1537"/>
      <c r="C1985" s="101"/>
      <c r="D1985" s="21"/>
    </row>
    <row r="1989" spans="1:15" ht="31.5">
      <c r="A1989" s="1546" t="s">
        <v>1385</v>
      </c>
      <c r="B1989" s="1547"/>
      <c r="C1989" s="1547"/>
      <c r="D1989" s="1547"/>
      <c r="E1989" s="1547"/>
      <c r="F1989" s="1547"/>
      <c r="G1989" s="1547"/>
      <c r="H1989" s="1547"/>
      <c r="I1989" s="1547"/>
      <c r="J1989" s="1547"/>
    </row>
    <row r="1990" spans="1:15" ht="23.25">
      <c r="A1990" s="1548" t="s">
        <v>56</v>
      </c>
      <c r="B1990" s="1532"/>
      <c r="C1990" s="1532"/>
      <c r="D1990" s="1531"/>
      <c r="E1990" s="1532"/>
      <c r="F1990" s="1532"/>
      <c r="G1990" s="1532"/>
      <c r="H1990" s="1532"/>
      <c r="I1990" s="1532"/>
      <c r="J1990" s="1549"/>
      <c r="K1990" s="1533" t="s">
        <v>2</v>
      </c>
      <c r="L1990" s="1533"/>
      <c r="M1990" s="1533"/>
      <c r="N1990" s="1533"/>
      <c r="O1990" s="1533"/>
    </row>
    <row r="1991" spans="1:15" ht="30.75">
      <c r="A1991" s="1" t="s">
        <v>3</v>
      </c>
      <c r="B1991" s="361" t="s">
        <v>120</v>
      </c>
      <c r="C1991" s="367" t="s">
        <v>4</v>
      </c>
      <c r="D1991" s="3" t="s">
        <v>5</v>
      </c>
      <c r="E1991" s="361" t="s">
        <v>6</v>
      </c>
      <c r="F1991" s="1" t="s">
        <v>7</v>
      </c>
      <c r="G1991" s="1" t="s">
        <v>8</v>
      </c>
      <c r="H1991" s="361" t="s">
        <v>9</v>
      </c>
      <c r="I1991" s="1" t="s">
        <v>10</v>
      </c>
      <c r="J1991" s="126" t="s">
        <v>11</v>
      </c>
      <c r="K1991" s="68" t="s">
        <v>12</v>
      </c>
      <c r="L1991" s="68" t="s">
        <v>5</v>
      </c>
      <c r="M1991" s="68" t="s">
        <v>13</v>
      </c>
      <c r="N1991" s="129" t="s">
        <v>7</v>
      </c>
      <c r="O1991" s="68" t="s">
        <v>14</v>
      </c>
    </row>
    <row r="1992" spans="1:15" ht="15.75">
      <c r="A1992" s="1633" t="s">
        <v>1216</v>
      </c>
      <c r="B1992" s="241">
        <v>15407</v>
      </c>
      <c r="C1992" s="1119">
        <v>0.1</v>
      </c>
      <c r="D1992" s="1232" t="s">
        <v>1386</v>
      </c>
      <c r="E1992" s="1044">
        <v>1650000</v>
      </c>
      <c r="F1992" s="1119">
        <v>0.1</v>
      </c>
      <c r="G1992" s="619">
        <f>E1992*F1992</f>
        <v>165000</v>
      </c>
      <c r="H1992" s="995" t="s">
        <v>311</v>
      </c>
      <c r="I1992" s="1121" t="s">
        <v>100</v>
      </c>
      <c r="J1992" s="998"/>
      <c r="K1992" s="241">
        <v>15418</v>
      </c>
      <c r="L1992" s="1376" t="s">
        <v>1387</v>
      </c>
      <c r="M1992" s="143">
        <v>1600000</v>
      </c>
      <c r="N1992" s="232">
        <v>0.05</v>
      </c>
      <c r="O1992" s="178">
        <f>M1992*N1992</f>
        <v>80000</v>
      </c>
    </row>
    <row r="1993" spans="1:15" ht="15.75">
      <c r="A1993" s="1634"/>
      <c r="B1993" s="241">
        <v>15438</v>
      </c>
      <c r="C1993" s="1119">
        <v>0.1</v>
      </c>
      <c r="D1993" s="259" t="s">
        <v>1388</v>
      </c>
      <c r="E1993" s="1044">
        <v>1700000</v>
      </c>
      <c r="F1993" s="1119">
        <v>0.1</v>
      </c>
      <c r="G1993" s="619">
        <f t="shared" ref="G1993:G2003" si="101">E1993*F1993</f>
        <v>170000</v>
      </c>
      <c r="H1993" s="995" t="s">
        <v>311</v>
      </c>
      <c r="I1993" s="997" t="s">
        <v>100</v>
      </c>
      <c r="J1993" s="998"/>
      <c r="K1993" s="241">
        <v>15446</v>
      </c>
      <c r="L1993" s="1397" t="s">
        <v>1389</v>
      </c>
      <c r="M1993" s="143">
        <v>1450000</v>
      </c>
      <c r="N1993" s="1356">
        <v>0.04</v>
      </c>
      <c r="O1993" s="178">
        <f>M1993*N1993</f>
        <v>58000</v>
      </c>
    </row>
    <row r="1994" spans="1:15" ht="15.75">
      <c r="A1994" s="1634"/>
      <c r="B1994" s="241">
        <v>15466</v>
      </c>
      <c r="C1994" s="1119">
        <v>0.1</v>
      </c>
      <c r="D1994" s="1232" t="s">
        <v>1390</v>
      </c>
      <c r="E1994" s="1469">
        <v>1200000</v>
      </c>
      <c r="F1994" s="1119">
        <v>0.1</v>
      </c>
      <c r="G1994" s="619">
        <f t="shared" si="101"/>
        <v>120000</v>
      </c>
      <c r="H1994" s="995" t="s">
        <v>311</v>
      </c>
      <c r="I1994" s="997" t="s">
        <v>242</v>
      </c>
      <c r="J1994" s="1055"/>
      <c r="K1994" s="27"/>
      <c r="L1994" s="1253"/>
      <c r="M1994" s="27"/>
      <c r="N1994" s="27"/>
      <c r="O1994" s="29"/>
    </row>
    <row r="1995" spans="1:15" ht="15.75">
      <c r="A1995" s="1634"/>
      <c r="B1995" s="241">
        <v>15471</v>
      </c>
      <c r="C1995" s="1118">
        <v>0.1</v>
      </c>
      <c r="D1995" s="1312" t="s">
        <v>1391</v>
      </c>
      <c r="E1995" s="1044">
        <v>1500000</v>
      </c>
      <c r="F1995" s="1119">
        <v>0.1</v>
      </c>
      <c r="G1995" s="619">
        <f t="shared" si="101"/>
        <v>150000</v>
      </c>
      <c r="H1995" s="995" t="s">
        <v>311</v>
      </c>
      <c r="I1995" s="1121" t="s">
        <v>100</v>
      </c>
      <c r="J1995" s="998"/>
      <c r="K1995" s="27"/>
      <c r="L1995" s="1253"/>
      <c r="M1995" s="27"/>
      <c r="N1995" s="27"/>
      <c r="O1995" s="29"/>
    </row>
    <row r="1996" spans="1:15" ht="15.75">
      <c r="A1996" s="1634"/>
      <c r="B1996" s="241">
        <v>15488</v>
      </c>
      <c r="C1996" s="933">
        <v>0.1</v>
      </c>
      <c r="D1996" s="259" t="s">
        <v>1392</v>
      </c>
      <c r="E1996" s="1044">
        <v>1700000</v>
      </c>
      <c r="F1996" s="1119">
        <v>0.06</v>
      </c>
      <c r="G1996" s="619">
        <f t="shared" si="101"/>
        <v>102000</v>
      </c>
      <c r="H1996" s="995" t="s">
        <v>30</v>
      </c>
      <c r="I1996" s="1121" t="s">
        <v>989</v>
      </c>
      <c r="J1996" s="998"/>
      <c r="K1996" s="27"/>
      <c r="L1996" s="1253"/>
      <c r="M1996" s="27"/>
      <c r="N1996" s="27"/>
      <c r="O1996" s="29"/>
    </row>
    <row r="1997" spans="1:15" ht="15.75">
      <c r="A1997" s="1634"/>
      <c r="B1997" s="241">
        <v>15464</v>
      </c>
      <c r="C1997" s="933">
        <v>0.1</v>
      </c>
      <c r="D1997" s="259" t="s">
        <v>1393</v>
      </c>
      <c r="E1997" s="1044">
        <v>1600000</v>
      </c>
      <c r="F1997" s="1119">
        <v>0.1</v>
      </c>
      <c r="G1997" s="619">
        <f t="shared" si="101"/>
        <v>160000</v>
      </c>
      <c r="H1997" s="995" t="s">
        <v>311</v>
      </c>
      <c r="I1997" s="1121" t="s">
        <v>242</v>
      </c>
      <c r="J1997" s="998"/>
      <c r="K1997" s="27"/>
      <c r="L1997" s="1253"/>
      <c r="M1997" s="27"/>
      <c r="N1997" s="27"/>
      <c r="O1997" s="29"/>
    </row>
    <row r="1998" spans="1:15" ht="15.75">
      <c r="A1998" s="1634"/>
      <c r="B1998" s="241">
        <v>15572</v>
      </c>
      <c r="C1998" s="933">
        <v>0.1</v>
      </c>
      <c r="D1998" s="259" t="s">
        <v>1394</v>
      </c>
      <c r="E1998" s="1044">
        <v>1450000</v>
      </c>
      <c r="F1998" s="1119">
        <v>0.1</v>
      </c>
      <c r="G1998" s="619">
        <f t="shared" si="101"/>
        <v>145000</v>
      </c>
      <c r="H1998" s="995" t="s">
        <v>311</v>
      </c>
      <c r="I1998" s="1121" t="s">
        <v>989</v>
      </c>
      <c r="J1998" s="998"/>
      <c r="K1998" s="27"/>
      <c r="L1998" s="1253"/>
      <c r="M1998" s="27"/>
      <c r="N1998" s="27"/>
      <c r="O1998" s="29"/>
    </row>
    <row r="1999" spans="1:15" ht="15.75">
      <c r="A1999" s="1634"/>
      <c r="B1999" s="241">
        <v>15618</v>
      </c>
      <c r="C1999" s="871">
        <v>0.09</v>
      </c>
      <c r="D1999" s="259" t="s">
        <v>1395</v>
      </c>
      <c r="E1999" s="1044">
        <v>1900000</v>
      </c>
      <c r="F1999" s="1329">
        <v>0.08</v>
      </c>
      <c r="G1999" s="619">
        <f>E1999*F1999</f>
        <v>152000</v>
      </c>
      <c r="H1999" s="995" t="s">
        <v>311</v>
      </c>
      <c r="I1999" s="1121" t="s">
        <v>989</v>
      </c>
      <c r="J1999" s="998"/>
      <c r="K1999" s="27"/>
      <c r="L1999" s="1253"/>
      <c r="M1999" s="27"/>
      <c r="N1999" s="27"/>
      <c r="O1999" s="29"/>
    </row>
    <row r="2000" spans="1:15" ht="15.75">
      <c r="A2000" s="1634"/>
      <c r="B2000" s="241">
        <v>15624</v>
      </c>
      <c r="C2000" s="933">
        <v>0.1</v>
      </c>
      <c r="D2000" s="259" t="s">
        <v>1396</v>
      </c>
      <c r="E2000" s="1044">
        <v>1650000</v>
      </c>
      <c r="F2000" s="1119">
        <v>0.06</v>
      </c>
      <c r="G2000" s="619">
        <f t="shared" si="101"/>
        <v>99000</v>
      </c>
      <c r="H2000" s="995" t="s">
        <v>30</v>
      </c>
      <c r="I2000" s="1121" t="s">
        <v>989</v>
      </c>
      <c r="J2000" s="998"/>
      <c r="K2000" s="27"/>
      <c r="L2000" s="1253"/>
      <c r="M2000" s="27"/>
      <c r="N2000" s="27"/>
      <c r="O2000" s="29"/>
    </row>
    <row r="2001" spans="1:15" ht="15.75">
      <c r="A2001" s="1634"/>
      <c r="B2001" s="135">
        <v>15645</v>
      </c>
      <c r="C2001" s="933">
        <v>0.1</v>
      </c>
      <c r="D2001" s="259" t="s">
        <v>494</v>
      </c>
      <c r="E2001" s="1044">
        <v>1000000</v>
      </c>
      <c r="F2001" s="1119">
        <v>0.06</v>
      </c>
      <c r="G2001" s="619">
        <f t="shared" si="101"/>
        <v>60000</v>
      </c>
      <c r="H2001" s="995" t="s">
        <v>30</v>
      </c>
      <c r="I2001" s="1121" t="s">
        <v>100</v>
      </c>
      <c r="J2001" s="998"/>
      <c r="K2001" s="27"/>
      <c r="L2001" s="1253"/>
      <c r="M2001" s="27"/>
      <c r="N2001" s="27"/>
      <c r="O2001" s="29"/>
    </row>
    <row r="2002" spans="1:15" ht="18">
      <c r="A2002" s="1634"/>
      <c r="B2002" s="209" t="s">
        <v>297</v>
      </c>
      <c r="C2002" s="1471">
        <v>0.08</v>
      </c>
      <c r="D2002" s="757" t="s">
        <v>1397</v>
      </c>
      <c r="E2002" s="1248"/>
      <c r="F2002" s="1249"/>
      <c r="G2002" s="943"/>
      <c r="H2002" s="1011" t="s">
        <v>30</v>
      </c>
      <c r="I2002" s="1419" t="s">
        <v>989</v>
      </c>
      <c r="J2002" s="1012" t="s">
        <v>1398</v>
      </c>
      <c r="K2002" s="27"/>
      <c r="L2002" s="1253"/>
      <c r="M2002" s="772" t="s">
        <v>80</v>
      </c>
      <c r="N2002" s="772"/>
      <c r="O2002" s="533">
        <f>SUM(O1992:O1994)</f>
        <v>138000</v>
      </c>
    </row>
    <row r="2003" spans="1:15" ht="15.75">
      <c r="A2003" s="1634"/>
      <c r="B2003" s="209" t="s">
        <v>297</v>
      </c>
      <c r="C2003" s="1471"/>
      <c r="D2003" s="819" t="s">
        <v>1399</v>
      </c>
      <c r="E2003" s="1248"/>
      <c r="F2003" s="1249"/>
      <c r="G2003" s="943"/>
      <c r="H2003" s="1011"/>
      <c r="I2003" s="1419"/>
      <c r="J2003" s="1012" t="s">
        <v>1400</v>
      </c>
      <c r="K2003" s="27"/>
      <c r="L2003" s="1253"/>
      <c r="M2003" s="14"/>
      <c r="N2003" s="14"/>
      <c r="O2003" s="14"/>
    </row>
    <row r="2004" spans="1:15" ht="20.25">
      <c r="A2004" s="1635"/>
      <c r="B2004" s="263"/>
      <c r="C2004" s="788"/>
      <c r="D2004" s="165"/>
      <c r="E2004" s="1272">
        <f>SUM(E1992:E2003)</f>
        <v>15350000</v>
      </c>
      <c r="F2004" s="659"/>
      <c r="G2004" s="895">
        <f>SUM(G1992:G2003)</f>
        <v>1323000</v>
      </c>
      <c r="H2004" s="999"/>
      <c r="I2004" s="1093"/>
      <c r="J2004" s="1440"/>
      <c r="K2004" s="1091"/>
      <c r="L2004" s="27"/>
      <c r="M2004" s="906" t="s">
        <v>80</v>
      </c>
      <c r="N2004" s="906"/>
      <c r="O2004" s="869">
        <f>G2004+O2002</f>
        <v>1461000</v>
      </c>
    </row>
    <row r="2005" spans="1:15">
      <c r="A2005" s="32"/>
      <c r="B2005" s="85"/>
      <c r="C2005" s="85"/>
      <c r="D2005" s="32"/>
      <c r="E2005" s="32"/>
      <c r="F2005" s="32"/>
      <c r="G2005" s="85"/>
      <c r="H2005" s="32"/>
      <c r="I2005" s="32"/>
      <c r="J2005" s="32"/>
    </row>
    <row r="2006" spans="1:15">
      <c r="A2006" s="32"/>
      <c r="B2006" s="85"/>
      <c r="C2006" s="85"/>
      <c r="D2006" s="32"/>
      <c r="E2006" s="32"/>
      <c r="F2006" s="32"/>
      <c r="G2006" s="85"/>
      <c r="H2006" s="32"/>
      <c r="I2006" s="32"/>
      <c r="J2006" s="32"/>
    </row>
    <row r="2007" spans="1:15" ht="23.25">
      <c r="A2007" s="1548" t="s">
        <v>465</v>
      </c>
      <c r="B2007" s="1532"/>
      <c r="C2007" s="1532"/>
      <c r="D2007" s="1531"/>
      <c r="E2007" s="1532"/>
      <c r="F2007" s="1532"/>
      <c r="G2007" s="1532"/>
      <c r="H2007" s="1532"/>
      <c r="I2007" s="1532"/>
      <c r="J2007" s="1549"/>
      <c r="K2007" s="1533" t="s">
        <v>2</v>
      </c>
      <c r="L2007" s="1533"/>
      <c r="M2007" s="1533"/>
      <c r="N2007" s="1533"/>
      <c r="O2007" s="1533"/>
    </row>
    <row r="2008" spans="1:15" ht="30.75">
      <c r="A2008" s="1" t="s">
        <v>3</v>
      </c>
      <c r="B2008" s="361" t="s">
        <v>120</v>
      </c>
      <c r="C2008" s="367" t="s">
        <v>4</v>
      </c>
      <c r="D2008" s="3" t="s">
        <v>5</v>
      </c>
      <c r="E2008" s="361" t="s">
        <v>6</v>
      </c>
      <c r="F2008" s="1" t="s">
        <v>7</v>
      </c>
      <c r="G2008" s="1" t="s">
        <v>8</v>
      </c>
      <c r="H2008" s="361" t="s">
        <v>9</v>
      </c>
      <c r="I2008" s="1" t="s">
        <v>10</v>
      </c>
      <c r="J2008" s="126" t="s">
        <v>11</v>
      </c>
      <c r="K2008" s="68" t="s">
        <v>12</v>
      </c>
      <c r="L2008" s="68" t="s">
        <v>5</v>
      </c>
      <c r="M2008" s="68" t="s">
        <v>13</v>
      </c>
      <c r="N2008" s="129" t="s">
        <v>7</v>
      </c>
      <c r="O2008" s="68" t="s">
        <v>14</v>
      </c>
    </row>
    <row r="2009" spans="1:15" ht="15.75" customHeight="1">
      <c r="A2009" s="1538">
        <v>9</v>
      </c>
      <c r="B2009" s="241">
        <v>15434</v>
      </c>
      <c r="C2009" s="478">
        <v>0.1</v>
      </c>
      <c r="D2009" s="1396" t="s">
        <v>1401</v>
      </c>
      <c r="E2009" s="699">
        <v>1800000</v>
      </c>
      <c r="F2009" s="478">
        <v>0.08</v>
      </c>
      <c r="G2009" s="619">
        <f>E2009*F2009</f>
        <v>144000</v>
      </c>
      <c r="H2009" s="997" t="s">
        <v>520</v>
      </c>
      <c r="I2009" s="997" t="s">
        <v>242</v>
      </c>
      <c r="J2009" s="998"/>
      <c r="K2009" s="241">
        <v>15574</v>
      </c>
      <c r="L2009" s="1396" t="s">
        <v>1402</v>
      </c>
      <c r="M2009" s="1044">
        <v>1200000</v>
      </c>
      <c r="N2009" s="232">
        <v>0.04</v>
      </c>
      <c r="O2009" s="178">
        <f>M2009*N2009</f>
        <v>48000</v>
      </c>
    </row>
    <row r="2010" spans="1:15" ht="15.75" customHeight="1">
      <c r="A2010" s="1538"/>
      <c r="B2010" s="241">
        <v>15442</v>
      </c>
      <c r="C2010" s="478">
        <v>0.1</v>
      </c>
      <c r="D2010" s="1376" t="s">
        <v>1403</v>
      </c>
      <c r="E2010" s="699">
        <v>1200000</v>
      </c>
      <c r="F2010" s="478">
        <v>0.08</v>
      </c>
      <c r="G2010" s="619">
        <f>E2010*F2010</f>
        <v>96000</v>
      </c>
      <c r="H2010" s="997" t="s">
        <v>520</v>
      </c>
      <c r="I2010" s="997" t="s">
        <v>242</v>
      </c>
      <c r="J2010" s="998"/>
      <c r="K2010" s="27"/>
      <c r="L2010" s="1253"/>
      <c r="M2010" s="772" t="s">
        <v>80</v>
      </c>
      <c r="N2010" s="772"/>
      <c r="O2010" s="533">
        <f>SUM(O2009)</f>
        <v>48000</v>
      </c>
    </row>
    <row r="2011" spans="1:15" ht="15.75" customHeight="1">
      <c r="A2011" s="1538"/>
      <c r="B2011" s="209">
        <v>15553</v>
      </c>
      <c r="C2011" s="1249"/>
      <c r="D2011" s="1351" t="s">
        <v>1404</v>
      </c>
      <c r="E2011" s="1248"/>
      <c r="F2011" s="1249"/>
      <c r="G2011" s="1249"/>
      <c r="H2011" s="1419"/>
      <c r="I2011" s="1419"/>
      <c r="J2011" s="1477"/>
      <c r="K2011" s="163"/>
      <c r="L2011" s="1253"/>
      <c r="M2011" s="14"/>
      <c r="N2011" s="14"/>
      <c r="O2011" s="14"/>
    </row>
    <row r="2012" spans="1:15" ht="19.5" customHeight="1">
      <c r="A2012" s="1538"/>
      <c r="B2012" s="263"/>
      <c r="C2012" s="659"/>
      <c r="D2012" s="165"/>
      <c r="E2012" s="1272">
        <f>SUM(E2009:E2011)</f>
        <v>3000000</v>
      </c>
      <c r="F2012" s="659"/>
      <c r="G2012" s="895">
        <f>SUM(G2009:G2011)</f>
        <v>240000</v>
      </c>
      <c r="H2012" s="999"/>
      <c r="I2012" s="1093"/>
      <c r="J2012" s="1134"/>
      <c r="K2012" s="27"/>
      <c r="L2012" s="27"/>
      <c r="M2012" s="906" t="s">
        <v>80</v>
      </c>
      <c r="N2012" s="906"/>
      <c r="O2012" s="869">
        <f>G2012+O2010</f>
        <v>288000</v>
      </c>
    </row>
    <row r="2013" spans="1:15" ht="15" customHeight="1">
      <c r="A2013" s="1632"/>
      <c r="B2013" s="1636"/>
      <c r="C2013" s="1636"/>
      <c r="D2013" s="1636"/>
      <c r="E2013" s="1636"/>
      <c r="F2013" s="1636"/>
      <c r="G2013" s="1636"/>
      <c r="H2013" s="1636"/>
      <c r="I2013" s="1636"/>
      <c r="J2013" s="1636"/>
      <c r="K2013" s="1636"/>
      <c r="L2013" s="1636"/>
      <c r="M2013" s="1636"/>
      <c r="N2013" s="1636"/>
      <c r="O2013" s="1636"/>
    </row>
    <row r="2014" spans="1:15" ht="15" customHeight="1">
      <c r="A2014" s="1637"/>
      <c r="B2014" s="1638"/>
      <c r="C2014" s="1638"/>
      <c r="D2014" s="1638"/>
      <c r="E2014" s="1638"/>
      <c r="F2014" s="1638"/>
      <c r="G2014" s="1638"/>
      <c r="H2014" s="1638"/>
      <c r="I2014" s="1638"/>
      <c r="J2014" s="1638"/>
      <c r="K2014" s="1638"/>
      <c r="L2014" s="1638"/>
      <c r="M2014" s="1638"/>
      <c r="N2014" s="1638"/>
      <c r="O2014" s="1638"/>
    </row>
    <row r="2015" spans="1:15" ht="23.25">
      <c r="A2015" s="1539" t="s">
        <v>1075</v>
      </c>
      <c r="B2015" s="1540"/>
      <c r="C2015" s="1540"/>
      <c r="D2015" s="1540"/>
      <c r="E2015" s="1540"/>
      <c r="F2015" s="1540"/>
      <c r="G2015" s="1540"/>
      <c r="H2015" s="1540"/>
      <c r="I2015" s="1540"/>
      <c r="J2015" s="1540"/>
      <c r="K2015" s="1533" t="s">
        <v>2</v>
      </c>
      <c r="L2015" s="1533"/>
      <c r="M2015" s="1533"/>
      <c r="N2015" s="1533"/>
      <c r="O2015" s="1533"/>
    </row>
    <row r="2016" spans="1:15" ht="30.75">
      <c r="A2016" s="126" t="s">
        <v>3</v>
      </c>
      <c r="B2016" s="3" t="s">
        <v>120</v>
      </c>
      <c r="C2016" s="2" t="s">
        <v>4</v>
      </c>
      <c r="D2016" s="3" t="s">
        <v>5</v>
      </c>
      <c r="E2016" s="3" t="s">
        <v>6</v>
      </c>
      <c r="F2016" s="3" t="s">
        <v>7</v>
      </c>
      <c r="G2016" s="3" t="s">
        <v>8</v>
      </c>
      <c r="H2016" s="3" t="s">
        <v>9</v>
      </c>
      <c r="I2016" s="3" t="s">
        <v>10</v>
      </c>
      <c r="J2016" s="3" t="s">
        <v>11</v>
      </c>
      <c r="K2016" s="657" t="s">
        <v>12</v>
      </c>
      <c r="L2016" s="68" t="s">
        <v>5</v>
      </c>
      <c r="M2016" s="68" t="s">
        <v>13</v>
      </c>
      <c r="N2016" s="129" t="s">
        <v>7</v>
      </c>
      <c r="O2016" s="68" t="s">
        <v>14</v>
      </c>
    </row>
    <row r="2017" spans="1:15" ht="15.75">
      <c r="A2017" s="1538">
        <v>20</v>
      </c>
      <c r="B2017" s="241">
        <v>15423</v>
      </c>
      <c r="C2017" s="140">
        <v>0.08</v>
      </c>
      <c r="D2017" s="1376" t="s">
        <v>1405</v>
      </c>
      <c r="E2017" s="143">
        <v>1350000</v>
      </c>
      <c r="F2017" s="234">
        <v>0.05</v>
      </c>
      <c r="G2017" s="1342">
        <f>E2017*F2017</f>
        <v>67500</v>
      </c>
      <c r="H2017" s="241" t="s">
        <v>30</v>
      </c>
      <c r="I2017" s="241" t="s">
        <v>242</v>
      </c>
      <c r="J2017" s="1350"/>
      <c r="K2017" s="1232">
        <v>15510</v>
      </c>
      <c r="L2017" s="1232" t="s">
        <v>1406</v>
      </c>
      <c r="M2017" s="143">
        <v>2450000</v>
      </c>
      <c r="N2017" s="232">
        <v>0.05</v>
      </c>
      <c r="O2017" s="143">
        <f>M2017*N2017</f>
        <v>122500</v>
      </c>
    </row>
    <row r="2018" spans="1:15" ht="15.75">
      <c r="A2018" s="1538"/>
      <c r="B2018" s="241">
        <v>15418</v>
      </c>
      <c r="C2018" s="478">
        <v>0.1</v>
      </c>
      <c r="D2018" s="1376" t="s">
        <v>1387</v>
      </c>
      <c r="E2018" s="143">
        <v>1600000</v>
      </c>
      <c r="F2018" s="231">
        <v>0.05</v>
      </c>
      <c r="G2018" s="1342">
        <f t="shared" ref="G2018:G2020" si="102">E2018*F2018</f>
        <v>80000</v>
      </c>
      <c r="H2018" s="241" t="s">
        <v>311</v>
      </c>
      <c r="I2018" s="241" t="s">
        <v>989</v>
      </c>
      <c r="J2018" s="1350"/>
      <c r="K2018" s="1514">
        <v>15673</v>
      </c>
      <c r="L2018" s="1232" t="s">
        <v>1407</v>
      </c>
      <c r="M2018" s="143">
        <v>1850000</v>
      </c>
      <c r="N2018" s="232">
        <v>0.05</v>
      </c>
      <c r="O2018" s="143">
        <f t="shared" ref="O2018:O2022" si="103">M2018*N2018</f>
        <v>92500</v>
      </c>
    </row>
    <row r="2019" spans="1:15" ht="15.75">
      <c r="A2019" s="1538"/>
      <c r="B2019" s="241">
        <v>15547</v>
      </c>
      <c r="C2019" s="478">
        <v>0.1</v>
      </c>
      <c r="D2019" s="243" t="s">
        <v>1408</v>
      </c>
      <c r="E2019" s="143">
        <v>1150000</v>
      </c>
      <c r="F2019" s="231">
        <v>0.1</v>
      </c>
      <c r="G2019" s="1342">
        <f t="shared" si="102"/>
        <v>115000</v>
      </c>
      <c r="H2019" s="241" t="s">
        <v>1015</v>
      </c>
      <c r="I2019" s="241" t="s">
        <v>989</v>
      </c>
      <c r="J2019" s="1350"/>
      <c r="K2019" s="1232">
        <v>15622</v>
      </c>
      <c r="L2019" s="1232" t="s">
        <v>1409</v>
      </c>
      <c r="M2019" s="143">
        <v>1850000</v>
      </c>
      <c r="N2019" s="232">
        <v>0.05</v>
      </c>
      <c r="O2019" s="143">
        <f t="shared" si="103"/>
        <v>92500</v>
      </c>
    </row>
    <row r="2020" spans="1:15" ht="15.75">
      <c r="A2020" s="1538"/>
      <c r="B2020" s="241">
        <v>15574</v>
      </c>
      <c r="C2020" s="1119">
        <v>0.1</v>
      </c>
      <c r="D2020" s="1396" t="s">
        <v>1402</v>
      </c>
      <c r="E2020" s="1044">
        <v>1200000</v>
      </c>
      <c r="F2020" s="1119">
        <v>0.05</v>
      </c>
      <c r="G2020" s="1342">
        <f t="shared" si="102"/>
        <v>60000</v>
      </c>
      <c r="H2020" s="241" t="s">
        <v>520</v>
      </c>
      <c r="I2020" s="241" t="s">
        <v>100</v>
      </c>
      <c r="J2020" s="1350"/>
      <c r="K2020" s="27"/>
      <c r="L2020" s="27"/>
      <c r="M2020" s="14"/>
      <c r="N2020" s="14"/>
      <c r="O2020" s="1502"/>
    </row>
    <row r="2021" spans="1:15" ht="18">
      <c r="A2021" s="1538"/>
      <c r="B2021" s="209" t="s">
        <v>297</v>
      </c>
      <c r="C2021" s="348"/>
      <c r="D2021" s="1382" t="s">
        <v>1410</v>
      </c>
      <c r="E2021" s="308"/>
      <c r="F2021" s="212"/>
      <c r="G2021" s="212"/>
      <c r="H2021" s="209"/>
      <c r="I2021" s="209"/>
      <c r="J2021" s="1389" t="s">
        <v>1411</v>
      </c>
      <c r="K2021" s="27"/>
      <c r="L2021" s="27"/>
      <c r="M2021" s="772" t="s">
        <v>80</v>
      </c>
      <c r="N2021" s="772"/>
      <c r="O2021" s="533">
        <f>SUM(O2017:O2020)</f>
        <v>307500</v>
      </c>
    </row>
    <row r="2022" spans="1:15" ht="15.75">
      <c r="A2022" s="1538"/>
      <c r="B2022" s="209" t="s">
        <v>297</v>
      </c>
      <c r="C2022" s="348">
        <v>0.1</v>
      </c>
      <c r="D2022" s="1255" t="s">
        <v>1412</v>
      </c>
      <c r="E2022" s="1248"/>
      <c r="F2022" s="1249"/>
      <c r="G2022" s="212"/>
      <c r="H2022" s="209"/>
      <c r="I2022" s="209"/>
      <c r="J2022" s="1448" t="s">
        <v>1413</v>
      </c>
      <c r="K2022" s="27"/>
      <c r="L2022" s="27"/>
      <c r="M2022" s="14"/>
      <c r="N2022" s="14"/>
      <c r="O2022" s="14"/>
    </row>
    <row r="2023" spans="1:15" ht="20.25">
      <c r="A2023" s="1538"/>
      <c r="B2023" s="1319"/>
      <c r="C2023" s="1270"/>
      <c r="D2023" s="1091"/>
      <c r="E2023" s="1110">
        <f>SUM(E2017:E2022)</f>
        <v>5300000</v>
      </c>
      <c r="F2023" s="1091"/>
      <c r="G2023" s="895">
        <f>SUM(G2017:G2022)</f>
        <v>322500</v>
      </c>
      <c r="H2023" s="1091"/>
      <c r="I2023" s="1091"/>
      <c r="J2023" s="1271"/>
      <c r="K2023" s="27"/>
      <c r="L2023" s="27"/>
      <c r="M2023" s="906" t="s">
        <v>80</v>
      </c>
      <c r="N2023" s="906"/>
      <c r="O2023" s="869">
        <f>SUM(G2023+O2021)</f>
        <v>630000</v>
      </c>
    </row>
    <row r="2026" spans="1:15" ht="23.25">
      <c r="A2026" s="1539" t="s">
        <v>1087</v>
      </c>
      <c r="B2026" s="1540"/>
      <c r="C2026" s="1540"/>
      <c r="D2026" s="1540"/>
      <c r="E2026" s="1540"/>
      <c r="F2026" s="1540"/>
      <c r="G2026" s="1540"/>
      <c r="H2026" s="1540"/>
      <c r="I2026" s="1540"/>
      <c r="J2026" s="1540"/>
      <c r="K2026" s="1533" t="s">
        <v>2</v>
      </c>
      <c r="L2026" s="1533"/>
      <c r="M2026" s="1533"/>
      <c r="N2026" s="1533"/>
      <c r="O2026" s="1533"/>
    </row>
    <row r="2027" spans="1:15" ht="30.75">
      <c r="A2027" s="126" t="s">
        <v>3</v>
      </c>
      <c r="B2027" s="3" t="s">
        <v>120</v>
      </c>
      <c r="C2027" s="2" t="s">
        <v>4</v>
      </c>
      <c r="D2027" s="3" t="s">
        <v>5</v>
      </c>
      <c r="E2027" s="3" t="s">
        <v>6</v>
      </c>
      <c r="F2027" s="3" t="s">
        <v>7</v>
      </c>
      <c r="G2027" s="3" t="s">
        <v>8</v>
      </c>
      <c r="H2027" s="3" t="s">
        <v>9</v>
      </c>
      <c r="I2027" s="3" t="s">
        <v>10</v>
      </c>
      <c r="J2027" s="3" t="s">
        <v>11</v>
      </c>
      <c r="K2027" s="657" t="s">
        <v>12</v>
      </c>
      <c r="L2027" s="68" t="s">
        <v>5</v>
      </c>
      <c r="M2027" s="68" t="s">
        <v>13</v>
      </c>
      <c r="N2027" s="129" t="s">
        <v>7</v>
      </c>
      <c r="O2027" s="68" t="s">
        <v>14</v>
      </c>
    </row>
    <row r="2028" spans="1:15" ht="15.75">
      <c r="A2028" s="1538">
        <v>8</v>
      </c>
      <c r="B2028" s="241">
        <v>15441</v>
      </c>
      <c r="C2028" s="478">
        <v>0.1</v>
      </c>
      <c r="D2028" s="243" t="s">
        <v>1414</v>
      </c>
      <c r="E2028" s="143">
        <v>1200000</v>
      </c>
      <c r="F2028" s="779">
        <v>0.08</v>
      </c>
      <c r="G2028" s="535">
        <f>E2028*F2028</f>
        <v>96000</v>
      </c>
      <c r="H2028" s="241" t="s">
        <v>1090</v>
      </c>
      <c r="I2028" s="241" t="s">
        <v>989</v>
      </c>
      <c r="J2028" s="1274"/>
      <c r="K2028" s="27"/>
      <c r="L2028" s="27"/>
      <c r="M2028" s="27"/>
      <c r="N2028" s="27"/>
      <c r="O2028" s="27"/>
    </row>
    <row r="2029" spans="1:15" ht="15.75">
      <c r="A2029" s="1538"/>
      <c r="B2029" s="241">
        <v>15449</v>
      </c>
      <c r="C2029" s="478">
        <v>0.1</v>
      </c>
      <c r="D2029" s="1232" t="s">
        <v>1415</v>
      </c>
      <c r="E2029" s="143">
        <v>1700000</v>
      </c>
      <c r="F2029" s="779">
        <v>0.08</v>
      </c>
      <c r="G2029" s="535">
        <f t="shared" ref="G2029:G2034" si="104">E2029*F2029</f>
        <v>136000</v>
      </c>
      <c r="H2029" s="241" t="s">
        <v>1090</v>
      </c>
      <c r="I2029" s="241" t="s">
        <v>242</v>
      </c>
      <c r="J2029" s="1274"/>
      <c r="K2029" s="27"/>
      <c r="L2029" s="27"/>
      <c r="M2029" s="27"/>
      <c r="N2029" s="27"/>
      <c r="O2029" s="27"/>
    </row>
    <row r="2030" spans="1:15" ht="15.75">
      <c r="A2030" s="1538"/>
      <c r="B2030" s="241" t="s">
        <v>1416</v>
      </c>
      <c r="C2030" s="478">
        <v>0.1</v>
      </c>
      <c r="D2030" s="1232" t="s">
        <v>1417</v>
      </c>
      <c r="E2030" s="143">
        <v>1800000</v>
      </c>
      <c r="F2030" s="779">
        <v>0.08</v>
      </c>
      <c r="G2030" s="535">
        <f t="shared" si="104"/>
        <v>144000</v>
      </c>
      <c r="H2030" s="241" t="s">
        <v>1090</v>
      </c>
      <c r="I2030" s="241" t="s">
        <v>242</v>
      </c>
      <c r="J2030" s="1274"/>
      <c r="K2030" s="27"/>
      <c r="L2030" s="27"/>
      <c r="M2030" s="27"/>
      <c r="N2030" s="27"/>
      <c r="O2030" s="27"/>
    </row>
    <row r="2031" spans="1:15" ht="15.75">
      <c r="A2031" s="1538"/>
      <c r="B2031" s="241">
        <v>15489</v>
      </c>
      <c r="C2031" s="478">
        <v>0.1</v>
      </c>
      <c r="D2031" s="243" t="s">
        <v>1418</v>
      </c>
      <c r="E2031" s="143">
        <v>1350000</v>
      </c>
      <c r="F2031" s="779">
        <v>0.05</v>
      </c>
      <c r="G2031" s="535">
        <f t="shared" si="104"/>
        <v>67500</v>
      </c>
      <c r="H2031" s="241" t="s">
        <v>30</v>
      </c>
      <c r="I2031" s="241" t="s">
        <v>100</v>
      </c>
      <c r="J2031" s="1274"/>
      <c r="K2031" s="27"/>
      <c r="L2031" s="27"/>
      <c r="M2031" s="27"/>
      <c r="N2031" s="27"/>
      <c r="O2031" s="27"/>
    </row>
    <row r="2032" spans="1:15" ht="15.75">
      <c r="A2032" s="1538"/>
      <c r="B2032" s="241">
        <v>15575</v>
      </c>
      <c r="C2032" s="478">
        <v>0.1</v>
      </c>
      <c r="D2032" s="1232" t="s">
        <v>1419</v>
      </c>
      <c r="E2032" s="143">
        <v>1700000</v>
      </c>
      <c r="F2032" s="779">
        <v>0.08</v>
      </c>
      <c r="G2032" s="535">
        <f t="shared" si="104"/>
        <v>136000</v>
      </c>
      <c r="H2032" s="241" t="s">
        <v>1090</v>
      </c>
      <c r="I2032" s="241" t="s">
        <v>242</v>
      </c>
      <c r="J2032" s="1274"/>
      <c r="K2032" s="27"/>
      <c r="L2032" s="27"/>
      <c r="M2032" s="27"/>
      <c r="N2032" s="27"/>
      <c r="O2032" s="27"/>
    </row>
    <row r="2033" spans="1:15" ht="15.75">
      <c r="A2033" s="1538"/>
      <c r="B2033" s="241">
        <v>15604</v>
      </c>
      <c r="C2033" s="478">
        <v>0.1</v>
      </c>
      <c r="D2033" s="1232" t="s">
        <v>1420</v>
      </c>
      <c r="E2033" s="143">
        <v>1450000</v>
      </c>
      <c r="F2033" s="779">
        <v>0.05</v>
      </c>
      <c r="G2033" s="535">
        <f t="shared" si="104"/>
        <v>72500</v>
      </c>
      <c r="H2033" s="241" t="s">
        <v>30</v>
      </c>
      <c r="I2033" s="241" t="s">
        <v>242</v>
      </c>
      <c r="J2033" s="1274"/>
      <c r="K2033" s="27"/>
      <c r="L2033" s="27"/>
      <c r="M2033" s="27"/>
      <c r="N2033" s="27"/>
      <c r="O2033" s="27"/>
    </row>
    <row r="2034" spans="1:15" ht="15.75">
      <c r="A2034" s="1538"/>
      <c r="B2034" s="241">
        <v>15673</v>
      </c>
      <c r="C2034" s="478">
        <v>0.1</v>
      </c>
      <c r="D2034" s="1232" t="s">
        <v>1407</v>
      </c>
      <c r="E2034" s="143">
        <v>1850000</v>
      </c>
      <c r="F2034" s="779">
        <v>0.04</v>
      </c>
      <c r="G2034" s="535">
        <f t="shared" si="104"/>
        <v>74000</v>
      </c>
      <c r="H2034" s="241" t="s">
        <v>1015</v>
      </c>
      <c r="I2034" s="241" t="s">
        <v>242</v>
      </c>
      <c r="J2034" s="1274"/>
      <c r="K2034" s="27"/>
      <c r="L2034" s="27"/>
      <c r="M2034" s="27"/>
      <c r="N2034" s="27"/>
      <c r="O2034" s="27"/>
    </row>
    <row r="2035" spans="1:15" ht="15.75">
      <c r="A2035" s="1538"/>
      <c r="B2035" s="209" t="s">
        <v>297</v>
      </c>
      <c r="C2035" s="348"/>
      <c r="D2035" s="1382" t="s">
        <v>1421</v>
      </c>
      <c r="E2035" s="308"/>
      <c r="F2035" s="877"/>
      <c r="G2035" s="877"/>
      <c r="H2035" s="209"/>
      <c r="I2035" s="209"/>
      <c r="J2035" s="1310" t="s">
        <v>1422</v>
      </c>
      <c r="K2035" s="27"/>
      <c r="L2035" s="27"/>
      <c r="M2035" s="27"/>
      <c r="N2035" s="27"/>
      <c r="O2035" s="27"/>
    </row>
    <row r="2036" spans="1:15" ht="20.25">
      <c r="A2036" s="1538"/>
      <c r="B2036" s="1319"/>
      <c r="C2036" s="1270"/>
      <c r="D2036" s="1091"/>
      <c r="E2036" s="1110">
        <f>SUM(E2028:E2035)</f>
        <v>11050000</v>
      </c>
      <c r="F2036" s="1091"/>
      <c r="G2036" s="332">
        <f>SUM(G2028:G2035)</f>
        <v>726000</v>
      </c>
      <c r="H2036" s="1091"/>
      <c r="I2036" s="1091"/>
      <c r="J2036" s="1271"/>
      <c r="K2036" s="27"/>
      <c r="L2036" s="27"/>
      <c r="M2036" s="906" t="s">
        <v>80</v>
      </c>
      <c r="N2036" s="906"/>
      <c r="O2036" s="869">
        <f>G2036</f>
        <v>726000</v>
      </c>
    </row>
    <row r="2039" spans="1:15" ht="23.25">
      <c r="A2039" s="1539" t="s">
        <v>1093</v>
      </c>
      <c r="B2039" s="1540"/>
      <c r="C2039" s="1540"/>
      <c r="D2039" s="1540"/>
      <c r="E2039" s="1540"/>
      <c r="F2039" s="1540"/>
      <c r="G2039" s="1540"/>
      <c r="H2039" s="1540"/>
      <c r="I2039" s="1540"/>
      <c r="J2039" s="1540"/>
      <c r="K2039" s="1533" t="s">
        <v>2</v>
      </c>
      <c r="L2039" s="1533"/>
      <c r="M2039" s="1533"/>
      <c r="N2039" s="1533"/>
      <c r="O2039" s="1533"/>
    </row>
    <row r="2040" spans="1:15" ht="30.75">
      <c r="A2040" s="126" t="s">
        <v>3</v>
      </c>
      <c r="B2040" s="3" t="s">
        <v>120</v>
      </c>
      <c r="C2040" s="2" t="s">
        <v>4</v>
      </c>
      <c r="D2040" s="3" t="s">
        <v>5</v>
      </c>
      <c r="E2040" s="3" t="s">
        <v>6</v>
      </c>
      <c r="F2040" s="3" t="s">
        <v>7</v>
      </c>
      <c r="G2040" s="3" t="s">
        <v>8</v>
      </c>
      <c r="H2040" s="3" t="s">
        <v>9</v>
      </c>
      <c r="I2040" s="3" t="s">
        <v>10</v>
      </c>
      <c r="J2040" s="3" t="s">
        <v>11</v>
      </c>
      <c r="K2040" s="657" t="s">
        <v>12</v>
      </c>
      <c r="L2040" s="68" t="s">
        <v>5</v>
      </c>
      <c r="M2040" s="68" t="s">
        <v>13</v>
      </c>
      <c r="N2040" s="129" t="s">
        <v>7</v>
      </c>
      <c r="O2040" s="68" t="s">
        <v>14</v>
      </c>
    </row>
    <row r="2041" spans="1:15" ht="15.75">
      <c r="A2041" s="1538">
        <v>7</v>
      </c>
      <c r="B2041" s="241">
        <v>15457</v>
      </c>
      <c r="C2041" s="1357">
        <v>0.08</v>
      </c>
      <c r="D2041" s="1397" t="s">
        <v>1423</v>
      </c>
      <c r="E2041" s="143">
        <v>1500000</v>
      </c>
      <c r="F2041" s="234">
        <v>0.06</v>
      </c>
      <c r="G2041" s="535">
        <f>E2041*F2041</f>
        <v>90000</v>
      </c>
      <c r="H2041" s="241" t="s">
        <v>1095</v>
      </c>
      <c r="I2041" s="241" t="s">
        <v>989</v>
      </c>
      <c r="J2041" s="1274"/>
      <c r="K2041" s="27"/>
      <c r="L2041" s="27"/>
      <c r="M2041" s="14"/>
      <c r="N2041" s="14"/>
      <c r="O2041" s="14"/>
    </row>
    <row r="2042" spans="1:15" ht="15.75">
      <c r="A2042" s="1538"/>
      <c r="B2042" s="241">
        <v>15446</v>
      </c>
      <c r="C2042" s="1207">
        <v>0.1</v>
      </c>
      <c r="D2042" s="1397" t="s">
        <v>1389</v>
      </c>
      <c r="E2042" s="143">
        <v>1450000</v>
      </c>
      <c r="F2042" s="231">
        <v>0.04</v>
      </c>
      <c r="G2042" s="535">
        <f t="shared" ref="G2042:G2051" si="105">E2042*F2042</f>
        <v>58000</v>
      </c>
      <c r="H2042" s="241" t="s">
        <v>311</v>
      </c>
      <c r="I2042" s="241" t="s">
        <v>989</v>
      </c>
      <c r="J2042" s="1274"/>
      <c r="K2042" s="27"/>
      <c r="L2042" s="27"/>
      <c r="M2042" s="14"/>
      <c r="N2042" s="14"/>
      <c r="O2042" s="14"/>
    </row>
    <row r="2043" spans="1:15" ht="15.75">
      <c r="A2043" s="1538"/>
      <c r="B2043" s="241">
        <v>15514</v>
      </c>
      <c r="C2043" s="1207">
        <v>0.1</v>
      </c>
      <c r="D2043" s="243" t="s">
        <v>1424</v>
      </c>
      <c r="E2043" s="143">
        <v>1400000</v>
      </c>
      <c r="F2043" s="779">
        <v>0.08</v>
      </c>
      <c r="G2043" s="535">
        <f t="shared" si="105"/>
        <v>112000</v>
      </c>
      <c r="H2043" s="241" t="s">
        <v>1095</v>
      </c>
      <c r="I2043" s="241" t="s">
        <v>989</v>
      </c>
      <c r="J2043" s="1274"/>
      <c r="K2043" s="27"/>
      <c r="L2043" s="27"/>
      <c r="M2043" s="14"/>
      <c r="N2043" s="14"/>
      <c r="O2043" s="14"/>
    </row>
    <row r="2044" spans="1:15" ht="15.75">
      <c r="A2044" s="1538"/>
      <c r="B2044" s="241">
        <v>15491</v>
      </c>
      <c r="C2044" s="1207">
        <v>0.1</v>
      </c>
      <c r="D2044" s="1396" t="s">
        <v>1425</v>
      </c>
      <c r="E2044" s="143">
        <v>1600000</v>
      </c>
      <c r="F2044" s="231">
        <v>0.05</v>
      </c>
      <c r="G2044" s="535">
        <f t="shared" si="105"/>
        <v>80000</v>
      </c>
      <c r="H2044" s="241" t="s">
        <v>30</v>
      </c>
      <c r="I2044" s="241" t="s">
        <v>242</v>
      </c>
      <c r="J2044" s="1350"/>
      <c r="K2044" s="27"/>
      <c r="L2044" s="27"/>
      <c r="M2044" s="14"/>
      <c r="N2044" s="14"/>
      <c r="O2044" s="14"/>
    </row>
    <row r="2045" spans="1:15" ht="15.75">
      <c r="A2045" s="1538"/>
      <c r="B2045" s="241">
        <v>15507</v>
      </c>
      <c r="C2045" s="1207">
        <v>0.1</v>
      </c>
      <c r="D2045" s="259" t="s">
        <v>1426</v>
      </c>
      <c r="E2045" s="143">
        <v>1200000</v>
      </c>
      <c r="F2045" s="779">
        <v>0.05</v>
      </c>
      <c r="G2045" s="535">
        <f t="shared" si="105"/>
        <v>60000</v>
      </c>
      <c r="H2045" s="241" t="s">
        <v>30</v>
      </c>
      <c r="I2045" s="241" t="s">
        <v>100</v>
      </c>
      <c r="J2045" s="1274"/>
      <c r="K2045" s="27"/>
      <c r="L2045" s="27"/>
      <c r="M2045" s="14"/>
      <c r="N2045" s="14"/>
      <c r="O2045" s="14"/>
    </row>
    <row r="2046" spans="1:15" ht="15.75">
      <c r="A2046" s="1538"/>
      <c r="B2046" s="241">
        <v>15511</v>
      </c>
      <c r="C2046" s="1207">
        <v>0.1</v>
      </c>
      <c r="D2046" s="243" t="s">
        <v>1427</v>
      </c>
      <c r="E2046" s="143">
        <v>1400000</v>
      </c>
      <c r="F2046" s="779">
        <v>0.05</v>
      </c>
      <c r="G2046" s="535">
        <f t="shared" si="105"/>
        <v>70000</v>
      </c>
      <c r="H2046" s="241" t="s">
        <v>30</v>
      </c>
      <c r="I2046" s="241" t="s">
        <v>100</v>
      </c>
      <c r="J2046" s="1274"/>
      <c r="K2046" s="27"/>
      <c r="L2046" s="27"/>
      <c r="M2046" s="14"/>
      <c r="N2046" s="14"/>
      <c r="O2046" s="14"/>
    </row>
    <row r="2047" spans="1:15" ht="15.75">
      <c r="A2047" s="1538"/>
      <c r="B2047" s="241">
        <v>15536</v>
      </c>
      <c r="C2047" s="1207">
        <v>0.1</v>
      </c>
      <c r="D2047" s="1232" t="s">
        <v>1428</v>
      </c>
      <c r="E2047" s="143">
        <v>750000</v>
      </c>
      <c r="F2047" s="779">
        <v>0.08</v>
      </c>
      <c r="G2047" s="535">
        <f t="shared" si="105"/>
        <v>60000</v>
      </c>
      <c r="H2047" s="241" t="s">
        <v>1095</v>
      </c>
      <c r="I2047" s="241" t="s">
        <v>242</v>
      </c>
      <c r="J2047" s="1274"/>
      <c r="K2047" s="27"/>
      <c r="L2047" s="27"/>
      <c r="M2047" s="14"/>
      <c r="N2047" s="14"/>
      <c r="O2047" s="14"/>
    </row>
    <row r="2048" spans="1:15" ht="15.75">
      <c r="A2048" s="1538"/>
      <c r="B2048" s="241">
        <v>15556</v>
      </c>
      <c r="C2048" s="1357">
        <v>0.08</v>
      </c>
      <c r="D2048" s="1232" t="s">
        <v>1429</v>
      </c>
      <c r="E2048" s="143">
        <v>700000</v>
      </c>
      <c r="F2048" s="234">
        <v>0.03</v>
      </c>
      <c r="G2048" s="535">
        <f t="shared" si="105"/>
        <v>21000</v>
      </c>
      <c r="H2048" s="1476" t="s">
        <v>1430</v>
      </c>
      <c r="I2048" s="241" t="s">
        <v>989</v>
      </c>
      <c r="J2048" s="1353"/>
      <c r="K2048" s="27"/>
      <c r="L2048" s="27"/>
      <c r="M2048" s="14"/>
      <c r="N2048" s="14"/>
      <c r="O2048" s="14"/>
    </row>
    <row r="2049" spans="1:15" ht="15.75">
      <c r="A2049" s="1538"/>
      <c r="B2049" s="241">
        <v>15606</v>
      </c>
      <c r="C2049" s="1207">
        <v>0.1</v>
      </c>
      <c r="D2049" s="1232" t="s">
        <v>1431</v>
      </c>
      <c r="E2049" s="143">
        <v>1650000</v>
      </c>
      <c r="F2049" s="779">
        <v>0.04</v>
      </c>
      <c r="G2049" s="535">
        <f t="shared" si="105"/>
        <v>66000</v>
      </c>
      <c r="H2049" s="241" t="s">
        <v>1006</v>
      </c>
      <c r="I2049" s="241" t="s">
        <v>100</v>
      </c>
      <c r="J2049" s="1353"/>
      <c r="K2049" s="27"/>
      <c r="L2049" s="27"/>
      <c r="M2049" s="14"/>
      <c r="N2049" s="14"/>
      <c r="O2049" s="14"/>
    </row>
    <row r="2050" spans="1:15" ht="15.75">
      <c r="A2050" s="1538"/>
      <c r="B2050" s="241">
        <v>15622</v>
      </c>
      <c r="C2050" s="1207">
        <v>0.1</v>
      </c>
      <c r="D2050" s="1232" t="s">
        <v>1432</v>
      </c>
      <c r="E2050" s="143">
        <v>1850000</v>
      </c>
      <c r="F2050" s="779">
        <v>0.04</v>
      </c>
      <c r="G2050" s="535">
        <f t="shared" si="105"/>
        <v>74000</v>
      </c>
      <c r="H2050" s="241" t="s">
        <v>1015</v>
      </c>
      <c r="I2050" s="241" t="s">
        <v>100</v>
      </c>
      <c r="J2050" s="1353"/>
      <c r="K2050" s="27"/>
      <c r="L2050" s="27"/>
      <c r="M2050" s="14"/>
      <c r="N2050" s="14"/>
      <c r="O2050" s="14"/>
    </row>
    <row r="2051" spans="1:15" ht="15.75">
      <c r="A2051" s="1538"/>
      <c r="B2051" s="209" t="s">
        <v>297</v>
      </c>
      <c r="C2051" s="1211"/>
      <c r="D2051" s="1255" t="s">
        <v>1433</v>
      </c>
      <c r="E2051" s="308"/>
      <c r="F2051" s="877"/>
      <c r="G2051" s="877"/>
      <c r="H2051" s="209"/>
      <c r="I2051" s="209"/>
      <c r="J2051" s="1310" t="s">
        <v>1434</v>
      </c>
      <c r="K2051" s="27"/>
      <c r="L2051" s="27"/>
      <c r="M2051" s="14"/>
      <c r="N2051" s="14"/>
      <c r="O2051" s="14"/>
    </row>
    <row r="2052" spans="1:15" ht="20.25">
      <c r="A2052" s="1538"/>
      <c r="B2052" s="1319"/>
      <c r="C2052" s="1270"/>
      <c r="D2052" s="1091"/>
      <c r="E2052" s="1110">
        <f>SUM(E2041:E2051)</f>
        <v>13500000</v>
      </c>
      <c r="F2052" s="1091"/>
      <c r="G2052" s="332">
        <f>SUM(G2041:G2051)</f>
        <v>691000</v>
      </c>
      <c r="H2052" s="1091"/>
      <c r="I2052" s="1091"/>
      <c r="J2052" s="1271"/>
      <c r="K2052" s="27"/>
      <c r="L2052" s="27"/>
      <c r="M2052" s="906" t="s">
        <v>80</v>
      </c>
      <c r="N2052" s="906"/>
      <c r="O2052" s="869">
        <f>G2052</f>
        <v>691000</v>
      </c>
    </row>
    <row r="2055" spans="1:15" ht="23.25">
      <c r="A2055" s="1530" t="s">
        <v>1097</v>
      </c>
      <c r="B2055" s="1531"/>
      <c r="C2055" s="1532"/>
      <c r="D2055" s="1531"/>
      <c r="E2055" s="1531"/>
      <c r="F2055" s="1531"/>
      <c r="G2055" s="1531"/>
      <c r="H2055" s="1532"/>
      <c r="I2055" s="1532"/>
      <c r="J2055" s="1532"/>
      <c r="K2055" s="1533" t="s">
        <v>2</v>
      </c>
      <c r="L2055" s="1533"/>
      <c r="M2055" s="1533"/>
      <c r="N2055" s="1533"/>
      <c r="O2055" s="1533"/>
    </row>
    <row r="2056" spans="1:15" ht="30.75">
      <c r="A2056" s="126" t="s">
        <v>3</v>
      </c>
      <c r="B2056" s="3" t="s">
        <v>120</v>
      </c>
      <c r="C2056" s="367" t="s">
        <v>4</v>
      </c>
      <c r="D2056" s="3" t="s">
        <v>5</v>
      </c>
      <c r="E2056" s="361" t="s">
        <v>6</v>
      </c>
      <c r="F2056" s="1" t="s">
        <v>7</v>
      </c>
      <c r="G2056" s="1" t="s">
        <v>8</v>
      </c>
      <c r="H2056" s="361" t="s">
        <v>9</v>
      </c>
      <c r="I2056" s="1" t="s">
        <v>10</v>
      </c>
      <c r="J2056" s="126" t="s">
        <v>11</v>
      </c>
      <c r="K2056" s="3" t="s">
        <v>12</v>
      </c>
      <c r="L2056" s="3" t="s">
        <v>5</v>
      </c>
      <c r="M2056" s="3" t="s">
        <v>13</v>
      </c>
      <c r="N2056" s="1" t="s">
        <v>7</v>
      </c>
      <c r="O2056" s="1" t="s">
        <v>14</v>
      </c>
    </row>
    <row r="2057" spans="1:15" ht="15.75">
      <c r="A2057" s="1630">
        <v>7</v>
      </c>
      <c r="B2057" s="135">
        <v>15278</v>
      </c>
      <c r="C2057" s="188">
        <v>0.1</v>
      </c>
      <c r="D2057" s="1387" t="s">
        <v>1435</v>
      </c>
      <c r="E2057" s="143">
        <v>900000</v>
      </c>
      <c r="F2057" s="231">
        <v>0.05</v>
      </c>
      <c r="G2057" s="143">
        <f>E2057*F2057</f>
        <v>45000</v>
      </c>
      <c r="H2057" s="241" t="s">
        <v>30</v>
      </c>
      <c r="I2057" s="241" t="s">
        <v>242</v>
      </c>
      <c r="J2057" s="1443"/>
      <c r="K2057" s="163"/>
      <c r="L2057" s="165"/>
      <c r="M2057" s="1101"/>
      <c r="N2057" s="27"/>
      <c r="O2057" s="27"/>
    </row>
    <row r="2058" spans="1:15" ht="15.75">
      <c r="A2058" s="1538"/>
      <c r="B2058" s="135">
        <v>15643</v>
      </c>
      <c r="C2058" s="140">
        <v>0.08</v>
      </c>
      <c r="D2058" s="259" t="s">
        <v>1436</v>
      </c>
      <c r="E2058" s="143">
        <v>1600000</v>
      </c>
      <c r="F2058" s="234">
        <v>0.04</v>
      </c>
      <c r="G2058" s="143">
        <f t="shared" ref="G2058:G2059" si="106">E2058*F2058</f>
        <v>64000</v>
      </c>
      <c r="H2058" s="241" t="s">
        <v>30</v>
      </c>
      <c r="I2058" s="241" t="s">
        <v>100</v>
      </c>
      <c r="J2058" s="1443"/>
      <c r="K2058" s="263"/>
      <c r="L2058" s="165"/>
      <c r="M2058" s="1101"/>
      <c r="N2058" s="959"/>
      <c r="O2058" s="959"/>
    </row>
    <row r="2059" spans="1:15" ht="15.75">
      <c r="A2059" s="1538"/>
      <c r="B2059" s="1301" t="s">
        <v>297</v>
      </c>
      <c r="C2059" s="348"/>
      <c r="D2059" s="1454" t="s">
        <v>1437</v>
      </c>
      <c r="E2059" s="1450"/>
      <c r="F2059" s="1412"/>
      <c r="G2059" s="1412"/>
      <c r="H2059" s="209"/>
      <c r="I2059" s="209"/>
      <c r="J2059" s="1414" t="s">
        <v>1438</v>
      </c>
      <c r="K2059" s="263"/>
      <c r="L2059" s="165"/>
      <c r="M2059" s="1101"/>
      <c r="N2059" s="959"/>
      <c r="O2059" s="959"/>
    </row>
    <row r="2060" spans="1:15" ht="20.25">
      <c r="A2060" s="1538"/>
      <c r="B2060" s="71"/>
      <c r="C2060" s="71"/>
      <c r="D2060" s="14"/>
      <c r="E2060" s="1110">
        <f>SUM(E2057:E2059)</f>
        <v>2500000</v>
      </c>
      <c r="F2060" s="14"/>
      <c r="G2060" s="332">
        <f>SUM(G2057:G2059)</f>
        <v>109000</v>
      </c>
      <c r="H2060" s="14"/>
      <c r="I2060" s="14"/>
      <c r="J2060" s="14"/>
      <c r="K2060" s="263"/>
      <c r="L2060" s="165"/>
      <c r="M2060" s="906" t="s">
        <v>80</v>
      </c>
      <c r="N2060" s="906"/>
      <c r="O2060" s="869">
        <f>G2060</f>
        <v>109000</v>
      </c>
    </row>
    <row r="2061" spans="1:15">
      <c r="A2061" s="1639"/>
      <c r="B2061" s="1639"/>
      <c r="C2061" s="1639"/>
      <c r="D2061" s="1639"/>
      <c r="E2061" s="1639"/>
      <c r="F2061" s="1639"/>
      <c r="G2061" s="1639"/>
      <c r="H2061" s="1639"/>
      <c r="I2061" s="1639"/>
      <c r="J2061" s="1639"/>
      <c r="K2061" s="1639"/>
      <c r="L2061" s="1639"/>
      <c r="M2061" s="1639"/>
      <c r="N2061" s="1639"/>
      <c r="O2061" s="1639"/>
    </row>
    <row r="2062" spans="1:15">
      <c r="A2062" s="1627"/>
      <c r="B2062" s="1627"/>
      <c r="C2062" s="1627"/>
      <c r="D2062" s="1627"/>
      <c r="E2062" s="1627"/>
      <c r="F2062" s="1627"/>
      <c r="G2062" s="1627"/>
      <c r="H2062" s="1627"/>
      <c r="I2062" s="1627"/>
      <c r="J2062" s="1627"/>
      <c r="K2062" s="1627"/>
      <c r="L2062" s="1627"/>
      <c r="M2062" s="1627"/>
      <c r="N2062" s="1627"/>
      <c r="O2062" s="1627"/>
    </row>
    <row r="2063" spans="1:15" ht="23.25">
      <c r="A2063" s="1530" t="s">
        <v>1439</v>
      </c>
      <c r="B2063" s="1531"/>
      <c r="C2063" s="1532"/>
      <c r="D2063" s="1531"/>
      <c r="E2063" s="1531"/>
      <c r="F2063" s="1531"/>
      <c r="G2063" s="1531"/>
      <c r="H2063" s="1531"/>
      <c r="I2063" s="1531"/>
      <c r="J2063" s="1531"/>
      <c r="K2063" s="1533" t="s">
        <v>2</v>
      </c>
      <c r="L2063" s="1533"/>
      <c r="M2063" s="1533"/>
      <c r="N2063" s="1533"/>
      <c r="O2063" s="1533"/>
    </row>
    <row r="2064" spans="1:15" ht="30.75">
      <c r="A2064" s="126" t="s">
        <v>3</v>
      </c>
      <c r="B2064" s="1" t="s">
        <v>120</v>
      </c>
      <c r="C2064" s="367" t="s">
        <v>4</v>
      </c>
      <c r="D2064" s="1" t="s">
        <v>5</v>
      </c>
      <c r="E2064" s="1" t="s">
        <v>6</v>
      </c>
      <c r="F2064" s="1" t="s">
        <v>7</v>
      </c>
      <c r="G2064" s="126" t="s">
        <v>8</v>
      </c>
      <c r="H2064" s="3" t="s">
        <v>9</v>
      </c>
      <c r="I2064" s="3" t="s">
        <v>10</v>
      </c>
      <c r="J2064" s="3" t="s">
        <v>11</v>
      </c>
      <c r="K2064" s="1359" t="s">
        <v>12</v>
      </c>
      <c r="L2064" s="3" t="s">
        <v>5</v>
      </c>
      <c r="M2064" s="3" t="s">
        <v>13</v>
      </c>
      <c r="N2064" s="1" t="s">
        <v>7</v>
      </c>
      <c r="O2064" s="1" t="s">
        <v>14</v>
      </c>
    </row>
    <row r="2065" spans="1:15" ht="15.75">
      <c r="A2065" s="1630"/>
      <c r="B2065" s="241">
        <v>15435</v>
      </c>
      <c r="C2065" s="1032">
        <v>0.09</v>
      </c>
      <c r="D2065" s="1024" t="s">
        <v>1440</v>
      </c>
      <c r="E2065" s="558">
        <v>4300000</v>
      </c>
      <c r="F2065" s="1464"/>
      <c r="G2065" s="1465"/>
      <c r="H2065" s="241" t="s">
        <v>1441</v>
      </c>
      <c r="I2065" s="241" t="s">
        <v>91</v>
      </c>
      <c r="J2065" s="1470"/>
      <c r="K2065" s="163"/>
      <c r="L2065" s="165"/>
      <c r="M2065" s="1101"/>
      <c r="N2065" s="27"/>
      <c r="O2065" s="27"/>
    </row>
    <row r="2066" spans="1:15" ht="15.75">
      <c r="A2066" s="1538"/>
      <c r="B2066" s="1452"/>
      <c r="C2066" s="659"/>
      <c r="D2066" s="1453"/>
      <c r="E2066" s="1036"/>
      <c r="F2066" s="1426"/>
      <c r="G2066" s="1427"/>
      <c r="H2066" s="235"/>
      <c r="I2066" s="235"/>
      <c r="J2066" s="1429"/>
      <c r="K2066" s="263"/>
      <c r="L2066" s="165"/>
      <c r="M2066" s="1101"/>
      <c r="N2066" s="959"/>
      <c r="O2066" s="959"/>
    </row>
    <row r="2067" spans="1:15" ht="15.75">
      <c r="A2067" s="1538"/>
      <c r="B2067" s="71"/>
      <c r="C2067" s="71"/>
      <c r="D2067" s="14"/>
      <c r="E2067" s="1110">
        <f>SUM(E2065:E2066)</f>
        <v>4300000</v>
      </c>
      <c r="F2067" s="14"/>
      <c r="G2067" s="71"/>
      <c r="H2067" s="14"/>
      <c r="I2067" s="14"/>
      <c r="J2067" s="14"/>
      <c r="K2067" s="263"/>
      <c r="L2067" s="165"/>
      <c r="M2067" s="884"/>
      <c r="N2067" s="27"/>
      <c r="O2067" s="27"/>
    </row>
    <row r="2068" spans="1:15" ht="46.5">
      <c r="A2068" s="1481"/>
      <c r="E2068" s="1482"/>
      <c r="K2068" s="1290"/>
      <c r="L2068" s="165"/>
      <c r="M2068" s="884"/>
      <c r="N2068" s="32"/>
      <c r="O2068" s="32"/>
    </row>
    <row r="2069" spans="1:15" ht="23.25">
      <c r="A2069" s="1530" t="s">
        <v>1442</v>
      </c>
      <c r="B2069" s="1531"/>
      <c r="C2069" s="1532"/>
      <c r="D2069" s="1531"/>
      <c r="E2069" s="1531"/>
      <c r="F2069" s="1531"/>
      <c r="G2069" s="1531"/>
      <c r="H2069" s="1531"/>
      <c r="I2069" s="1531"/>
      <c r="J2069" s="1531"/>
      <c r="K2069" s="1290"/>
      <c r="L2069" s="165"/>
      <c r="M2069" s="884"/>
      <c r="N2069" s="32"/>
      <c r="O2069" s="32"/>
    </row>
    <row r="2070" spans="1:15" ht="30.75">
      <c r="A2070" s="126" t="s">
        <v>3</v>
      </c>
      <c r="B2070" s="3" t="s">
        <v>120</v>
      </c>
      <c r="C2070" s="2" t="s">
        <v>4</v>
      </c>
      <c r="D2070" s="3" t="s">
        <v>5</v>
      </c>
      <c r="E2070" s="361" t="s">
        <v>6</v>
      </c>
      <c r="F2070" s="1" t="s">
        <v>7</v>
      </c>
      <c r="G2070" s="1" t="s">
        <v>8</v>
      </c>
      <c r="H2070" s="361" t="s">
        <v>9</v>
      </c>
      <c r="I2070" s="1" t="s">
        <v>10</v>
      </c>
      <c r="J2070" s="126" t="s">
        <v>11</v>
      </c>
      <c r="K2070" s="3" t="s">
        <v>12</v>
      </c>
      <c r="L2070" s="3" t="s">
        <v>5</v>
      </c>
      <c r="M2070" s="3" t="s">
        <v>13</v>
      </c>
      <c r="N2070" s="1" t="s">
        <v>7</v>
      </c>
      <c r="O2070" s="1" t="s">
        <v>14</v>
      </c>
    </row>
    <row r="2071" spans="1:15" ht="15.75">
      <c r="A2071" s="1534"/>
      <c r="B2071" s="241">
        <v>15477</v>
      </c>
      <c r="C2071" s="1207">
        <v>0.1</v>
      </c>
      <c r="D2071" s="243" t="s">
        <v>1443</v>
      </c>
      <c r="E2071" s="1044">
        <v>1200000</v>
      </c>
      <c r="F2071" s="545"/>
      <c r="G2071" s="1260"/>
      <c r="H2071" s="241" t="s">
        <v>30</v>
      </c>
      <c r="I2071" s="241" t="s">
        <v>242</v>
      </c>
      <c r="J2071" s="545"/>
      <c r="K2071" s="263"/>
      <c r="L2071" s="165"/>
      <c r="M2071" s="1101"/>
      <c r="N2071" s="27"/>
      <c r="O2071" s="27"/>
    </row>
    <row r="2072" spans="1:15" ht="15.75">
      <c r="A2072" s="1534"/>
      <c r="B2072" s="241">
        <v>15528</v>
      </c>
      <c r="C2072" s="1357">
        <v>0.08</v>
      </c>
      <c r="D2072" s="243" t="s">
        <v>1444</v>
      </c>
      <c r="E2072" s="1044">
        <v>850000</v>
      </c>
      <c r="F2072" s="545"/>
      <c r="G2072" s="1260"/>
      <c r="H2072" s="241" t="s">
        <v>30</v>
      </c>
      <c r="I2072" s="241" t="s">
        <v>1445</v>
      </c>
      <c r="J2072" s="545"/>
      <c r="K2072" s="263"/>
      <c r="L2072" s="165"/>
      <c r="M2072" s="1101"/>
      <c r="N2072" s="27"/>
      <c r="O2072" s="27"/>
    </row>
    <row r="2073" spans="1:15" ht="15.75">
      <c r="A2073" s="1534"/>
      <c r="B2073" s="241">
        <v>15512</v>
      </c>
      <c r="C2073" s="1357">
        <v>0.08</v>
      </c>
      <c r="D2073" s="243" t="s">
        <v>1446</v>
      </c>
      <c r="E2073" s="1044">
        <v>800000</v>
      </c>
      <c r="F2073" s="545"/>
      <c r="G2073" s="1260"/>
      <c r="H2073" s="241" t="s">
        <v>30</v>
      </c>
      <c r="I2073" s="241" t="s">
        <v>1445</v>
      </c>
      <c r="J2073" s="545"/>
      <c r="K2073" s="263"/>
      <c r="L2073" s="165"/>
      <c r="M2073" s="1101"/>
      <c r="N2073" s="27"/>
      <c r="O2073" s="27"/>
    </row>
    <row r="2074" spans="1:15" ht="15.75">
      <c r="A2074" s="1629"/>
      <c r="B2074" s="71"/>
      <c r="C2074" s="71"/>
      <c r="D2074" s="14"/>
      <c r="E2074" s="1110">
        <f>SUM(E2071:E2073)</f>
        <v>2850000</v>
      </c>
      <c r="F2074" s="14"/>
      <c r="G2074" s="71"/>
      <c r="H2074" s="14"/>
      <c r="I2074" s="14"/>
      <c r="J2074" s="14"/>
      <c r="K2074" s="263"/>
      <c r="L2074" s="165"/>
      <c r="M2074" s="884"/>
      <c r="N2074" s="27"/>
      <c r="O2074" s="27"/>
    </row>
    <row r="2075" spans="1:15" ht="15.75">
      <c r="L2075" s="1045" t="s">
        <v>80</v>
      </c>
      <c r="M2075" s="539">
        <f>SUM(M2071:M2074)</f>
        <v>0</v>
      </c>
    </row>
    <row r="2077" spans="1:15" ht="18">
      <c r="A2077" s="1535" t="s">
        <v>68</v>
      </c>
      <c r="B2077" s="1535"/>
      <c r="C2077" s="365"/>
      <c r="D2077" s="341">
        <f>SUM(E2004+E2012+E2023+E2036+E2052+E2060+E2067+E2074)</f>
        <v>57850000</v>
      </c>
    </row>
    <row r="2078" spans="1:15">
      <c r="A2078" s="1536" t="s">
        <v>69</v>
      </c>
      <c r="B2078" s="1536"/>
      <c r="C2078" s="22"/>
      <c r="D2078" s="20"/>
    </row>
    <row r="2079" spans="1:15">
      <c r="A2079" s="1537" t="s">
        <v>70</v>
      </c>
      <c r="B2079" s="1537"/>
      <c r="C2079" s="101"/>
      <c r="D2079" s="21"/>
    </row>
    <row r="2083" spans="1:15" ht="31.5">
      <c r="A2083" s="1546" t="s">
        <v>1447</v>
      </c>
      <c r="B2083" s="1547"/>
      <c r="C2083" s="1547"/>
      <c r="D2083" s="1547"/>
      <c r="E2083" s="1547"/>
      <c r="F2083" s="1547"/>
      <c r="G2083" s="1547"/>
      <c r="H2083" s="1547"/>
      <c r="I2083" s="1547"/>
      <c r="J2083" s="1547"/>
    </row>
    <row r="2084" spans="1:15" ht="23.25">
      <c r="A2084" s="1548" t="s">
        <v>56</v>
      </c>
      <c r="B2084" s="1532"/>
      <c r="C2084" s="1532"/>
      <c r="D2084" s="1531"/>
      <c r="E2084" s="1532"/>
      <c r="F2084" s="1532"/>
      <c r="G2084" s="1532"/>
      <c r="H2084" s="1532"/>
      <c r="I2084" s="1532"/>
      <c r="J2084" s="1549"/>
      <c r="K2084" s="1533" t="s">
        <v>2</v>
      </c>
      <c r="L2084" s="1533"/>
      <c r="M2084" s="1533"/>
      <c r="N2084" s="1533"/>
      <c r="O2084" s="1533"/>
    </row>
    <row r="2085" spans="1:15" ht="30.75">
      <c r="A2085" s="1" t="s">
        <v>3</v>
      </c>
      <c r="B2085" s="361" t="s">
        <v>120</v>
      </c>
      <c r="C2085" s="367" t="s">
        <v>4</v>
      </c>
      <c r="D2085" s="3" t="s">
        <v>5</v>
      </c>
      <c r="E2085" s="361" t="s">
        <v>6</v>
      </c>
      <c r="F2085" s="1" t="s">
        <v>7</v>
      </c>
      <c r="G2085" s="1" t="s">
        <v>8</v>
      </c>
      <c r="H2085" s="361" t="s">
        <v>9</v>
      </c>
      <c r="I2085" s="1" t="s">
        <v>10</v>
      </c>
      <c r="J2085" s="126" t="s">
        <v>11</v>
      </c>
      <c r="K2085" s="68" t="s">
        <v>12</v>
      </c>
      <c r="L2085" s="68" t="s">
        <v>5</v>
      </c>
      <c r="M2085" s="68" t="s">
        <v>13</v>
      </c>
      <c r="N2085" s="129" t="s">
        <v>7</v>
      </c>
      <c r="O2085" s="68" t="s">
        <v>14</v>
      </c>
    </row>
    <row r="2086" spans="1:15" ht="15.75">
      <c r="A2086" s="1543"/>
      <c r="B2086" s="1122" t="s">
        <v>1448</v>
      </c>
      <c r="C2086" s="1373"/>
      <c r="D2086" s="1348" t="s">
        <v>1449</v>
      </c>
      <c r="E2086" s="1372"/>
      <c r="F2086" s="1373"/>
      <c r="G2086" s="1524"/>
      <c r="H2086" s="1525"/>
      <c r="I2086" s="1386"/>
      <c r="J2086" s="1526"/>
      <c r="K2086" s="959"/>
      <c r="L2086" s="27"/>
      <c r="M2086" s="27"/>
      <c r="N2086" s="27"/>
      <c r="O2086" s="27"/>
    </row>
    <row r="2087" spans="1:15" ht="15.75">
      <c r="A2087" s="1528"/>
      <c r="B2087" s="235"/>
      <c r="C2087" s="1137"/>
      <c r="D2087" s="266"/>
      <c r="E2087" s="1385"/>
      <c r="F2087" s="1137"/>
      <c r="G2087" s="895"/>
      <c r="H2087" s="999"/>
      <c r="I2087" s="1093"/>
      <c r="J2087" s="1484"/>
      <c r="K2087" s="27"/>
      <c r="L2087" s="1253"/>
      <c r="M2087" s="27"/>
      <c r="N2087" s="27"/>
      <c r="O2087" s="27"/>
    </row>
    <row r="2088" spans="1:15" ht="15.75">
      <c r="A2088" s="1528"/>
      <c r="B2088" s="235"/>
      <c r="C2088" s="1137"/>
      <c r="D2088" s="1231"/>
      <c r="E2088" s="1485"/>
      <c r="F2088" s="1137"/>
      <c r="G2088" s="1486"/>
      <c r="H2088" s="999"/>
      <c r="I2088" s="1093"/>
      <c r="J2088" s="1487"/>
      <c r="K2088" s="27"/>
      <c r="L2088" s="1253"/>
      <c r="M2088" s="27"/>
      <c r="N2088" s="27"/>
      <c r="O2088" s="27"/>
    </row>
    <row r="2089" spans="1:15" ht="15.75">
      <c r="A2089" s="1528"/>
      <c r="B2089" s="235"/>
      <c r="C2089" s="1488"/>
      <c r="D2089" s="1489"/>
      <c r="E2089" s="1385"/>
      <c r="F2089" s="1137"/>
      <c r="G2089" s="895"/>
      <c r="H2089" s="999"/>
      <c r="I2089" s="1483"/>
      <c r="J2089" s="1484"/>
      <c r="K2089" s="27"/>
      <c r="L2089" s="1253"/>
      <c r="M2089" s="27"/>
      <c r="N2089" s="27"/>
      <c r="O2089" s="27"/>
    </row>
    <row r="2090" spans="1:15" ht="15.75">
      <c r="A2090" s="1528"/>
      <c r="B2090" s="235"/>
      <c r="C2090" s="1490"/>
      <c r="D2090" s="266"/>
      <c r="E2090" s="1385"/>
      <c r="F2090" s="1137"/>
      <c r="G2090" s="895"/>
      <c r="H2090" s="999"/>
      <c r="I2090" s="1483"/>
      <c r="J2090" s="1484"/>
      <c r="K2090" s="27"/>
      <c r="L2090" s="1253"/>
      <c r="M2090" s="27"/>
      <c r="N2090" s="27"/>
      <c r="O2090" s="27"/>
    </row>
    <row r="2091" spans="1:15" ht="15.75">
      <c r="A2091" s="1528"/>
      <c r="B2091" s="235"/>
      <c r="C2091" s="1490"/>
      <c r="D2091" s="266"/>
      <c r="E2091" s="1385"/>
      <c r="F2091" s="1137"/>
      <c r="G2091" s="895"/>
      <c r="H2091" s="999"/>
      <c r="I2091" s="1483"/>
      <c r="J2091" s="1484"/>
      <c r="K2091" s="27"/>
      <c r="L2091" s="1253"/>
      <c r="M2091" s="27"/>
      <c r="N2091" s="27"/>
      <c r="O2091" s="27"/>
    </row>
    <row r="2092" spans="1:15" ht="15.75">
      <c r="A2092" s="1528"/>
      <c r="B2092" s="235"/>
      <c r="C2092" s="1490"/>
      <c r="D2092" s="266"/>
      <c r="E2092" s="1385"/>
      <c r="F2092" s="1137"/>
      <c r="G2092" s="895"/>
      <c r="H2092" s="999"/>
      <c r="I2092" s="1483"/>
      <c r="J2092" s="1484"/>
      <c r="K2092" s="27"/>
      <c r="L2092" s="1253"/>
      <c r="M2092" s="27"/>
      <c r="N2092" s="27"/>
      <c r="O2092" s="27"/>
    </row>
    <row r="2093" spans="1:15" ht="15.75">
      <c r="A2093" s="1528"/>
      <c r="B2093" s="235"/>
      <c r="C2093" s="1491"/>
      <c r="D2093" s="266"/>
      <c r="E2093" s="1385"/>
      <c r="F2093" s="1137"/>
      <c r="G2093" s="895"/>
      <c r="H2093" s="999"/>
      <c r="I2093" s="1483"/>
      <c r="J2093" s="1484"/>
      <c r="K2093" s="27"/>
      <c r="L2093" s="1253"/>
      <c r="M2093" s="27"/>
      <c r="N2093" s="27"/>
      <c r="O2093" s="27"/>
    </row>
    <row r="2094" spans="1:15" ht="15.75">
      <c r="A2094" s="1528"/>
      <c r="B2094" s="235"/>
      <c r="C2094" s="1490"/>
      <c r="D2094" s="266"/>
      <c r="E2094" s="1385"/>
      <c r="F2094" s="1137"/>
      <c r="G2094" s="895"/>
      <c r="H2094" s="999"/>
      <c r="I2094" s="1483"/>
      <c r="J2094" s="1484"/>
      <c r="K2094" s="27"/>
      <c r="L2094" s="1253"/>
      <c r="M2094" s="27"/>
      <c r="N2094" s="27"/>
      <c r="O2094" s="27"/>
    </row>
    <row r="2095" spans="1:15" ht="15.75">
      <c r="A2095" s="1528"/>
      <c r="B2095" s="235"/>
      <c r="C2095" s="1490"/>
      <c r="D2095" s="266"/>
      <c r="E2095" s="1385"/>
      <c r="F2095" s="1137"/>
      <c r="G2095" s="895"/>
      <c r="H2095" s="999"/>
      <c r="I2095" s="1483"/>
      <c r="J2095" s="1484"/>
      <c r="K2095" s="27"/>
      <c r="L2095" s="1253"/>
      <c r="M2095" s="27"/>
      <c r="N2095" s="27"/>
      <c r="O2095" s="27"/>
    </row>
    <row r="2096" spans="1:15" ht="15.75">
      <c r="A2096" s="1528"/>
      <c r="B2096" s="235"/>
      <c r="C2096" s="1491"/>
      <c r="D2096" s="266"/>
      <c r="E2096" s="1385"/>
      <c r="F2096" s="1137"/>
      <c r="G2096" s="895"/>
      <c r="H2096" s="999"/>
      <c r="I2096" s="1483"/>
      <c r="J2096" s="1487"/>
      <c r="K2096" s="27"/>
      <c r="L2096" s="1253"/>
      <c r="M2096" s="27"/>
      <c r="N2096" s="27"/>
      <c r="O2096" s="27"/>
    </row>
    <row r="2097" spans="1:15" ht="15.75">
      <c r="A2097" s="1528"/>
      <c r="B2097" s="235"/>
      <c r="C2097" s="1491"/>
      <c r="D2097" s="794"/>
      <c r="E2097" s="1385"/>
      <c r="F2097" s="1137"/>
      <c r="G2097" s="895"/>
      <c r="H2097" s="999"/>
      <c r="I2097" s="1483"/>
      <c r="J2097" s="1487"/>
      <c r="K2097" s="27"/>
      <c r="L2097" s="1253"/>
      <c r="M2097" s="27"/>
      <c r="N2097" s="27"/>
      <c r="O2097" s="27"/>
    </row>
    <row r="2098" spans="1:15" ht="15.75">
      <c r="A2098" s="1529"/>
      <c r="B2098" s="263"/>
      <c r="C2098" s="788"/>
      <c r="D2098" s="165"/>
      <c r="E2098" s="845">
        <f>SUM(E2086:E2097)</f>
        <v>0</v>
      </c>
      <c r="F2098" s="659"/>
      <c r="G2098" s="895">
        <f>SUM(G2086:G2097)</f>
        <v>0</v>
      </c>
      <c r="H2098" s="999"/>
      <c r="I2098" s="1093"/>
      <c r="J2098" s="1440"/>
      <c r="K2098" s="1091"/>
      <c r="L2098" s="27"/>
      <c r="M2098" s="27"/>
      <c r="N2098" s="27"/>
      <c r="O2098" s="27"/>
    </row>
    <row r="2099" spans="1:15">
      <c r="A2099" s="32"/>
      <c r="B2099" s="85"/>
      <c r="C2099" s="85"/>
      <c r="D2099" s="32"/>
      <c r="E2099" s="32"/>
      <c r="F2099" s="32"/>
      <c r="G2099" s="85"/>
      <c r="H2099" s="32"/>
      <c r="I2099" s="32"/>
      <c r="J2099" s="32"/>
    </row>
    <row r="2100" spans="1:15">
      <c r="A2100" s="32"/>
      <c r="B2100" s="85"/>
      <c r="C2100" s="85"/>
      <c r="D2100" s="32"/>
      <c r="E2100" s="32"/>
      <c r="F2100" s="32"/>
      <c r="G2100" s="85"/>
      <c r="H2100" s="32"/>
      <c r="I2100" s="32"/>
      <c r="J2100" s="32"/>
    </row>
    <row r="2101" spans="1:15" ht="23.25">
      <c r="A2101" s="1548" t="s">
        <v>465</v>
      </c>
      <c r="B2101" s="1532"/>
      <c r="C2101" s="1532"/>
      <c r="D2101" s="1531"/>
      <c r="E2101" s="1532"/>
      <c r="F2101" s="1532"/>
      <c r="G2101" s="1532"/>
      <c r="H2101" s="1532"/>
      <c r="I2101" s="1532"/>
      <c r="J2101" s="1549"/>
      <c r="K2101" s="1533" t="s">
        <v>2</v>
      </c>
      <c r="L2101" s="1533"/>
      <c r="M2101" s="1533"/>
      <c r="N2101" s="1533"/>
      <c r="O2101" s="1533"/>
    </row>
    <row r="2102" spans="1:15" ht="30.75">
      <c r="A2102" s="1" t="s">
        <v>3</v>
      </c>
      <c r="B2102" s="361" t="s">
        <v>120</v>
      </c>
      <c r="C2102" s="367" t="s">
        <v>4</v>
      </c>
      <c r="D2102" s="3" t="s">
        <v>5</v>
      </c>
      <c r="E2102" s="361" t="s">
        <v>6</v>
      </c>
      <c r="F2102" s="1" t="s">
        <v>7</v>
      </c>
      <c r="G2102" s="1" t="s">
        <v>8</v>
      </c>
      <c r="H2102" s="361" t="s">
        <v>9</v>
      </c>
      <c r="I2102" s="1" t="s">
        <v>10</v>
      </c>
      <c r="J2102" s="126" t="s">
        <v>11</v>
      </c>
      <c r="K2102" s="68" t="s">
        <v>12</v>
      </c>
      <c r="L2102" s="68" t="s">
        <v>5</v>
      </c>
      <c r="M2102" s="68" t="s">
        <v>13</v>
      </c>
      <c r="N2102" s="129" t="s">
        <v>7</v>
      </c>
      <c r="O2102" s="68" t="s">
        <v>14</v>
      </c>
    </row>
    <row r="2103" spans="1:15" ht="15.75">
      <c r="A2103" s="1528"/>
      <c r="B2103" s="1449" t="s">
        <v>1071</v>
      </c>
      <c r="C2103" s="1472">
        <v>0.08</v>
      </c>
      <c r="D2103" s="1348" t="s">
        <v>1450</v>
      </c>
      <c r="E2103" s="1372"/>
      <c r="F2103" s="1373"/>
      <c r="G2103" s="1439" t="s">
        <v>520</v>
      </c>
      <c r="H2103" s="1386" t="s">
        <v>242</v>
      </c>
      <c r="I2103" s="1386"/>
      <c r="J2103" s="1444"/>
      <c r="K2103" s="27"/>
      <c r="L2103" s="1253"/>
      <c r="M2103" s="27"/>
      <c r="N2103" s="1381"/>
      <c r="O2103" s="27"/>
    </row>
    <row r="2104" spans="1:15" ht="15.75">
      <c r="A2104" s="1528"/>
      <c r="B2104" s="1122" t="s">
        <v>1071</v>
      </c>
      <c r="C2104" s="1373">
        <v>0.1</v>
      </c>
      <c r="D2104" s="1468" t="s">
        <v>1451</v>
      </c>
      <c r="E2104" s="1372"/>
      <c r="F2104" s="1373"/>
      <c r="G2104" s="1439" t="s">
        <v>520</v>
      </c>
      <c r="H2104" s="1386" t="s">
        <v>100</v>
      </c>
      <c r="I2104" s="1386"/>
      <c r="J2104" s="1444"/>
      <c r="K2104" s="27"/>
      <c r="L2104" s="1253"/>
      <c r="M2104" s="27"/>
      <c r="N2104" s="27"/>
      <c r="O2104" s="27"/>
    </row>
    <row r="2105" spans="1:15" ht="15.75">
      <c r="A2105" s="1528"/>
      <c r="B2105" s="1449" t="s">
        <v>1448</v>
      </c>
      <c r="C2105" s="1472"/>
      <c r="D2105" s="1504" t="s">
        <v>1452</v>
      </c>
      <c r="E2105" s="1372"/>
      <c r="F2105" s="1373"/>
      <c r="G2105" s="1439" t="s">
        <v>30</v>
      </c>
      <c r="H2105" s="1386" t="s">
        <v>100</v>
      </c>
      <c r="I2105" s="1386"/>
      <c r="J2105" s="1444"/>
      <c r="K2105" s="163"/>
      <c r="L2105" s="1253"/>
      <c r="M2105" s="27"/>
      <c r="N2105" s="27"/>
      <c r="O2105" s="27"/>
    </row>
    <row r="2106" spans="1:15" ht="15.75">
      <c r="A2106" s="1528"/>
      <c r="B2106" s="235"/>
      <c r="C2106" s="1137"/>
      <c r="D2106" s="1231"/>
      <c r="E2106" s="1385"/>
      <c r="F2106" s="1137"/>
      <c r="G2106" s="1492"/>
      <c r="H2106" s="1483"/>
      <c r="I2106" s="1483"/>
      <c r="J2106" s="1493"/>
      <c r="K2106" s="163"/>
      <c r="L2106" s="1253"/>
      <c r="M2106" s="27"/>
      <c r="N2106" s="27"/>
      <c r="O2106" s="27"/>
    </row>
    <row r="2107" spans="1:15" ht="15.75">
      <c r="A2107" s="1528"/>
      <c r="B2107" s="235"/>
      <c r="C2107" s="1137"/>
      <c r="D2107" s="1324"/>
      <c r="E2107" s="1385"/>
      <c r="F2107" s="1137"/>
      <c r="G2107" s="1492"/>
      <c r="H2107" s="1483"/>
      <c r="I2107" s="1483"/>
      <c r="J2107" s="1493"/>
      <c r="K2107" s="163"/>
      <c r="L2107" s="1253"/>
      <c r="M2107" s="27"/>
      <c r="N2107" s="27"/>
      <c r="O2107" s="27"/>
    </row>
    <row r="2108" spans="1:15" ht="15.75">
      <c r="A2108" s="1529"/>
      <c r="B2108" s="263"/>
      <c r="C2108" s="659"/>
      <c r="D2108" s="165"/>
      <c r="E2108" s="845">
        <f>SUM(E2103:E2107)</f>
        <v>0</v>
      </c>
      <c r="F2108" s="659"/>
      <c r="G2108" s="895">
        <f>SUM(G2103:G2107)</f>
        <v>0</v>
      </c>
      <c r="H2108" s="999"/>
      <c r="I2108" s="1093"/>
      <c r="J2108" s="1134"/>
      <c r="K2108" s="27"/>
      <c r="L2108" s="27"/>
      <c r="M2108" s="27" t="s">
        <v>80</v>
      </c>
      <c r="N2108" s="27"/>
      <c r="O2108" s="29" t="e">
        <f>G2108+#REF!</f>
        <v>#REF!</v>
      </c>
    </row>
    <row r="2109" spans="1:15">
      <c r="A2109" s="1543"/>
      <c r="B2109" s="1544"/>
      <c r="C2109" s="1544"/>
      <c r="D2109" s="1544"/>
      <c r="E2109" s="1544"/>
      <c r="F2109" s="1544"/>
      <c r="G2109" s="1544"/>
      <c r="H2109" s="1544"/>
      <c r="I2109" s="1544"/>
      <c r="J2109" s="1544"/>
      <c r="K2109" s="1544"/>
      <c r="L2109" s="1544"/>
      <c r="M2109" s="1544"/>
      <c r="N2109" s="1544"/>
      <c r="O2109" s="1544"/>
    </row>
    <row r="2110" spans="1:15">
      <c r="A2110" s="1543"/>
      <c r="B2110" s="1544"/>
      <c r="C2110" s="1544"/>
      <c r="D2110" s="1544"/>
      <c r="E2110" s="1544"/>
      <c r="F2110" s="1544"/>
      <c r="G2110" s="1544"/>
      <c r="H2110" s="1544"/>
      <c r="I2110" s="1544"/>
      <c r="J2110" s="1544"/>
      <c r="K2110" s="1544"/>
      <c r="L2110" s="1544"/>
      <c r="M2110" s="1544"/>
      <c r="N2110" s="1544"/>
      <c r="O2110" s="1544"/>
    </row>
    <row r="2111" spans="1:15" ht="23.25">
      <c r="A2111" s="1539" t="s">
        <v>1075</v>
      </c>
      <c r="B2111" s="1540"/>
      <c r="C2111" s="1540"/>
      <c r="D2111" s="1540"/>
      <c r="E2111" s="1540"/>
      <c r="F2111" s="1540"/>
      <c r="G2111" s="1540"/>
      <c r="H2111" s="1540"/>
      <c r="I2111" s="1540"/>
      <c r="J2111" s="1540"/>
      <c r="K2111" s="1533" t="s">
        <v>2</v>
      </c>
      <c r="L2111" s="1533"/>
      <c r="M2111" s="1533"/>
      <c r="N2111" s="1533"/>
      <c r="O2111" s="1533"/>
    </row>
    <row r="2112" spans="1:15" ht="30.75">
      <c r="A2112" s="126" t="s">
        <v>3</v>
      </c>
      <c r="B2112" s="3" t="s">
        <v>120</v>
      </c>
      <c r="C2112" s="2" t="s">
        <v>4</v>
      </c>
      <c r="D2112" s="3" t="s">
        <v>5</v>
      </c>
      <c r="E2112" s="3" t="s">
        <v>6</v>
      </c>
      <c r="F2112" s="3" t="s">
        <v>7</v>
      </c>
      <c r="G2112" s="3" t="s">
        <v>8</v>
      </c>
      <c r="H2112" s="3" t="s">
        <v>9</v>
      </c>
      <c r="I2112" s="3" t="s">
        <v>10</v>
      </c>
      <c r="J2112" s="3" t="s">
        <v>11</v>
      </c>
      <c r="K2112" s="657" t="s">
        <v>12</v>
      </c>
      <c r="L2112" s="68" t="s">
        <v>5</v>
      </c>
      <c r="M2112" s="68" t="s">
        <v>13</v>
      </c>
      <c r="N2112" s="129" t="s">
        <v>7</v>
      </c>
      <c r="O2112" s="68" t="s">
        <v>14</v>
      </c>
    </row>
    <row r="2113" spans="1:15" ht="15.75">
      <c r="A2113" s="1538"/>
      <c r="B2113" s="235"/>
      <c r="C2113" s="659"/>
      <c r="D2113" s="1383"/>
      <c r="E2113" s="261"/>
      <c r="F2113" s="260"/>
      <c r="G2113" s="1492"/>
      <c r="H2113" s="235"/>
      <c r="I2113" s="235"/>
      <c r="J2113" s="1494"/>
      <c r="K2113" s="27"/>
      <c r="L2113" s="27" t="s">
        <v>1406</v>
      </c>
      <c r="M2113" s="14">
        <v>2450000</v>
      </c>
      <c r="N2113" s="14"/>
      <c r="O2113" s="14"/>
    </row>
    <row r="2114" spans="1:15" ht="15.75">
      <c r="A2114" s="1538"/>
      <c r="B2114" s="235"/>
      <c r="C2114" s="659"/>
      <c r="D2114" s="1383"/>
      <c r="E2114" s="261"/>
      <c r="F2114" s="260"/>
      <c r="G2114" s="1492"/>
      <c r="H2114" s="235"/>
      <c r="I2114" s="235"/>
      <c r="J2114" s="1494"/>
      <c r="K2114" s="27"/>
      <c r="L2114" s="27"/>
      <c r="M2114" s="14"/>
      <c r="N2114" s="14"/>
      <c r="O2114" s="14"/>
    </row>
    <row r="2115" spans="1:15" ht="15.75">
      <c r="A2115" s="1538"/>
      <c r="B2115" s="235"/>
      <c r="C2115" s="659"/>
      <c r="D2115" s="794"/>
      <c r="E2115" s="261"/>
      <c r="F2115" s="260"/>
      <c r="G2115" s="1492"/>
      <c r="H2115" s="235"/>
      <c r="I2115" s="235"/>
      <c r="J2115" s="1494"/>
      <c r="K2115" s="27"/>
      <c r="L2115" s="27"/>
      <c r="M2115" s="14"/>
      <c r="N2115" s="14"/>
      <c r="O2115" s="14"/>
    </row>
    <row r="2116" spans="1:15" ht="15.75">
      <c r="A2116" s="1538"/>
      <c r="B2116" s="235"/>
      <c r="C2116" s="1137"/>
      <c r="D2116" s="1324"/>
      <c r="E2116" s="1385"/>
      <c r="F2116" s="1137"/>
      <c r="G2116" s="1492"/>
      <c r="H2116" s="235"/>
      <c r="I2116" s="235"/>
      <c r="J2116" s="1494"/>
      <c r="K2116" s="27"/>
      <c r="L2116" s="27"/>
      <c r="M2116" s="14"/>
      <c r="N2116" s="14"/>
      <c r="O2116" s="14"/>
    </row>
    <row r="2117" spans="1:15" ht="15.75">
      <c r="A2117" s="1538"/>
      <c r="B2117" s="235"/>
      <c r="C2117" s="659"/>
      <c r="D2117" s="1383"/>
      <c r="E2117" s="261"/>
      <c r="F2117" s="260"/>
      <c r="G2117" s="1492"/>
      <c r="H2117" s="235"/>
      <c r="I2117" s="235"/>
      <c r="J2117" s="1494"/>
      <c r="K2117" s="27"/>
      <c r="L2117" s="27"/>
      <c r="M2117" s="14"/>
      <c r="N2117" s="14"/>
      <c r="O2117" s="14"/>
    </row>
    <row r="2118" spans="1:15" ht="15.75">
      <c r="A2118" s="1538"/>
      <c r="B2118" s="235"/>
      <c r="C2118" s="659"/>
      <c r="D2118" s="1231"/>
      <c r="E2118" s="1385"/>
      <c r="F2118" s="1137"/>
      <c r="G2118" s="1492"/>
      <c r="H2118" s="235"/>
      <c r="I2118" s="235"/>
      <c r="J2118" s="1495"/>
      <c r="K2118" s="27"/>
      <c r="L2118" s="27"/>
      <c r="M2118" s="14"/>
      <c r="N2118" s="14"/>
      <c r="O2118" s="14"/>
    </row>
    <row r="2119" spans="1:15" ht="15.75">
      <c r="A2119" s="1538"/>
      <c r="B2119" s="1319"/>
      <c r="C2119" s="1270"/>
      <c r="D2119" s="1091"/>
      <c r="E2119" s="332">
        <f>SUM(E2113:E2118)</f>
        <v>0</v>
      </c>
      <c r="F2119" s="1091"/>
      <c r="G2119" s="895">
        <f>SUM(G2113:G2118)</f>
        <v>0</v>
      </c>
      <c r="H2119" s="1091"/>
      <c r="I2119" s="1091"/>
      <c r="J2119" s="1271"/>
      <c r="K2119" s="27"/>
      <c r="L2119" s="27"/>
      <c r="M2119" s="14"/>
      <c r="N2119" s="14"/>
      <c r="O2119" s="27"/>
    </row>
    <row r="2122" spans="1:15" ht="23.25">
      <c r="A2122" s="1539" t="s">
        <v>1087</v>
      </c>
      <c r="B2122" s="1540"/>
      <c r="C2122" s="1540"/>
      <c r="D2122" s="1540"/>
      <c r="E2122" s="1540"/>
      <c r="F2122" s="1540"/>
      <c r="G2122" s="1540"/>
      <c r="H2122" s="1540"/>
      <c r="I2122" s="1540"/>
      <c r="J2122" s="1540"/>
      <c r="K2122" s="1533" t="s">
        <v>2</v>
      </c>
      <c r="L2122" s="1533"/>
      <c r="M2122" s="1533"/>
      <c r="N2122" s="1533"/>
      <c r="O2122" s="1533"/>
    </row>
    <row r="2123" spans="1:15" ht="30.75">
      <c r="A2123" s="126" t="s">
        <v>3</v>
      </c>
      <c r="B2123" s="3" t="s">
        <v>120</v>
      </c>
      <c r="C2123" s="2" t="s">
        <v>4</v>
      </c>
      <c r="D2123" s="3" t="s">
        <v>5</v>
      </c>
      <c r="E2123" s="3" t="s">
        <v>6</v>
      </c>
      <c r="F2123" s="3" t="s">
        <v>7</v>
      </c>
      <c r="G2123" s="3" t="s">
        <v>8</v>
      </c>
      <c r="H2123" s="3" t="s">
        <v>9</v>
      </c>
      <c r="I2123" s="3" t="s">
        <v>10</v>
      </c>
      <c r="J2123" s="3" t="s">
        <v>11</v>
      </c>
      <c r="K2123" s="657" t="s">
        <v>12</v>
      </c>
      <c r="L2123" s="68" t="s">
        <v>5</v>
      </c>
      <c r="M2123" s="68" t="s">
        <v>13</v>
      </c>
      <c r="N2123" s="129" t="s">
        <v>7</v>
      </c>
      <c r="O2123" s="68" t="s">
        <v>14</v>
      </c>
    </row>
    <row r="2124" spans="1:15" ht="15.75">
      <c r="A2124" s="1538"/>
      <c r="B2124" s="1122" t="s">
        <v>1071</v>
      </c>
      <c r="C2124" s="1079">
        <v>0.1</v>
      </c>
      <c r="D2124" s="1468" t="s">
        <v>1453</v>
      </c>
      <c r="E2124" s="1268"/>
      <c r="F2124" s="1116"/>
      <c r="G2124" s="1341"/>
      <c r="H2124" s="1122" t="s">
        <v>30</v>
      </c>
      <c r="I2124" s="1122" t="s">
        <v>242</v>
      </c>
      <c r="J2124" s="1307"/>
      <c r="K2124" s="27"/>
      <c r="L2124" s="27"/>
      <c r="M2124" s="27"/>
      <c r="N2124" s="27"/>
      <c r="O2124" s="27"/>
    </row>
    <row r="2125" spans="1:15" ht="15.75">
      <c r="A2125" s="1538"/>
      <c r="B2125" s="1122" t="s">
        <v>1071</v>
      </c>
      <c r="C2125" s="1508">
        <v>0.08</v>
      </c>
      <c r="D2125" s="1504" t="s">
        <v>1454</v>
      </c>
      <c r="E2125" s="1268"/>
      <c r="F2125" s="1116"/>
      <c r="G2125" s="1341"/>
      <c r="H2125" s="1122" t="s">
        <v>1015</v>
      </c>
      <c r="I2125" s="1122" t="s">
        <v>989</v>
      </c>
      <c r="J2125" s="1307"/>
      <c r="K2125" s="27"/>
      <c r="L2125" s="27"/>
      <c r="M2125" s="27"/>
      <c r="N2125" s="27"/>
      <c r="O2125" s="27"/>
    </row>
    <row r="2126" spans="1:15" ht="15.75">
      <c r="A2126" s="1538"/>
      <c r="B2126" s="1122" t="s">
        <v>1071</v>
      </c>
      <c r="C2126" s="1079"/>
      <c r="D2126" s="1468" t="s">
        <v>1455</v>
      </c>
      <c r="E2126" s="1268"/>
      <c r="F2126" s="1116"/>
      <c r="G2126" s="1341"/>
      <c r="H2126" s="1122" t="s">
        <v>30</v>
      </c>
      <c r="I2126" s="1122" t="s">
        <v>989</v>
      </c>
      <c r="J2126" s="1307"/>
      <c r="K2126" s="27"/>
      <c r="L2126" s="27"/>
      <c r="M2126" s="27"/>
      <c r="N2126" s="27"/>
      <c r="O2126" s="27"/>
    </row>
    <row r="2127" spans="1:15" ht="15.75">
      <c r="A2127" s="1538"/>
      <c r="B2127" s="235" t="s">
        <v>1448</v>
      </c>
      <c r="C2127" s="659"/>
      <c r="D2127" s="794" t="s">
        <v>1456</v>
      </c>
      <c r="E2127" s="261"/>
      <c r="F2127" s="847"/>
      <c r="G2127" s="371"/>
      <c r="H2127" s="235" t="s">
        <v>30</v>
      </c>
      <c r="I2127" s="235" t="s">
        <v>242</v>
      </c>
      <c r="J2127" s="1271"/>
      <c r="K2127" s="27"/>
      <c r="L2127" s="27"/>
      <c r="M2127" s="27"/>
      <c r="N2127" s="27"/>
      <c r="O2127" s="27"/>
    </row>
    <row r="2128" spans="1:15" ht="15.75">
      <c r="A2128" s="1538"/>
      <c r="B2128" s="235"/>
      <c r="C2128" s="659"/>
      <c r="D2128" s="1231"/>
      <c r="E2128" s="261"/>
      <c r="F2128" s="847"/>
      <c r="G2128" s="371"/>
      <c r="H2128" s="235"/>
      <c r="I2128" s="235"/>
      <c r="J2128" s="1271"/>
      <c r="K2128" s="27"/>
      <c r="L2128" s="27"/>
      <c r="M2128" s="27"/>
      <c r="N2128" s="27"/>
      <c r="O2128" s="27"/>
    </row>
    <row r="2129" spans="1:15" ht="15.75">
      <c r="A2129" s="1538"/>
      <c r="B2129" s="235"/>
      <c r="C2129" s="659"/>
      <c r="D2129" s="1231"/>
      <c r="E2129" s="261"/>
      <c r="F2129" s="847"/>
      <c r="G2129" s="371"/>
      <c r="H2129" s="235"/>
      <c r="I2129" s="235"/>
      <c r="J2129" s="1271"/>
      <c r="K2129" s="27"/>
      <c r="L2129" s="27"/>
      <c r="M2129" s="27"/>
      <c r="N2129" s="27"/>
      <c r="O2129" s="27"/>
    </row>
    <row r="2130" spans="1:15" ht="15.75">
      <c r="A2130" s="1538"/>
      <c r="B2130" s="235"/>
      <c r="C2130" s="659"/>
      <c r="D2130" s="1231"/>
      <c r="E2130" s="261"/>
      <c r="F2130" s="847"/>
      <c r="G2130" s="371"/>
      <c r="H2130" s="235"/>
      <c r="I2130" s="235"/>
      <c r="J2130" s="1271"/>
      <c r="K2130" s="27"/>
      <c r="L2130" s="27"/>
      <c r="M2130" s="27"/>
      <c r="N2130" s="27"/>
      <c r="O2130" s="27"/>
    </row>
    <row r="2131" spans="1:15" ht="15.75">
      <c r="A2131" s="1538"/>
      <c r="B2131" s="235"/>
      <c r="C2131" s="659"/>
      <c r="D2131" s="1231"/>
      <c r="E2131" s="261"/>
      <c r="F2131" s="847"/>
      <c r="G2131" s="371"/>
      <c r="H2131" s="235"/>
      <c r="I2131" s="235"/>
      <c r="J2131" s="1271"/>
      <c r="K2131" s="27"/>
      <c r="L2131" s="27"/>
      <c r="M2131" s="27"/>
      <c r="N2131" s="27"/>
      <c r="O2131" s="27"/>
    </row>
    <row r="2132" spans="1:15" ht="15.75">
      <c r="A2132" s="1538"/>
      <c r="B2132" s="235"/>
      <c r="C2132" s="659"/>
      <c r="D2132" s="1231"/>
      <c r="E2132" s="261"/>
      <c r="F2132" s="847"/>
      <c r="G2132" s="371"/>
      <c r="H2132" s="235"/>
      <c r="I2132" s="235"/>
      <c r="J2132" s="1271"/>
      <c r="K2132" s="27"/>
      <c r="L2132" s="27"/>
      <c r="M2132" s="27"/>
      <c r="N2132" s="27"/>
      <c r="O2132" s="27"/>
    </row>
    <row r="2133" spans="1:15" ht="15.75">
      <c r="A2133" s="1538"/>
      <c r="B2133" s="235"/>
      <c r="C2133" s="659"/>
      <c r="D2133" s="1383"/>
      <c r="E2133" s="261"/>
      <c r="F2133" s="847"/>
      <c r="G2133" s="371"/>
      <c r="H2133" s="235"/>
      <c r="I2133" s="235"/>
      <c r="J2133" s="1496"/>
      <c r="K2133" s="27"/>
      <c r="L2133" s="27"/>
      <c r="M2133" s="27"/>
      <c r="N2133" s="27"/>
      <c r="O2133" s="27"/>
    </row>
    <row r="2134" spans="1:15" ht="15.75">
      <c r="A2134" s="1538"/>
      <c r="B2134" s="1319"/>
      <c r="C2134" s="1270"/>
      <c r="D2134" s="1091"/>
      <c r="E2134" s="332">
        <f>SUM(E2124:E2133)</f>
        <v>0</v>
      </c>
      <c r="F2134" s="1091"/>
      <c r="G2134" s="332">
        <f>SUM(G2124:G2133)</f>
        <v>0</v>
      </c>
      <c r="H2134" s="1091"/>
      <c r="I2134" s="1091"/>
      <c r="J2134" s="1271"/>
      <c r="K2134" s="27"/>
      <c r="L2134" s="27"/>
      <c r="M2134" s="14"/>
      <c r="N2134" s="14"/>
      <c r="O2134" s="27"/>
    </row>
    <row r="2137" spans="1:15" ht="23.25">
      <c r="A2137" s="1539" t="s">
        <v>1093</v>
      </c>
      <c r="B2137" s="1540"/>
      <c r="C2137" s="1540"/>
      <c r="D2137" s="1540"/>
      <c r="E2137" s="1540"/>
      <c r="F2137" s="1540"/>
      <c r="G2137" s="1540"/>
      <c r="H2137" s="1540"/>
      <c r="I2137" s="1540"/>
      <c r="J2137" s="1540"/>
      <c r="K2137" s="1533" t="s">
        <v>2</v>
      </c>
      <c r="L2137" s="1533"/>
      <c r="M2137" s="1533"/>
      <c r="N2137" s="1533"/>
      <c r="O2137" s="1533"/>
    </row>
    <row r="2138" spans="1:15" ht="30.75">
      <c r="A2138" s="126" t="s">
        <v>3</v>
      </c>
      <c r="B2138" s="3" t="s">
        <v>120</v>
      </c>
      <c r="C2138" s="2" t="s">
        <v>4</v>
      </c>
      <c r="D2138" s="3" t="s">
        <v>5</v>
      </c>
      <c r="E2138" s="3" t="s">
        <v>6</v>
      </c>
      <c r="F2138" s="3" t="s">
        <v>7</v>
      </c>
      <c r="G2138" s="3" t="s">
        <v>8</v>
      </c>
      <c r="H2138" s="3" t="s">
        <v>9</v>
      </c>
      <c r="I2138" s="3" t="s">
        <v>10</v>
      </c>
      <c r="J2138" s="3" t="s">
        <v>11</v>
      </c>
      <c r="K2138" s="657" t="s">
        <v>12</v>
      </c>
      <c r="L2138" s="68" t="s">
        <v>5</v>
      </c>
      <c r="M2138" s="68" t="s">
        <v>13</v>
      </c>
      <c r="N2138" s="129" t="s">
        <v>7</v>
      </c>
      <c r="O2138" s="68" t="s">
        <v>14</v>
      </c>
    </row>
    <row r="2139" spans="1:15" ht="15.75">
      <c r="A2139" s="1538"/>
      <c r="B2139" s="1122" t="s">
        <v>1071</v>
      </c>
      <c r="C2139" s="1463">
        <v>0.1</v>
      </c>
      <c r="D2139" s="1468" t="s">
        <v>1457</v>
      </c>
      <c r="E2139" s="1463"/>
      <c r="F2139" s="1474"/>
      <c r="G2139" s="1341"/>
      <c r="H2139" s="1122" t="s">
        <v>30</v>
      </c>
      <c r="I2139" s="1122" t="s">
        <v>989</v>
      </c>
      <c r="J2139" s="1473"/>
      <c r="K2139" s="27"/>
      <c r="L2139" s="27"/>
      <c r="M2139" s="14"/>
      <c r="N2139" s="14"/>
      <c r="O2139" s="14"/>
    </row>
    <row r="2140" spans="1:15" ht="15.75">
      <c r="A2140" s="1538"/>
      <c r="B2140" s="1122" t="s">
        <v>1448</v>
      </c>
      <c r="C2140" s="1503"/>
      <c r="D2140" s="1474" t="s">
        <v>1458</v>
      </c>
      <c r="E2140" s="1268"/>
      <c r="F2140" s="1116"/>
      <c r="G2140" s="1341"/>
      <c r="H2140" s="1122" t="s">
        <v>1095</v>
      </c>
      <c r="I2140" s="1122" t="s">
        <v>242</v>
      </c>
      <c r="J2140" s="1307"/>
      <c r="K2140" s="27"/>
      <c r="L2140" s="27"/>
      <c r="M2140" s="14"/>
      <c r="N2140" s="14"/>
      <c r="O2140" s="14"/>
    </row>
    <row r="2141" spans="1:15" ht="15.75">
      <c r="A2141" s="1538"/>
      <c r="B2141" s="235"/>
      <c r="C2141" s="1352"/>
      <c r="D2141" s="794"/>
      <c r="E2141" s="261"/>
      <c r="F2141" s="847"/>
      <c r="G2141" s="371"/>
      <c r="H2141" s="235"/>
      <c r="I2141" s="235"/>
      <c r="J2141" s="1271"/>
      <c r="K2141" s="27"/>
      <c r="L2141" s="27"/>
      <c r="M2141" s="14"/>
      <c r="N2141" s="14"/>
      <c r="O2141" s="14"/>
    </row>
    <row r="2142" spans="1:15" ht="15.75">
      <c r="A2142" s="1538"/>
      <c r="B2142" s="235"/>
      <c r="C2142" s="1352"/>
      <c r="D2142" s="1324"/>
      <c r="E2142" s="261"/>
      <c r="F2142" s="260"/>
      <c r="G2142" s="371"/>
      <c r="H2142" s="235"/>
      <c r="I2142" s="235"/>
      <c r="J2142" s="1494"/>
      <c r="K2142" s="27"/>
      <c r="L2142" s="27"/>
      <c r="M2142" s="14"/>
      <c r="N2142" s="14"/>
      <c r="O2142" s="14"/>
    </row>
    <row r="2143" spans="1:15" ht="15.75">
      <c r="A2143" s="1538"/>
      <c r="B2143" s="235"/>
      <c r="C2143" s="1352"/>
      <c r="D2143" s="266"/>
      <c r="E2143" s="261"/>
      <c r="F2143" s="847"/>
      <c r="G2143" s="371"/>
      <c r="H2143" s="235"/>
      <c r="I2143" s="235"/>
      <c r="J2143" s="1271"/>
      <c r="K2143" s="27"/>
      <c r="L2143" s="27"/>
      <c r="M2143" s="14"/>
      <c r="N2143" s="14"/>
      <c r="O2143" s="14"/>
    </row>
    <row r="2144" spans="1:15" ht="15.75">
      <c r="A2144" s="1538"/>
      <c r="B2144" s="235"/>
      <c r="C2144" s="1352"/>
      <c r="D2144" s="794"/>
      <c r="E2144" s="261"/>
      <c r="F2144" s="847"/>
      <c r="G2144" s="371"/>
      <c r="H2144" s="235"/>
      <c r="I2144" s="235"/>
      <c r="J2144" s="1271"/>
      <c r="K2144" s="27"/>
      <c r="L2144" s="27"/>
      <c r="M2144" s="14"/>
      <c r="N2144" s="14"/>
      <c r="O2144" s="14"/>
    </row>
    <row r="2145" spans="1:15" ht="15.75">
      <c r="A2145" s="1538"/>
      <c r="B2145" s="235"/>
      <c r="C2145" s="1352"/>
      <c r="D2145" s="1231"/>
      <c r="E2145" s="261"/>
      <c r="F2145" s="847"/>
      <c r="G2145" s="371"/>
      <c r="H2145" s="235"/>
      <c r="I2145" s="235"/>
      <c r="J2145" s="1271"/>
      <c r="K2145" s="27"/>
      <c r="L2145" s="27"/>
      <c r="M2145" s="14"/>
      <c r="N2145" s="14"/>
      <c r="O2145" s="14"/>
    </row>
    <row r="2146" spans="1:15" ht="15.75">
      <c r="A2146" s="1538"/>
      <c r="B2146" s="235"/>
      <c r="C2146" s="1497"/>
      <c r="D2146" s="1231"/>
      <c r="E2146" s="261"/>
      <c r="F2146" s="847"/>
      <c r="G2146" s="371"/>
      <c r="H2146" s="1498"/>
      <c r="I2146" s="235"/>
      <c r="J2146" s="1496"/>
      <c r="K2146" s="27"/>
      <c r="L2146" s="27"/>
      <c r="M2146" s="14"/>
      <c r="N2146" s="14"/>
      <c r="O2146" s="14"/>
    </row>
    <row r="2147" spans="1:15" ht="15.75">
      <c r="A2147" s="1538"/>
      <c r="B2147" s="235"/>
      <c r="C2147" s="1352"/>
      <c r="D2147" s="1231"/>
      <c r="E2147" s="261"/>
      <c r="F2147" s="1383"/>
      <c r="G2147" s="371"/>
      <c r="H2147" s="235"/>
      <c r="I2147" s="235"/>
      <c r="J2147" s="1496"/>
      <c r="K2147" s="27"/>
      <c r="L2147" s="27"/>
      <c r="M2147" s="14"/>
      <c r="N2147" s="14"/>
      <c r="O2147" s="14"/>
    </row>
    <row r="2148" spans="1:15" ht="15.75">
      <c r="A2148" s="1538"/>
      <c r="B2148" s="235"/>
      <c r="C2148" s="1352"/>
      <c r="D2148" s="1231"/>
      <c r="E2148" s="261"/>
      <c r="F2148" s="1383"/>
      <c r="G2148" s="371"/>
      <c r="H2148" s="235"/>
      <c r="I2148" s="235"/>
      <c r="J2148" s="1496"/>
      <c r="K2148" s="27"/>
      <c r="L2148" s="27"/>
      <c r="M2148" s="14"/>
      <c r="N2148" s="14"/>
      <c r="O2148" s="14"/>
    </row>
    <row r="2149" spans="1:15" ht="15.75">
      <c r="A2149" s="1538"/>
      <c r="B2149" s="235"/>
      <c r="C2149" s="1352"/>
      <c r="D2149" s="1231"/>
      <c r="E2149" s="1352"/>
      <c r="F2149" s="1383"/>
      <c r="G2149" s="371"/>
      <c r="H2149" s="235"/>
      <c r="I2149" s="235"/>
      <c r="J2149" s="1496"/>
      <c r="K2149" s="27"/>
      <c r="L2149" s="27"/>
      <c r="M2149" s="14"/>
      <c r="N2149" s="14"/>
      <c r="O2149" s="14"/>
    </row>
    <row r="2150" spans="1:15" ht="15.75">
      <c r="A2150" s="1538"/>
      <c r="B2150" s="235"/>
      <c r="C2150" s="1352"/>
      <c r="D2150" s="1231"/>
      <c r="E2150" s="1352"/>
      <c r="F2150" s="1383"/>
      <c r="G2150" s="371"/>
      <c r="H2150" s="235"/>
      <c r="I2150" s="235"/>
      <c r="J2150" s="1496"/>
      <c r="K2150" s="27"/>
      <c r="L2150" s="27"/>
      <c r="M2150" s="14"/>
      <c r="N2150" s="14"/>
      <c r="O2150" s="14"/>
    </row>
    <row r="2151" spans="1:15" ht="15.75">
      <c r="A2151" s="1538"/>
      <c r="B2151" s="235"/>
      <c r="C2151" s="1352"/>
      <c r="D2151" s="1231"/>
      <c r="E2151" s="261"/>
      <c r="F2151" s="847"/>
      <c r="G2151" s="371"/>
      <c r="H2151" s="235"/>
      <c r="I2151" s="235"/>
      <c r="J2151" s="1496"/>
      <c r="K2151" s="27"/>
      <c r="L2151" s="27"/>
      <c r="M2151" s="14"/>
      <c r="N2151" s="14"/>
      <c r="O2151" s="14"/>
    </row>
    <row r="2152" spans="1:15" ht="15.75">
      <c r="A2152" s="1538"/>
      <c r="B2152" s="1319"/>
      <c r="C2152" s="1270"/>
      <c r="D2152" s="1091"/>
      <c r="E2152" s="332">
        <f>SUM(E2139:E2151)</f>
        <v>0</v>
      </c>
      <c r="F2152" s="1091"/>
      <c r="G2152" s="332">
        <f>SUM(G2139:G2151)</f>
        <v>0</v>
      </c>
      <c r="H2152" s="1091"/>
      <c r="I2152" s="1091"/>
      <c r="J2152" s="1271"/>
      <c r="K2152" s="27"/>
      <c r="L2152" s="27"/>
      <c r="M2152" s="14"/>
      <c r="N2152" s="14"/>
      <c r="O2152" s="27"/>
    </row>
    <row r="2156" spans="1:15" ht="23.25">
      <c r="A2156" s="1530" t="s">
        <v>1097</v>
      </c>
      <c r="B2156" s="1531"/>
      <c r="C2156" s="1532"/>
      <c r="D2156" s="1531"/>
      <c r="E2156" s="1531"/>
      <c r="F2156" s="1531"/>
      <c r="G2156" s="1531"/>
      <c r="H2156" s="1532"/>
      <c r="I2156" s="1532"/>
      <c r="J2156" s="1532"/>
      <c r="K2156" s="1533" t="s">
        <v>2</v>
      </c>
      <c r="L2156" s="1533"/>
      <c r="M2156" s="1533"/>
      <c r="N2156" s="1533"/>
      <c r="O2156" s="1533"/>
    </row>
    <row r="2157" spans="1:15" ht="30.75">
      <c r="A2157" s="126" t="s">
        <v>3</v>
      </c>
      <c r="B2157" s="3" t="s">
        <v>120</v>
      </c>
      <c r="C2157" s="367" t="s">
        <v>4</v>
      </c>
      <c r="D2157" s="3" t="s">
        <v>5</v>
      </c>
      <c r="E2157" s="361" t="s">
        <v>6</v>
      </c>
      <c r="F2157" s="1" t="s">
        <v>7</v>
      </c>
      <c r="G2157" s="1" t="s">
        <v>8</v>
      </c>
      <c r="H2157" s="361" t="s">
        <v>9</v>
      </c>
      <c r="I2157" s="1" t="s">
        <v>10</v>
      </c>
      <c r="J2157" s="126" t="s">
        <v>11</v>
      </c>
      <c r="K2157" s="3" t="s">
        <v>12</v>
      </c>
      <c r="L2157" s="3" t="s">
        <v>5</v>
      </c>
      <c r="M2157" s="3" t="s">
        <v>13</v>
      </c>
      <c r="N2157" s="1" t="s">
        <v>7</v>
      </c>
      <c r="O2157" s="1" t="s">
        <v>14</v>
      </c>
    </row>
    <row r="2158" spans="1:15" ht="15.75">
      <c r="A2158" s="1630"/>
      <c r="B2158" s="1509" t="s">
        <v>1448</v>
      </c>
      <c r="C2158" s="1518"/>
      <c r="D2158" s="1348" t="s">
        <v>1459</v>
      </c>
      <c r="E2158" s="1268"/>
      <c r="F2158" s="1519"/>
      <c r="G2158" s="1520"/>
      <c r="H2158" s="1122"/>
      <c r="I2158" s="1122"/>
      <c r="J2158" s="1521"/>
      <c r="K2158" s="163"/>
      <c r="L2158" s="165"/>
      <c r="M2158" s="1101"/>
      <c r="N2158" s="27"/>
      <c r="O2158" s="27"/>
    </row>
    <row r="2159" spans="1:15" ht="15.75">
      <c r="A2159" s="1538"/>
      <c r="B2159" s="1523" t="s">
        <v>1448</v>
      </c>
      <c r="C2159" s="1508"/>
      <c r="D2159" s="1348" t="s">
        <v>1460</v>
      </c>
      <c r="E2159" s="1268"/>
      <c r="F2159" s="1519"/>
      <c r="G2159" s="1520"/>
      <c r="H2159" s="1122"/>
      <c r="I2159" s="1122"/>
      <c r="J2159" s="1521"/>
      <c r="K2159" s="263"/>
      <c r="L2159" s="165"/>
      <c r="M2159" s="1101"/>
      <c r="N2159" s="959"/>
      <c r="O2159" s="959"/>
    </row>
    <row r="2160" spans="1:15" ht="15.75">
      <c r="A2160" s="1538"/>
      <c r="B2160" s="1452"/>
      <c r="C2160" s="659"/>
      <c r="D2160" s="1453"/>
      <c r="E2160" s="1446"/>
      <c r="F2160" s="1426"/>
      <c r="G2160" s="1427"/>
      <c r="H2160" s="235"/>
      <c r="I2160" s="235"/>
      <c r="J2160" s="1429"/>
      <c r="K2160" s="263"/>
      <c r="L2160" s="165"/>
      <c r="M2160" s="1101"/>
      <c r="N2160" s="959"/>
      <c r="O2160" s="959"/>
    </row>
    <row r="2161" spans="1:15" ht="15.75">
      <c r="A2161" s="1538"/>
      <c r="B2161" s="1452"/>
      <c r="C2161" s="659"/>
      <c r="D2161" s="1453"/>
      <c r="E2161" s="1446"/>
      <c r="F2161" s="1426"/>
      <c r="G2161" s="1427"/>
      <c r="H2161" s="235"/>
      <c r="I2161" s="235"/>
      <c r="J2161" s="1429"/>
      <c r="K2161" s="263"/>
      <c r="L2161" s="165"/>
      <c r="M2161" s="1101"/>
      <c r="N2161" s="959"/>
      <c r="O2161" s="959"/>
    </row>
    <row r="2162" spans="1:15" ht="15.75">
      <c r="A2162" s="1538"/>
      <c r="B2162" s="1452"/>
      <c r="C2162" s="659"/>
      <c r="D2162" s="1453"/>
      <c r="E2162" s="1446"/>
      <c r="F2162" s="1426"/>
      <c r="G2162" s="1427"/>
      <c r="H2162" s="1428"/>
      <c r="I2162" s="1428"/>
      <c r="J2162" s="1429"/>
      <c r="K2162" s="263"/>
      <c r="L2162" s="165"/>
      <c r="M2162" s="1101"/>
      <c r="N2162" s="959"/>
      <c r="O2162" s="959"/>
    </row>
    <row r="2163" spans="1:15" ht="15.75">
      <c r="A2163" s="1538"/>
      <c r="B2163" s="235"/>
      <c r="C2163" s="1466"/>
      <c r="D2163" s="1324"/>
      <c r="E2163" s="1325"/>
      <c r="F2163" s="1325"/>
      <c r="G2163" s="1323"/>
      <c r="H2163" s="235"/>
      <c r="I2163" s="235"/>
      <c r="J2163" s="1325"/>
      <c r="K2163" s="263"/>
      <c r="L2163" s="165"/>
      <c r="M2163" s="1101"/>
      <c r="N2163" s="959"/>
      <c r="O2163" s="959"/>
    </row>
    <row r="2164" spans="1:15" ht="15.75">
      <c r="A2164" s="1538"/>
      <c r="B2164" s="71"/>
      <c r="C2164" s="71"/>
      <c r="D2164" s="14"/>
      <c r="E2164" s="332">
        <f>SUM(E2158:E2163)</f>
        <v>0</v>
      </c>
      <c r="F2164" s="14"/>
      <c r="G2164" s="71"/>
      <c r="H2164" s="14"/>
      <c r="I2164" s="14"/>
      <c r="J2164" s="14"/>
      <c r="K2164" s="263"/>
      <c r="L2164" s="165"/>
      <c r="M2164" s="884"/>
      <c r="N2164" s="27"/>
      <c r="O2164" s="27"/>
    </row>
    <row r="2165" spans="1:15">
      <c r="A2165" s="1639"/>
      <c r="B2165" s="1639"/>
      <c r="C2165" s="1639"/>
      <c r="D2165" s="1639"/>
      <c r="E2165" s="1639"/>
      <c r="F2165" s="1639"/>
      <c r="G2165" s="1639"/>
      <c r="H2165" s="1639"/>
      <c r="I2165" s="1639"/>
      <c r="J2165" s="1639"/>
      <c r="K2165" s="1639"/>
      <c r="L2165" s="1639"/>
      <c r="M2165" s="1639"/>
      <c r="N2165" s="1639"/>
      <c r="O2165" s="1639"/>
    </row>
    <row r="2166" spans="1:15" ht="36" customHeight="1">
      <c r="A2166" s="1627"/>
      <c r="B2166" s="1627"/>
      <c r="C2166" s="1627"/>
      <c r="D2166" s="1627"/>
      <c r="E2166" s="1627"/>
      <c r="F2166" s="1627"/>
      <c r="G2166" s="1627"/>
      <c r="H2166" s="1627"/>
      <c r="I2166" s="1627"/>
      <c r="J2166" s="1627"/>
      <c r="K2166" s="1627"/>
      <c r="L2166" s="1627"/>
      <c r="M2166" s="1627"/>
      <c r="N2166" s="1627"/>
      <c r="O2166" s="1627"/>
    </row>
    <row r="2167" spans="1:15" ht="23.25">
      <c r="A2167" s="1530" t="s">
        <v>1442</v>
      </c>
      <c r="B2167" s="1531"/>
      <c r="C2167" s="1532"/>
      <c r="D2167" s="1531"/>
      <c r="E2167" s="1531"/>
      <c r="F2167" s="1531"/>
      <c r="G2167" s="1531"/>
      <c r="H2167" s="1531"/>
      <c r="I2167" s="1531"/>
      <c r="J2167" s="1531"/>
      <c r="K2167" s="1290"/>
      <c r="L2167" s="165"/>
      <c r="M2167" s="884"/>
      <c r="N2167" s="32"/>
      <c r="O2167" s="32"/>
    </row>
    <row r="2168" spans="1:15" ht="30.75">
      <c r="A2168" s="126" t="s">
        <v>3</v>
      </c>
      <c r="B2168" s="3" t="s">
        <v>120</v>
      </c>
      <c r="C2168" s="2" t="s">
        <v>4</v>
      </c>
      <c r="D2168" s="3" t="s">
        <v>5</v>
      </c>
      <c r="E2168" s="361" t="s">
        <v>6</v>
      </c>
      <c r="F2168" s="1" t="s">
        <v>7</v>
      </c>
      <c r="G2168" s="1" t="s">
        <v>8</v>
      </c>
      <c r="H2168" s="361" t="s">
        <v>9</v>
      </c>
      <c r="I2168" s="1" t="s">
        <v>10</v>
      </c>
      <c r="J2168" s="126" t="s">
        <v>11</v>
      </c>
      <c r="K2168" s="3" t="s">
        <v>12</v>
      </c>
      <c r="L2168" s="3" t="s">
        <v>5</v>
      </c>
      <c r="M2168" s="3" t="s">
        <v>13</v>
      </c>
      <c r="N2168" s="1" t="s">
        <v>7</v>
      </c>
      <c r="O2168" s="1" t="s">
        <v>14</v>
      </c>
    </row>
    <row r="2169" spans="1:15" ht="15.75">
      <c r="A2169" s="1534"/>
      <c r="B2169" s="235"/>
      <c r="C2169" s="1352"/>
      <c r="D2169" s="794"/>
      <c r="E2169" s="1385"/>
      <c r="F2169" s="27"/>
      <c r="G2169" s="38"/>
      <c r="H2169" s="235"/>
      <c r="I2169" s="235"/>
      <c r="J2169" s="27"/>
      <c r="K2169" s="263"/>
      <c r="L2169" s="165"/>
      <c r="M2169" s="1101"/>
      <c r="N2169" s="27"/>
      <c r="O2169" s="27"/>
    </row>
    <row r="2170" spans="1:15" ht="15.75">
      <c r="A2170" s="1534"/>
      <c r="B2170" s="235"/>
      <c r="C2170" s="1497"/>
      <c r="D2170" s="794"/>
      <c r="E2170" s="1385"/>
      <c r="F2170" s="27"/>
      <c r="G2170" s="38"/>
      <c r="H2170" s="235"/>
      <c r="I2170" s="235"/>
      <c r="J2170" s="27"/>
      <c r="K2170" s="263"/>
      <c r="L2170" s="165"/>
      <c r="M2170" s="1101"/>
      <c r="N2170" s="27"/>
      <c r="O2170" s="27"/>
    </row>
    <row r="2171" spans="1:15" ht="15.75">
      <c r="A2171" s="1534"/>
      <c r="B2171" s="235"/>
      <c r="C2171" s="1497"/>
      <c r="D2171" s="794"/>
      <c r="E2171" s="1385"/>
      <c r="F2171" s="27"/>
      <c r="G2171" s="38"/>
      <c r="H2171" s="235"/>
      <c r="I2171" s="235"/>
      <c r="J2171" s="27"/>
      <c r="K2171" s="263"/>
      <c r="L2171" s="165"/>
      <c r="M2171" s="1101"/>
      <c r="N2171" s="27"/>
      <c r="O2171" s="27"/>
    </row>
    <row r="2172" spans="1:15" ht="15.75">
      <c r="A2172" s="1629"/>
      <c r="B2172" s="71"/>
      <c r="C2172" s="71"/>
      <c r="D2172" s="14"/>
      <c r="E2172" s="1110">
        <f>SUM(E2169:E2171)</f>
        <v>0</v>
      </c>
      <c r="F2172" s="14"/>
      <c r="G2172" s="71"/>
      <c r="H2172" s="14"/>
      <c r="I2172" s="14"/>
      <c r="J2172" s="14"/>
      <c r="K2172" s="263"/>
      <c r="L2172" s="165"/>
      <c r="M2172" s="884"/>
      <c r="N2172" s="27"/>
      <c r="O2172" s="27"/>
    </row>
    <row r="2173" spans="1:15" ht="15.75">
      <c r="L2173" s="1045" t="s">
        <v>80</v>
      </c>
      <c r="M2173" s="539">
        <f>SUM(M2169:M2172)</f>
        <v>0</v>
      </c>
    </row>
    <row r="2175" spans="1:15" ht="18">
      <c r="A2175" s="1535" t="s">
        <v>68</v>
      </c>
      <c r="B2175" s="1535"/>
      <c r="C2175" s="365"/>
      <c r="D2175" s="341">
        <f>E2098+E2108+E2119+E2134+E2152+E2164+E2172</f>
        <v>0</v>
      </c>
    </row>
    <row r="2176" spans="1:15">
      <c r="A2176" s="1536" t="s">
        <v>69</v>
      </c>
      <c r="B2176" s="1536"/>
      <c r="C2176" s="22"/>
      <c r="D2176" s="20"/>
    </row>
    <row r="2177" spans="1:4">
      <c r="A2177" s="1537" t="s">
        <v>70</v>
      </c>
      <c r="B2177" s="1537"/>
      <c r="C2177" s="101"/>
      <c r="D2177" s="21"/>
    </row>
  </sheetData>
  <mergeCells count="564">
    <mergeCell ref="A2177:B2177"/>
    <mergeCell ref="A2158:A2164"/>
    <mergeCell ref="A2165:O2166"/>
    <mergeCell ref="A2167:J2167"/>
    <mergeCell ref="A2169:A2172"/>
    <mergeCell ref="A2175:B2175"/>
    <mergeCell ref="A2176:B2176"/>
    <mergeCell ref="A2113:A2119"/>
    <mergeCell ref="A2122:J2122"/>
    <mergeCell ref="K2122:O2122"/>
    <mergeCell ref="A2124:A2134"/>
    <mergeCell ref="A2137:J2137"/>
    <mergeCell ref="K2137:O2137"/>
    <mergeCell ref="A2139:A2152"/>
    <mergeCell ref="A2156:J2156"/>
    <mergeCell ref="K2156:O2156"/>
    <mergeCell ref="A2109:O2110"/>
    <mergeCell ref="A2111:J2111"/>
    <mergeCell ref="K2111:O2111"/>
    <mergeCell ref="A2057:A2060"/>
    <mergeCell ref="A2061:O2062"/>
    <mergeCell ref="A2063:J2063"/>
    <mergeCell ref="K2063:O2063"/>
    <mergeCell ref="A2065:A2067"/>
    <mergeCell ref="A2071:A2074"/>
    <mergeCell ref="A2077:B2077"/>
    <mergeCell ref="A2078:B2078"/>
    <mergeCell ref="A2079:B2079"/>
    <mergeCell ref="A2069:J2069"/>
    <mergeCell ref="A2083:J2083"/>
    <mergeCell ref="A2084:J2084"/>
    <mergeCell ref="K2084:O2084"/>
    <mergeCell ref="A2086:A2098"/>
    <mergeCell ref="A2101:J2101"/>
    <mergeCell ref="K2101:O2101"/>
    <mergeCell ref="A2103:A2108"/>
    <mergeCell ref="A2017:A2023"/>
    <mergeCell ref="A2026:J2026"/>
    <mergeCell ref="K2026:O2026"/>
    <mergeCell ref="A2028:A2036"/>
    <mergeCell ref="A2039:J2039"/>
    <mergeCell ref="K2039:O2039"/>
    <mergeCell ref="A2041:A2052"/>
    <mergeCell ref="A2055:J2055"/>
    <mergeCell ref="K2055:O2055"/>
    <mergeCell ref="A1989:J1989"/>
    <mergeCell ref="A1990:J1990"/>
    <mergeCell ref="K1990:O1990"/>
    <mergeCell ref="A1992:A2004"/>
    <mergeCell ref="A2007:J2007"/>
    <mergeCell ref="K2007:O2007"/>
    <mergeCell ref="A2009:A2012"/>
    <mergeCell ref="A2013:O2014"/>
    <mergeCell ref="A2015:J2015"/>
    <mergeCell ref="K2015:O2015"/>
    <mergeCell ref="A1969:A1973"/>
    <mergeCell ref="A1976:J1976"/>
    <mergeCell ref="K1976:O1976"/>
    <mergeCell ref="A1978:A1980"/>
    <mergeCell ref="A1983:B1983"/>
    <mergeCell ref="A1984:B1984"/>
    <mergeCell ref="A1985:B1985"/>
    <mergeCell ref="A1926:A1933"/>
    <mergeCell ref="A1936:J1936"/>
    <mergeCell ref="K1936:O1936"/>
    <mergeCell ref="A1938:A1948"/>
    <mergeCell ref="A1951:J1951"/>
    <mergeCell ref="K1951:O1951"/>
    <mergeCell ref="A1953:A1964"/>
    <mergeCell ref="A1967:J1967"/>
    <mergeCell ref="K1967:O1967"/>
    <mergeCell ref="A1890:J1890"/>
    <mergeCell ref="A1891:J1891"/>
    <mergeCell ref="K1891:O1891"/>
    <mergeCell ref="A1893:A1906"/>
    <mergeCell ref="A1909:J1909"/>
    <mergeCell ref="K1909:O1909"/>
    <mergeCell ref="A1922:O1923"/>
    <mergeCell ref="A1924:J1924"/>
    <mergeCell ref="K1924:O1924"/>
    <mergeCell ref="A1911:A1920"/>
    <mergeCell ref="A1857:A1864"/>
    <mergeCell ref="K1855:O1855"/>
    <mergeCell ref="A1855:J1855"/>
    <mergeCell ref="A1842:A1852"/>
    <mergeCell ref="K1840:O1840"/>
    <mergeCell ref="A1840:J1840"/>
    <mergeCell ref="A1828:A1837"/>
    <mergeCell ref="K1826:O1826"/>
    <mergeCell ref="A1826:J1826"/>
    <mergeCell ref="A1885:B1885"/>
    <mergeCell ref="A1884:B1884"/>
    <mergeCell ref="A1883:B1883"/>
    <mergeCell ref="A1878:A1880"/>
    <mergeCell ref="K1876:O1876"/>
    <mergeCell ref="A1876:J1876"/>
    <mergeCell ref="A1870:A1873"/>
    <mergeCell ref="K1868:O1868"/>
    <mergeCell ref="A1868:J1868"/>
    <mergeCell ref="A1771:A1775"/>
    <mergeCell ref="A1778:J1778"/>
    <mergeCell ref="K1778:O1778"/>
    <mergeCell ref="A1780:A1782"/>
    <mergeCell ref="A1785:B1785"/>
    <mergeCell ref="A1786:B1786"/>
    <mergeCell ref="A1787:B1787"/>
    <mergeCell ref="A1824:O1825"/>
    <mergeCell ref="A1815:A1823"/>
    <mergeCell ref="K1813:O1813"/>
    <mergeCell ref="A1813:J1813"/>
    <mergeCell ref="A1793:A1810"/>
    <mergeCell ref="K1791:O1791"/>
    <mergeCell ref="A1791:J1791"/>
    <mergeCell ref="A1790:J1790"/>
    <mergeCell ref="A1727:A1736"/>
    <mergeCell ref="A1739:J1739"/>
    <mergeCell ref="K1739:O1739"/>
    <mergeCell ref="A1741:A1751"/>
    <mergeCell ref="A1754:J1754"/>
    <mergeCell ref="K1754:O1754"/>
    <mergeCell ref="A1756:A1765"/>
    <mergeCell ref="A1769:J1769"/>
    <mergeCell ref="K1769:O1769"/>
    <mergeCell ref="A1693:J1693"/>
    <mergeCell ref="A1694:J1694"/>
    <mergeCell ref="K1694:O1694"/>
    <mergeCell ref="A1696:A1707"/>
    <mergeCell ref="A1710:J1710"/>
    <mergeCell ref="K1710:O1710"/>
    <mergeCell ref="A1712:A1722"/>
    <mergeCell ref="A1723:O1724"/>
    <mergeCell ref="A1725:J1725"/>
    <mergeCell ref="K1725:O1725"/>
    <mergeCell ref="A1690:B1690"/>
    <mergeCell ref="A1655:A1670"/>
    <mergeCell ref="A1674:J1674"/>
    <mergeCell ref="K1674:O1674"/>
    <mergeCell ref="A1676:A1679"/>
    <mergeCell ref="A1682:J1682"/>
    <mergeCell ref="K1682:O1682"/>
    <mergeCell ref="A1684:A1685"/>
    <mergeCell ref="A1688:B1688"/>
    <mergeCell ref="A1689:B1689"/>
    <mergeCell ref="A1627:J1627"/>
    <mergeCell ref="K1627:O1627"/>
    <mergeCell ref="A1629:A1637"/>
    <mergeCell ref="A1640:J1640"/>
    <mergeCell ref="K1640:O1640"/>
    <mergeCell ref="A1642:A1650"/>
    <mergeCell ref="A1653:J1653"/>
    <mergeCell ref="K1653:O1653"/>
    <mergeCell ref="A1585:J1585"/>
    <mergeCell ref="A1586:J1586"/>
    <mergeCell ref="K1586:O1586"/>
    <mergeCell ref="A1588:A1606"/>
    <mergeCell ref="A1609:J1609"/>
    <mergeCell ref="K1609:O1609"/>
    <mergeCell ref="A1611:A1624"/>
    <mergeCell ref="A1625:O1626"/>
    <mergeCell ref="A1425:A1435"/>
    <mergeCell ref="A1437:J1437"/>
    <mergeCell ref="K1437:O1437"/>
    <mergeCell ref="A1439:A1443"/>
    <mergeCell ref="A1458:J1458"/>
    <mergeCell ref="K1458:O1458"/>
    <mergeCell ref="A1470:B1470"/>
    <mergeCell ref="A1471:B1471"/>
    <mergeCell ref="A1472:B1472"/>
    <mergeCell ref="A1446:J1446"/>
    <mergeCell ref="K1446:O1446"/>
    <mergeCell ref="A1448:A1453"/>
    <mergeCell ref="A1460:A1467"/>
    <mergeCell ref="K1226:O1226"/>
    <mergeCell ref="K1246:O1246"/>
    <mergeCell ref="K1270:O1270"/>
    <mergeCell ref="K1282:O1282"/>
    <mergeCell ref="A1290:J1290"/>
    <mergeCell ref="K1290:O1290"/>
    <mergeCell ref="A1108:A1112"/>
    <mergeCell ref="A1116:B1116"/>
    <mergeCell ref="A1117:B1117"/>
    <mergeCell ref="A1118:B1118"/>
    <mergeCell ref="K1186:O1186"/>
    <mergeCell ref="A1188:A1196"/>
    <mergeCell ref="A1198:J1198"/>
    <mergeCell ref="A1200:A1207"/>
    <mergeCell ref="A1282:J1282"/>
    <mergeCell ref="A1284:A1287"/>
    <mergeCell ref="A1028:J1028"/>
    <mergeCell ref="A1030:A1051"/>
    <mergeCell ref="A1054:J1054"/>
    <mergeCell ref="A1056:A1066"/>
    <mergeCell ref="A1070:J1070"/>
    <mergeCell ref="A1072:A1089"/>
    <mergeCell ref="A1092:J1092"/>
    <mergeCell ref="A1220:B1220"/>
    <mergeCell ref="A1122:O1122"/>
    <mergeCell ref="A1123:J1123"/>
    <mergeCell ref="K1123:O1123"/>
    <mergeCell ref="A1125:A1144"/>
    <mergeCell ref="A1147:J1147"/>
    <mergeCell ref="K1147:O1147"/>
    <mergeCell ref="A1149:A1157"/>
    <mergeCell ref="A1161:J1161"/>
    <mergeCell ref="K1161:O1161"/>
    <mergeCell ref="A1218:B1218"/>
    <mergeCell ref="A1219:B1219"/>
    <mergeCell ref="K1198:O1198"/>
    <mergeCell ref="A1216:O1217"/>
    <mergeCell ref="K1106:O1106"/>
    <mergeCell ref="A1163:A1183"/>
    <mergeCell ref="A1186:J1186"/>
    <mergeCell ref="A1027:O1027"/>
    <mergeCell ref="A912:A921"/>
    <mergeCell ref="A924:J924"/>
    <mergeCell ref="K924:O924"/>
    <mergeCell ref="A926:A931"/>
    <mergeCell ref="A935:B935"/>
    <mergeCell ref="A936:B936"/>
    <mergeCell ref="A1022:B1022"/>
    <mergeCell ref="A1011:A1016"/>
    <mergeCell ref="A1020:B1020"/>
    <mergeCell ref="A1021:B1021"/>
    <mergeCell ref="A995:J995"/>
    <mergeCell ref="K995:O995"/>
    <mergeCell ref="A997:A1006"/>
    <mergeCell ref="A1009:J1009"/>
    <mergeCell ref="K1009:O1009"/>
    <mergeCell ref="A1094:A1103"/>
    <mergeCell ref="K1028:O1028"/>
    <mergeCell ref="K1054:O1054"/>
    <mergeCell ref="K1070:O1070"/>
    <mergeCell ref="K1092:O1092"/>
    <mergeCell ref="A1106:J1106"/>
    <mergeCell ref="A765:A776"/>
    <mergeCell ref="A780:J780"/>
    <mergeCell ref="K780:O780"/>
    <mergeCell ref="A842:B842"/>
    <mergeCell ref="A782:A810"/>
    <mergeCell ref="A813:J813"/>
    <mergeCell ref="K813:O813"/>
    <mergeCell ref="A815:A826"/>
    <mergeCell ref="A829:J829"/>
    <mergeCell ref="K829:O829"/>
    <mergeCell ref="A831:A837"/>
    <mergeCell ref="A840:B840"/>
    <mergeCell ref="A841:B841"/>
    <mergeCell ref="A847:O847"/>
    <mergeCell ref="A848:J848"/>
    <mergeCell ref="K848:O848"/>
    <mergeCell ref="A850:A871"/>
    <mergeCell ref="A874:J874"/>
    <mergeCell ref="A733:B733"/>
    <mergeCell ref="A737:O737"/>
    <mergeCell ref="A738:J738"/>
    <mergeCell ref="K738:O738"/>
    <mergeCell ref="A740:A760"/>
    <mergeCell ref="A763:J763"/>
    <mergeCell ref="K763:O763"/>
    <mergeCell ref="A656:O656"/>
    <mergeCell ref="A657:J657"/>
    <mergeCell ref="K657:O657"/>
    <mergeCell ref="A659:A664"/>
    <mergeCell ref="A668:J668"/>
    <mergeCell ref="K668:O668"/>
    <mergeCell ref="A670:A685"/>
    <mergeCell ref="A691:A703"/>
    <mergeCell ref="A706:J706"/>
    <mergeCell ref="K706:O706"/>
    <mergeCell ref="A708:A717"/>
    <mergeCell ref="A720:J720"/>
    <mergeCell ref="K720:O720"/>
    <mergeCell ref="A722:A728"/>
    <mergeCell ref="A731:B731"/>
    <mergeCell ref="A732:B732"/>
    <mergeCell ref="A603:A623"/>
    <mergeCell ref="A626:J626"/>
    <mergeCell ref="K626:O626"/>
    <mergeCell ref="A628:A632"/>
    <mergeCell ref="A635:J635"/>
    <mergeCell ref="K635:O635"/>
    <mergeCell ref="A637:A647"/>
    <mergeCell ref="A650:B650"/>
    <mergeCell ref="A689:J689"/>
    <mergeCell ref="K689:O689"/>
    <mergeCell ref="A651:B651"/>
    <mergeCell ref="A652:B652"/>
    <mergeCell ref="A451:B451"/>
    <mergeCell ref="A452:B452"/>
    <mergeCell ref="A453:B453"/>
    <mergeCell ref="A296:A297"/>
    <mergeCell ref="B296:C297"/>
    <mergeCell ref="D296:D297"/>
    <mergeCell ref="A298:A299"/>
    <mergeCell ref="B298:C299"/>
    <mergeCell ref="D298:D299"/>
    <mergeCell ref="A379:B379"/>
    <mergeCell ref="A380:B380"/>
    <mergeCell ref="A362:J362"/>
    <mergeCell ref="A364:A373"/>
    <mergeCell ref="A425:A436"/>
    <mergeCell ref="A440:J440"/>
    <mergeCell ref="A306:O306"/>
    <mergeCell ref="A346:J346"/>
    <mergeCell ref="K307:O307"/>
    <mergeCell ref="K330:O330"/>
    <mergeCell ref="K346:O346"/>
    <mergeCell ref="A458:O458"/>
    <mergeCell ref="A459:J459"/>
    <mergeCell ref="K459:O459"/>
    <mergeCell ref="A461:A477"/>
    <mergeCell ref="A481:J481"/>
    <mergeCell ref="K481:O481"/>
    <mergeCell ref="A483:A488"/>
    <mergeCell ref="K193:O193"/>
    <mergeCell ref="K206:O206"/>
    <mergeCell ref="A206:J206"/>
    <mergeCell ref="A271:J271"/>
    <mergeCell ref="K271:O271"/>
    <mergeCell ref="A288:A289"/>
    <mergeCell ref="B288:C289"/>
    <mergeCell ref="D288:D289"/>
    <mergeCell ref="A290:A291"/>
    <mergeCell ref="B290:C291"/>
    <mergeCell ref="D290:D291"/>
    <mergeCell ref="K237:O237"/>
    <mergeCell ref="A256:J256"/>
    <mergeCell ref="K256:O256"/>
    <mergeCell ref="A258:A267"/>
    <mergeCell ref="A273:A281"/>
    <mergeCell ref="D222:D223"/>
    <mergeCell ref="A230:A231"/>
    <mergeCell ref="A236:O236"/>
    <mergeCell ref="A237:J237"/>
    <mergeCell ref="B230:C231"/>
    <mergeCell ref="B222:C223"/>
    <mergeCell ref="A239:A253"/>
    <mergeCell ref="A208:A214"/>
    <mergeCell ref="L177:N177"/>
    <mergeCell ref="L191:N191"/>
    <mergeCell ref="A222:A223"/>
    <mergeCell ref="D230:D231"/>
    <mergeCell ref="K135:O135"/>
    <mergeCell ref="A165:O165"/>
    <mergeCell ref="A166:J166"/>
    <mergeCell ref="K166:O166"/>
    <mergeCell ref="A179:J179"/>
    <mergeCell ref="K179:O179"/>
    <mergeCell ref="C71:C72"/>
    <mergeCell ref="D71:D72"/>
    <mergeCell ref="C85:C86"/>
    <mergeCell ref="D85:D86"/>
    <mergeCell ref="A75:A76"/>
    <mergeCell ref="C75:C76"/>
    <mergeCell ref="D75:D76"/>
    <mergeCell ref="A77:A78"/>
    <mergeCell ref="C77:C78"/>
    <mergeCell ref="A73:A74"/>
    <mergeCell ref="D79:D80"/>
    <mergeCell ref="C79:C80"/>
    <mergeCell ref="A79:A80"/>
    <mergeCell ref="D77:D78"/>
    <mergeCell ref="A85:A86"/>
    <mergeCell ref="D83:D84"/>
    <mergeCell ref="C83:C84"/>
    <mergeCell ref="A83:A84"/>
    <mergeCell ref="D81:D82"/>
    <mergeCell ref="C81:C82"/>
    <mergeCell ref="A81:A82"/>
    <mergeCell ref="A1:O1"/>
    <mergeCell ref="A16:J16"/>
    <mergeCell ref="K16:O16"/>
    <mergeCell ref="A2:J2"/>
    <mergeCell ref="K2:O2"/>
    <mergeCell ref="K29:O29"/>
    <mergeCell ref="K61:O61"/>
    <mergeCell ref="K43:O43"/>
    <mergeCell ref="K54:O54"/>
    <mergeCell ref="A43:J43"/>
    <mergeCell ref="A54:J54"/>
    <mergeCell ref="A29:J29"/>
    <mergeCell ref="A45:A51"/>
    <mergeCell ref="A18:A26"/>
    <mergeCell ref="A4:A14"/>
    <mergeCell ref="A31:A40"/>
    <mergeCell ref="A56:A59"/>
    <mergeCell ref="A61:J61"/>
    <mergeCell ref="A91:O91"/>
    <mergeCell ref="A92:J92"/>
    <mergeCell ref="K204:N204"/>
    <mergeCell ref="A63:A65"/>
    <mergeCell ref="A94:A106"/>
    <mergeCell ref="A111:A118"/>
    <mergeCell ref="A123:A132"/>
    <mergeCell ref="A137:A144"/>
    <mergeCell ref="A168:A177"/>
    <mergeCell ref="A181:A190"/>
    <mergeCell ref="A195:A203"/>
    <mergeCell ref="C154:C155"/>
    <mergeCell ref="D154:D155"/>
    <mergeCell ref="C150:C151"/>
    <mergeCell ref="D150:D151"/>
    <mergeCell ref="A152:A153"/>
    <mergeCell ref="C152:C153"/>
    <mergeCell ref="D152:D153"/>
    <mergeCell ref="K92:O92"/>
    <mergeCell ref="K109:O109"/>
    <mergeCell ref="K121:O121"/>
    <mergeCell ref="C73:C74"/>
    <mergeCell ref="D73:D74"/>
    <mergeCell ref="A71:A72"/>
    <mergeCell ref="A109:J109"/>
    <mergeCell ref="A193:J193"/>
    <mergeCell ref="A228:A229"/>
    <mergeCell ref="D228:D229"/>
    <mergeCell ref="A224:A225"/>
    <mergeCell ref="D224:D225"/>
    <mergeCell ref="A226:A227"/>
    <mergeCell ref="B224:C225"/>
    <mergeCell ref="B226:C227"/>
    <mergeCell ref="B228:C229"/>
    <mergeCell ref="A121:J121"/>
    <mergeCell ref="D156:D157"/>
    <mergeCell ref="C156:C157"/>
    <mergeCell ref="A156:A157"/>
    <mergeCell ref="A154:A155"/>
    <mergeCell ref="A150:A151"/>
    <mergeCell ref="D158:D159"/>
    <mergeCell ref="C158:C159"/>
    <mergeCell ref="A158:A159"/>
    <mergeCell ref="D226:D227"/>
    <mergeCell ref="A135:J135"/>
    <mergeCell ref="A292:A293"/>
    <mergeCell ref="B292:C293"/>
    <mergeCell ref="D292:D293"/>
    <mergeCell ref="A294:A295"/>
    <mergeCell ref="B294:C295"/>
    <mergeCell ref="D294:D295"/>
    <mergeCell ref="K440:O440"/>
    <mergeCell ref="A442:A448"/>
    <mergeCell ref="A385:O385"/>
    <mergeCell ref="A386:J386"/>
    <mergeCell ref="K386:O386"/>
    <mergeCell ref="A388:A404"/>
    <mergeCell ref="A408:J408"/>
    <mergeCell ref="K408:O408"/>
    <mergeCell ref="A410:A419"/>
    <mergeCell ref="A423:J423"/>
    <mergeCell ref="K423:O423"/>
    <mergeCell ref="K362:O362"/>
    <mergeCell ref="A332:A342"/>
    <mergeCell ref="A309:A326"/>
    <mergeCell ref="A348:A358"/>
    <mergeCell ref="A378:B378"/>
    <mergeCell ref="A307:J307"/>
    <mergeCell ref="A330:J330"/>
    <mergeCell ref="A502:J502"/>
    <mergeCell ref="K502:O502"/>
    <mergeCell ref="A491:J491"/>
    <mergeCell ref="K491:O491"/>
    <mergeCell ref="A493:A498"/>
    <mergeCell ref="A541:A566"/>
    <mergeCell ref="A570:J570"/>
    <mergeCell ref="K570:O570"/>
    <mergeCell ref="A572:A583"/>
    <mergeCell ref="A586:J586"/>
    <mergeCell ref="K586:O586"/>
    <mergeCell ref="A588:A597"/>
    <mergeCell ref="A601:J601"/>
    <mergeCell ref="A504:A518"/>
    <mergeCell ref="A522:J522"/>
    <mergeCell ref="K522:O522"/>
    <mergeCell ref="A524:A529"/>
    <mergeCell ref="A532:B532"/>
    <mergeCell ref="A533:B533"/>
    <mergeCell ref="A534:B534"/>
    <mergeCell ref="A538:O538"/>
    <mergeCell ref="A539:J539"/>
    <mergeCell ref="K539:O539"/>
    <mergeCell ref="K601:O601"/>
    <mergeCell ref="K874:O874"/>
    <mergeCell ref="A876:A885"/>
    <mergeCell ref="A889:J889"/>
    <mergeCell ref="K889:O889"/>
    <mergeCell ref="A891:A907"/>
    <mergeCell ref="A937:B937"/>
    <mergeCell ref="A910:J910"/>
    <mergeCell ref="K910:O910"/>
    <mergeCell ref="A986:A992"/>
    <mergeCell ref="A942:O942"/>
    <mergeCell ref="A943:J943"/>
    <mergeCell ref="K943:O943"/>
    <mergeCell ref="A945:A967"/>
    <mergeCell ref="A970:J970"/>
    <mergeCell ref="K970:O970"/>
    <mergeCell ref="A972:A980"/>
    <mergeCell ref="A984:J984"/>
    <mergeCell ref="K984:O984"/>
    <mergeCell ref="A1301:B1301"/>
    <mergeCell ref="A1302:B1302"/>
    <mergeCell ref="A1303:B1303"/>
    <mergeCell ref="A1225:J1225"/>
    <mergeCell ref="A1226:J1226"/>
    <mergeCell ref="A1228:A1242"/>
    <mergeCell ref="A1246:J1246"/>
    <mergeCell ref="A1248:A1267"/>
    <mergeCell ref="A1270:J1270"/>
    <mergeCell ref="A1272:A1280"/>
    <mergeCell ref="A1306:J1306"/>
    <mergeCell ref="A1307:J1307"/>
    <mergeCell ref="K1307:O1307"/>
    <mergeCell ref="A1309:A1324"/>
    <mergeCell ref="A1328:J1328"/>
    <mergeCell ref="K1328:O1328"/>
    <mergeCell ref="A1330:A1350"/>
    <mergeCell ref="A1353:J1353"/>
    <mergeCell ref="K1353:O1353"/>
    <mergeCell ref="A1476:J1476"/>
    <mergeCell ref="A1477:J1477"/>
    <mergeCell ref="K1477:O1477"/>
    <mergeCell ref="A1479:A1495"/>
    <mergeCell ref="A1498:J1498"/>
    <mergeCell ref="K1498:O1498"/>
    <mergeCell ref="A1355:A1364"/>
    <mergeCell ref="A1366:J1366"/>
    <mergeCell ref="K1366:O1366"/>
    <mergeCell ref="A1368:A1370"/>
    <mergeCell ref="A1373:J1373"/>
    <mergeCell ref="K1373:O1373"/>
    <mergeCell ref="A1387:B1387"/>
    <mergeCell ref="A1388:B1388"/>
    <mergeCell ref="A1389:B1389"/>
    <mergeCell ref="A1393:J1393"/>
    <mergeCell ref="A1394:J1394"/>
    <mergeCell ref="K1394:O1394"/>
    <mergeCell ref="A1396:A1401"/>
    <mergeCell ref="A1404:J1404"/>
    <mergeCell ref="K1404:O1404"/>
    <mergeCell ref="A1406:A1420"/>
    <mergeCell ref="A1423:J1423"/>
    <mergeCell ref="K1423:O1423"/>
    <mergeCell ref="A1500:A1516"/>
    <mergeCell ref="A1567:J1567"/>
    <mergeCell ref="K1567:O1567"/>
    <mergeCell ref="A1569:A1576"/>
    <mergeCell ref="A1579:B1579"/>
    <mergeCell ref="A1580:B1580"/>
    <mergeCell ref="A1581:B1581"/>
    <mergeCell ref="A1562:A1564"/>
    <mergeCell ref="A1540:J1540"/>
    <mergeCell ref="K1540:O1540"/>
    <mergeCell ref="A1542:A1547"/>
    <mergeCell ref="A1550:J1550"/>
    <mergeCell ref="K1550:O1550"/>
    <mergeCell ref="A1552:A1556"/>
    <mergeCell ref="A1519:J1519"/>
    <mergeCell ref="K1519:O1519"/>
    <mergeCell ref="A1521:A1523"/>
    <mergeCell ref="A1526:J1526"/>
    <mergeCell ref="K1526:O1526"/>
    <mergeCell ref="A1528:A1537"/>
    <mergeCell ref="A1560:J1560"/>
    <mergeCell ref="K1560:O1560"/>
    <mergeCell ref="A1517:XFD1518"/>
  </mergeCells>
  <pageMargins left="0.7" right="0.7" top="0.75" bottom="0.75" header="0.3" footer="0.3"/>
  <pageSetup paperSize="9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37C6-1420-47A3-9A64-190BA9210DB1}">
  <sheetPr>
    <pageSetUpPr fitToPage="1"/>
  </sheetPr>
  <dimension ref="A1:M2603"/>
  <sheetViews>
    <sheetView topLeftCell="A2420" workbookViewId="0">
      <selection activeCell="D2426" sqref="D2426"/>
    </sheetView>
  </sheetViews>
  <sheetFormatPr defaultRowHeight="15"/>
  <cols>
    <col min="1" max="1" width="19" style="1151" customWidth="1"/>
    <col min="2" max="3" width="18.42578125" style="1151" customWidth="1"/>
    <col min="4" max="4" width="63.5703125" style="1151" customWidth="1"/>
    <col min="5" max="5" width="50.42578125" customWidth="1"/>
    <col min="6" max="6" width="20.85546875" style="1151" customWidth="1"/>
    <col min="8" max="8" width="19.140625" customWidth="1"/>
    <col min="9" max="9" width="14.28515625" style="1170" customWidth="1"/>
  </cols>
  <sheetData>
    <row r="1" spans="1:8" ht="33.75" customHeight="1">
      <c r="A1" s="1643" t="s">
        <v>1461</v>
      </c>
      <c r="B1" s="1643"/>
      <c r="C1" s="1643"/>
      <c r="D1" s="1643"/>
      <c r="E1" s="1643"/>
      <c r="F1" s="1643"/>
      <c r="G1" s="1643"/>
      <c r="H1" s="1643"/>
    </row>
    <row r="2" spans="1:8" ht="17.25" customHeight="1">
      <c r="A2" s="1144"/>
      <c r="B2" s="1144"/>
      <c r="C2" s="1144"/>
      <c r="D2" s="1144"/>
      <c r="E2" s="174"/>
      <c r="F2" s="1144"/>
      <c r="G2" s="174"/>
      <c r="H2" s="174"/>
    </row>
    <row r="3" spans="1:8" ht="35.25" customHeight="1">
      <c r="A3" s="1658" t="s">
        <v>1462</v>
      </c>
      <c r="B3" s="1658"/>
      <c r="C3" s="1658"/>
      <c r="D3" s="1658"/>
      <c r="E3" s="1658"/>
      <c r="F3" s="1658"/>
      <c r="G3" s="1658"/>
      <c r="H3" s="1658"/>
    </row>
    <row r="4" spans="1:8" ht="30.75">
      <c r="A4" s="252" t="s">
        <v>1463</v>
      </c>
      <c r="B4" s="251" t="s">
        <v>1464</v>
      </c>
      <c r="C4" s="251" t="s">
        <v>1465</v>
      </c>
      <c r="D4" s="252" t="s">
        <v>5</v>
      </c>
      <c r="E4" s="253" t="s">
        <v>1466</v>
      </c>
      <c r="F4" s="253" t="s">
        <v>1467</v>
      </c>
      <c r="G4" s="254" t="s">
        <v>7</v>
      </c>
      <c r="H4" s="254" t="s">
        <v>1468</v>
      </c>
    </row>
    <row r="5" spans="1:8" ht="18.75">
      <c r="A5" s="133">
        <v>10469</v>
      </c>
      <c r="B5" s="134">
        <v>0.1</v>
      </c>
      <c r="C5" s="135">
        <v>12</v>
      </c>
      <c r="D5" s="136" t="s">
        <v>41</v>
      </c>
      <c r="E5" s="137"/>
      <c r="F5" s="1145">
        <v>1300000</v>
      </c>
      <c r="G5" s="138">
        <v>0.06</v>
      </c>
      <c r="H5" s="139">
        <f>F5*G5</f>
        <v>78000</v>
      </c>
    </row>
    <row r="6" spans="1:8" ht="18.75">
      <c r="A6" s="133">
        <v>10475</v>
      </c>
      <c r="B6" s="134">
        <v>0.08</v>
      </c>
      <c r="C6" s="135">
        <v>12</v>
      </c>
      <c r="D6" s="136" t="s">
        <v>46</v>
      </c>
      <c r="E6" s="137"/>
      <c r="F6" s="1145">
        <v>1100000</v>
      </c>
      <c r="G6" s="140">
        <v>0.05</v>
      </c>
      <c r="H6" s="139">
        <f t="shared" ref="H6:H21" si="0">F6*G6</f>
        <v>55000</v>
      </c>
    </row>
    <row r="7" spans="1:8" ht="18.75">
      <c r="A7" s="1179">
        <v>10486</v>
      </c>
      <c r="B7" s="188">
        <v>0.1</v>
      </c>
      <c r="C7" s="135">
        <v>12</v>
      </c>
      <c r="D7" s="1226" t="s">
        <v>47</v>
      </c>
      <c r="E7" s="137"/>
      <c r="F7" s="1145">
        <v>1000000</v>
      </c>
      <c r="G7" s="138">
        <v>0.06</v>
      </c>
      <c r="H7" s="139">
        <f t="shared" si="0"/>
        <v>60000</v>
      </c>
    </row>
    <row r="8" spans="1:8" ht="18.75">
      <c r="A8" s="1179">
        <v>10476</v>
      </c>
      <c r="B8" s="753">
        <v>0.1</v>
      </c>
      <c r="C8" s="1215">
        <v>6</v>
      </c>
      <c r="D8" s="1226" t="s">
        <v>48</v>
      </c>
      <c r="E8" s="155"/>
      <c r="F8" s="1146">
        <v>1000000</v>
      </c>
      <c r="G8" s="138">
        <v>0.06</v>
      </c>
      <c r="H8" s="139">
        <f t="shared" si="0"/>
        <v>60000</v>
      </c>
    </row>
    <row r="9" spans="1:8" ht="18.75">
      <c r="A9" s="1179">
        <v>10485</v>
      </c>
      <c r="B9" s="188">
        <v>0.1</v>
      </c>
      <c r="C9" s="135">
        <v>12</v>
      </c>
      <c r="D9" s="1226" t="s">
        <v>50</v>
      </c>
      <c r="E9" s="741"/>
      <c r="F9" s="1146">
        <v>1300000</v>
      </c>
      <c r="G9" s="138">
        <v>0.06</v>
      </c>
      <c r="H9" s="139">
        <f t="shared" si="0"/>
        <v>78000</v>
      </c>
    </row>
    <row r="10" spans="1:8" ht="18.75">
      <c r="A10" s="1180">
        <v>10466</v>
      </c>
      <c r="B10" s="1197">
        <v>0.1</v>
      </c>
      <c r="C10" s="135">
        <v>12</v>
      </c>
      <c r="D10" s="1227" t="s">
        <v>67</v>
      </c>
      <c r="E10" s="741"/>
      <c r="F10" s="1146">
        <v>1130000</v>
      </c>
      <c r="G10" s="138">
        <v>0.06</v>
      </c>
      <c r="H10" s="139">
        <f t="shared" si="0"/>
        <v>67800</v>
      </c>
    </row>
    <row r="11" spans="1:8" ht="18.75">
      <c r="A11" s="133">
        <v>10482</v>
      </c>
      <c r="B11" s="142">
        <v>0.1</v>
      </c>
      <c r="C11" s="1215">
        <v>6</v>
      </c>
      <c r="D11" s="136" t="s">
        <v>26</v>
      </c>
      <c r="E11" s="741"/>
      <c r="F11" s="143">
        <v>1100000</v>
      </c>
      <c r="G11" s="138">
        <v>0.06</v>
      </c>
      <c r="H11" s="139">
        <f t="shared" si="0"/>
        <v>66000</v>
      </c>
    </row>
    <row r="12" spans="1:8" ht="18.75">
      <c r="A12" s="133">
        <v>10498</v>
      </c>
      <c r="B12" s="142">
        <v>0.1</v>
      </c>
      <c r="C12" s="144">
        <v>9</v>
      </c>
      <c r="D12" s="145" t="s">
        <v>28</v>
      </c>
      <c r="E12" s="741"/>
      <c r="F12" s="146">
        <v>800000</v>
      </c>
      <c r="G12" s="138">
        <v>0.06</v>
      </c>
      <c r="H12" s="139">
        <f t="shared" si="0"/>
        <v>48000</v>
      </c>
    </row>
    <row r="13" spans="1:8" ht="18.75">
      <c r="A13" s="133">
        <v>10507</v>
      </c>
      <c r="B13" s="134">
        <v>0.1</v>
      </c>
      <c r="C13" s="135">
        <v>12</v>
      </c>
      <c r="D13" s="145" t="s">
        <v>29</v>
      </c>
      <c r="E13" s="741"/>
      <c r="F13" s="146">
        <v>1200000</v>
      </c>
      <c r="G13" s="138">
        <v>0.06</v>
      </c>
      <c r="H13" s="139">
        <f t="shared" si="0"/>
        <v>72000</v>
      </c>
    </row>
    <row r="14" spans="1:8" ht="18.75">
      <c r="A14" s="677">
        <v>10511</v>
      </c>
      <c r="B14" s="478">
        <v>0.1</v>
      </c>
      <c r="C14" s="135">
        <v>12</v>
      </c>
      <c r="D14" s="259" t="s">
        <v>59</v>
      </c>
      <c r="E14" s="741"/>
      <c r="F14" s="678">
        <v>1000000</v>
      </c>
      <c r="G14" s="138">
        <v>0.06</v>
      </c>
      <c r="H14" s="139">
        <f t="shared" si="0"/>
        <v>60000</v>
      </c>
    </row>
    <row r="15" spans="1:8" ht="18.75">
      <c r="A15" s="1180">
        <v>10510</v>
      </c>
      <c r="B15" s="1197">
        <v>0.1</v>
      </c>
      <c r="C15" s="135">
        <v>12</v>
      </c>
      <c r="D15" s="1227" t="s">
        <v>61</v>
      </c>
      <c r="E15" s="741"/>
      <c r="F15" s="1147">
        <v>980000</v>
      </c>
      <c r="G15" s="138">
        <v>0.06</v>
      </c>
      <c r="H15" s="139">
        <f t="shared" si="0"/>
        <v>58800</v>
      </c>
    </row>
    <row r="16" spans="1:8" ht="18.75">
      <c r="A16" s="1180">
        <v>10520</v>
      </c>
      <c r="B16" s="1197">
        <v>0.1</v>
      </c>
      <c r="C16" s="135">
        <v>12</v>
      </c>
      <c r="D16" s="1227" t="s">
        <v>60</v>
      </c>
      <c r="E16" s="741"/>
      <c r="F16" s="678">
        <v>1050000</v>
      </c>
      <c r="G16" s="138">
        <v>0.06</v>
      </c>
      <c r="H16" s="139">
        <f t="shared" si="0"/>
        <v>63000</v>
      </c>
    </row>
    <row r="17" spans="1:8" ht="18.75">
      <c r="A17" s="1179">
        <v>10567</v>
      </c>
      <c r="B17" s="188">
        <v>0.1</v>
      </c>
      <c r="C17" s="135">
        <v>12</v>
      </c>
      <c r="D17" s="1226" t="s">
        <v>51</v>
      </c>
      <c r="E17" s="741"/>
      <c r="F17" s="1146">
        <v>1000000</v>
      </c>
      <c r="G17" s="138">
        <v>0.06</v>
      </c>
      <c r="H17" s="139">
        <f t="shared" si="0"/>
        <v>60000</v>
      </c>
    </row>
    <row r="18" spans="1:8" ht="18" customHeight="1">
      <c r="A18" s="133">
        <v>10547</v>
      </c>
      <c r="B18" s="142">
        <v>0.1</v>
      </c>
      <c r="C18" s="144">
        <v>6</v>
      </c>
      <c r="D18" s="145" t="s">
        <v>25</v>
      </c>
      <c r="E18" s="151"/>
      <c r="F18" s="146">
        <v>850000</v>
      </c>
      <c r="G18" s="138">
        <v>0.06</v>
      </c>
      <c r="H18" s="139">
        <f t="shared" si="0"/>
        <v>51000</v>
      </c>
    </row>
    <row r="19" spans="1:8" ht="18.75">
      <c r="A19" s="1179">
        <v>10573</v>
      </c>
      <c r="B19" s="188">
        <v>0.08</v>
      </c>
      <c r="C19" s="135">
        <v>12</v>
      </c>
      <c r="D19" s="1226" t="s">
        <v>52</v>
      </c>
      <c r="E19" s="151"/>
      <c r="F19" s="1146">
        <v>1050000</v>
      </c>
      <c r="G19" s="140">
        <v>0.05</v>
      </c>
      <c r="H19" s="139">
        <f t="shared" si="0"/>
        <v>52500</v>
      </c>
    </row>
    <row r="20" spans="1:8" ht="18.75">
      <c r="A20" s="1179">
        <v>10586</v>
      </c>
      <c r="B20" s="188">
        <v>0.1</v>
      </c>
      <c r="C20" s="135">
        <v>12</v>
      </c>
      <c r="D20" s="1226" t="s">
        <v>55</v>
      </c>
      <c r="E20" s="151"/>
      <c r="F20" s="1146">
        <v>1200000</v>
      </c>
      <c r="G20" s="138">
        <v>0.06</v>
      </c>
      <c r="H20" s="139">
        <f t="shared" si="0"/>
        <v>72000</v>
      </c>
    </row>
    <row r="21" spans="1:8" ht="18.75">
      <c r="A21" s="133">
        <v>10589</v>
      </c>
      <c r="B21" s="134">
        <v>0.1</v>
      </c>
      <c r="C21" s="135">
        <v>12</v>
      </c>
      <c r="D21" s="145" t="s">
        <v>42</v>
      </c>
      <c r="E21" s="151"/>
      <c r="F21" s="1145">
        <v>1250000</v>
      </c>
      <c r="G21" s="138">
        <v>0.06</v>
      </c>
      <c r="H21" s="139">
        <f t="shared" si="0"/>
        <v>75000</v>
      </c>
    </row>
    <row r="22" spans="1:8" ht="18.75">
      <c r="A22" s="133" t="s">
        <v>24</v>
      </c>
      <c r="B22" s="134">
        <v>0.1</v>
      </c>
      <c r="C22" s="135">
        <v>12</v>
      </c>
      <c r="D22" s="145" t="s">
        <v>20</v>
      </c>
      <c r="E22" s="151"/>
      <c r="F22" s="1145">
        <v>2000000</v>
      </c>
      <c r="G22" s="138">
        <v>0.06</v>
      </c>
      <c r="H22" s="139">
        <f>F22*G22</f>
        <v>120000</v>
      </c>
    </row>
    <row r="23" spans="1:8" ht="18.75">
      <c r="A23" s="1181"/>
      <c r="B23" s="1198"/>
      <c r="C23" s="1198"/>
      <c r="D23" s="1181"/>
      <c r="E23" s="152"/>
      <c r="F23" s="1148">
        <f>SUM(F5:F22)</f>
        <v>20310000</v>
      </c>
      <c r="G23" s="170"/>
      <c r="H23" s="169">
        <f>SUM(H5:H22)</f>
        <v>1197100</v>
      </c>
    </row>
    <row r="26" spans="1:8" ht="18.75">
      <c r="A26" s="1658" t="s">
        <v>1469</v>
      </c>
      <c r="B26" s="1658"/>
      <c r="C26" s="1658"/>
      <c r="D26" s="1658"/>
      <c r="E26" s="1658"/>
      <c r="F26" s="1658"/>
      <c r="G26" s="1658"/>
      <c r="H26" s="1658"/>
    </row>
    <row r="27" spans="1:8" ht="18.75">
      <c r="A27" s="1658"/>
      <c r="B27" s="1658"/>
      <c r="C27" s="1658"/>
      <c r="D27" s="1658"/>
      <c r="E27" s="1658"/>
      <c r="F27" s="1658"/>
      <c r="G27" s="1658"/>
      <c r="H27" s="1658"/>
    </row>
    <row r="28" spans="1:8" ht="30.75">
      <c r="A28" s="45" t="s">
        <v>1463</v>
      </c>
      <c r="B28" s="132" t="s">
        <v>1464</v>
      </c>
      <c r="C28" s="46" t="s">
        <v>1465</v>
      </c>
      <c r="D28" s="45" t="s">
        <v>5</v>
      </c>
      <c r="E28" s="47" t="s">
        <v>1466</v>
      </c>
      <c r="F28" s="47" t="s">
        <v>1467</v>
      </c>
      <c r="G28" s="48" t="s">
        <v>7</v>
      </c>
      <c r="H28" s="48" t="s">
        <v>1468</v>
      </c>
    </row>
    <row r="29" spans="1:8" ht="18.75">
      <c r="A29" s="133">
        <v>10514</v>
      </c>
      <c r="B29" s="134">
        <v>0.1</v>
      </c>
      <c r="C29" s="135">
        <v>12</v>
      </c>
      <c r="D29" s="145" t="s">
        <v>31</v>
      </c>
      <c r="E29" s="741"/>
      <c r="F29" s="146">
        <v>950000</v>
      </c>
      <c r="G29" s="138">
        <v>0.02</v>
      </c>
      <c r="H29" s="139">
        <f>F29*G29</f>
        <v>19000</v>
      </c>
    </row>
    <row r="30" spans="1:8" ht="18.75">
      <c r="A30" s="1180">
        <v>10558</v>
      </c>
      <c r="B30" s="1197">
        <v>0.1</v>
      </c>
      <c r="C30" s="135">
        <v>12</v>
      </c>
      <c r="D30" s="1227" t="s">
        <v>62</v>
      </c>
      <c r="E30" s="741"/>
      <c r="F30" s="1149">
        <v>900000</v>
      </c>
      <c r="G30" s="138">
        <v>0.02</v>
      </c>
      <c r="H30" s="139">
        <f t="shared" ref="H30:H32" si="1">F30*G30</f>
        <v>18000</v>
      </c>
    </row>
    <row r="31" spans="1:8" ht="18.75">
      <c r="A31" s="1179">
        <v>10551</v>
      </c>
      <c r="B31" s="188">
        <v>0.1</v>
      </c>
      <c r="C31" s="135">
        <v>12</v>
      </c>
      <c r="D31" s="1226" t="s">
        <v>53</v>
      </c>
      <c r="E31" s="741"/>
      <c r="F31" s="1146">
        <v>1050000</v>
      </c>
      <c r="G31" s="138">
        <v>0.02</v>
      </c>
      <c r="H31" s="139">
        <f t="shared" si="1"/>
        <v>21000</v>
      </c>
    </row>
    <row r="32" spans="1:8" ht="18.75">
      <c r="A32" s="133">
        <v>10584</v>
      </c>
      <c r="B32" s="134">
        <v>0.1</v>
      </c>
      <c r="C32" s="135">
        <v>12</v>
      </c>
      <c r="D32" s="145" t="s">
        <v>33</v>
      </c>
      <c r="E32" s="741"/>
      <c r="F32" s="146">
        <v>1200000</v>
      </c>
      <c r="G32" s="138">
        <v>0.02</v>
      </c>
      <c r="H32" s="139">
        <f t="shared" si="1"/>
        <v>24000</v>
      </c>
    </row>
    <row r="33" spans="1:8" ht="18.75">
      <c r="A33" s="292"/>
      <c r="B33" s="1187"/>
      <c r="C33" s="1187"/>
      <c r="D33" s="292"/>
      <c r="E33" s="156"/>
      <c r="F33" s="1148">
        <f>SUM(F29:F32)</f>
        <v>4100000</v>
      </c>
      <c r="G33" s="742"/>
      <c r="H33" s="169">
        <f>SUM(H29:H32)</f>
        <v>82000</v>
      </c>
    </row>
    <row r="36" spans="1:8" ht="33" customHeight="1">
      <c r="A36" s="1642" t="s">
        <v>1470</v>
      </c>
      <c r="B36" s="1659"/>
      <c r="C36" s="1659"/>
      <c r="D36" s="1659"/>
      <c r="E36" s="1659"/>
      <c r="F36" s="1659"/>
      <c r="G36" s="1659"/>
      <c r="H36" s="1659"/>
    </row>
    <row r="37" spans="1:8" ht="30.75">
      <c r="A37" s="23" t="s">
        <v>1463</v>
      </c>
      <c r="B37" s="132" t="s">
        <v>1464</v>
      </c>
      <c r="C37" s="24" t="s">
        <v>1465</v>
      </c>
      <c r="D37" s="23" t="s">
        <v>5</v>
      </c>
      <c r="E37" s="25" t="s">
        <v>1466</v>
      </c>
      <c r="F37" s="25" t="s">
        <v>1467</v>
      </c>
      <c r="G37" s="26" t="s">
        <v>7</v>
      </c>
      <c r="H37" s="26" t="s">
        <v>1468</v>
      </c>
    </row>
    <row r="38" spans="1:8" ht="18.75">
      <c r="A38" s="133">
        <v>10588</v>
      </c>
      <c r="B38" s="158">
        <v>10</v>
      </c>
      <c r="C38" s="144">
        <v>6</v>
      </c>
      <c r="D38" s="145" t="s">
        <v>43</v>
      </c>
      <c r="E38" s="741"/>
      <c r="F38" s="1145">
        <v>1250000</v>
      </c>
      <c r="G38" s="138">
        <v>0.02</v>
      </c>
      <c r="H38" s="139">
        <f>F38*G38</f>
        <v>25000</v>
      </c>
    </row>
    <row r="39" spans="1:8" ht="18.75">
      <c r="A39" s="292"/>
      <c r="B39" s="1187"/>
      <c r="C39" s="1187"/>
      <c r="D39" s="292"/>
      <c r="E39" s="156"/>
      <c r="F39" s="1148">
        <f>SUM(F38:F38)</f>
        <v>1250000</v>
      </c>
      <c r="G39" s="742"/>
      <c r="H39" s="169">
        <f>SUM(H38:H38)</f>
        <v>25000</v>
      </c>
    </row>
    <row r="40" spans="1:8" ht="18.75">
      <c r="A40" s="1182"/>
      <c r="B40" s="1199"/>
      <c r="C40" s="1199"/>
      <c r="D40" s="1182"/>
      <c r="E40" s="171"/>
      <c r="F40" s="1150"/>
      <c r="G40" s="173"/>
      <c r="H40" s="172"/>
    </row>
    <row r="41" spans="1:8" ht="18.75">
      <c r="B41" s="1200"/>
      <c r="C41" s="1200"/>
      <c r="G41" s="84"/>
    </row>
    <row r="42" spans="1:8" ht="28.5" customHeight="1">
      <c r="A42" s="1640" t="s">
        <v>1471</v>
      </c>
      <c r="B42" s="1640"/>
      <c r="C42" s="1640"/>
      <c r="D42" s="1640"/>
      <c r="E42" s="1640"/>
      <c r="F42" s="1640"/>
      <c r="G42" s="1640"/>
      <c r="H42" s="1640"/>
    </row>
    <row r="43" spans="1:8" ht="30.75">
      <c r="A43" s="45" t="s">
        <v>1463</v>
      </c>
      <c r="B43" s="251" t="s">
        <v>1464</v>
      </c>
      <c r="C43" s="46" t="s">
        <v>1465</v>
      </c>
      <c r="D43" s="45" t="s">
        <v>5</v>
      </c>
      <c r="E43" s="47" t="s">
        <v>1466</v>
      </c>
      <c r="F43" s="47" t="s">
        <v>1467</v>
      </c>
      <c r="G43" s="48" t="s">
        <v>7</v>
      </c>
      <c r="H43" s="48" t="s">
        <v>1468</v>
      </c>
    </row>
    <row r="44" spans="1:8" ht="18.75">
      <c r="A44" s="133">
        <v>10469</v>
      </c>
      <c r="B44" s="134">
        <v>0.1</v>
      </c>
      <c r="C44" s="135">
        <v>12</v>
      </c>
      <c r="D44" s="136" t="s">
        <v>41</v>
      </c>
      <c r="E44" s="137"/>
      <c r="F44" s="1145">
        <v>1300000</v>
      </c>
      <c r="G44" s="166">
        <v>2.5000000000000001E-2</v>
      </c>
      <c r="H44" s="139">
        <f>F44*G44</f>
        <v>32500</v>
      </c>
    </row>
    <row r="45" spans="1:8" ht="18.75">
      <c r="A45" s="133">
        <v>10475</v>
      </c>
      <c r="B45" s="134">
        <v>0.08</v>
      </c>
      <c r="C45" s="135">
        <v>12</v>
      </c>
      <c r="D45" s="136" t="s">
        <v>46</v>
      </c>
      <c r="E45" s="137"/>
      <c r="F45" s="1145">
        <v>1100000</v>
      </c>
      <c r="G45" s="166">
        <v>1.4999999999999999E-2</v>
      </c>
      <c r="H45" s="139">
        <f t="shared" ref="H45:H64" si="2">F45*G45</f>
        <v>16500</v>
      </c>
    </row>
    <row r="46" spans="1:8" ht="18.75">
      <c r="A46" s="1179">
        <v>10486</v>
      </c>
      <c r="B46" s="188">
        <v>0.1</v>
      </c>
      <c r="C46" s="135">
        <v>12</v>
      </c>
      <c r="D46" s="1226" t="s">
        <v>47</v>
      </c>
      <c r="E46" s="137"/>
      <c r="F46" s="1145">
        <v>1000000</v>
      </c>
      <c r="G46" s="166">
        <v>2.5000000000000001E-2</v>
      </c>
      <c r="H46" s="139">
        <f t="shared" si="2"/>
        <v>25000</v>
      </c>
    </row>
    <row r="47" spans="1:8" ht="18.75">
      <c r="A47" s="1179">
        <v>10476</v>
      </c>
      <c r="B47" s="753">
        <v>0.1</v>
      </c>
      <c r="C47" s="1215">
        <v>12</v>
      </c>
      <c r="D47" s="1226" t="s">
        <v>48</v>
      </c>
      <c r="E47" s="741"/>
      <c r="F47" s="1146">
        <v>1000000</v>
      </c>
      <c r="G47" s="166">
        <v>2.5000000000000001E-2</v>
      </c>
      <c r="H47" s="139">
        <f t="shared" si="2"/>
        <v>25000</v>
      </c>
    </row>
    <row r="48" spans="1:8" ht="18.75">
      <c r="A48" s="1179">
        <v>10485</v>
      </c>
      <c r="B48" s="188">
        <v>0.1</v>
      </c>
      <c r="C48" s="135">
        <v>12</v>
      </c>
      <c r="D48" s="1226" t="s">
        <v>50</v>
      </c>
      <c r="E48" s="741"/>
      <c r="F48" s="1146">
        <v>1300000</v>
      </c>
      <c r="G48" s="166">
        <v>2.5000000000000001E-2</v>
      </c>
      <c r="H48" s="139">
        <f t="shared" si="2"/>
        <v>32500</v>
      </c>
    </row>
    <row r="49" spans="1:8" ht="18.75">
      <c r="A49" s="1180">
        <v>10466</v>
      </c>
      <c r="B49" s="1197">
        <v>0.1</v>
      </c>
      <c r="C49" s="135">
        <v>12</v>
      </c>
      <c r="D49" s="1227" t="s">
        <v>67</v>
      </c>
      <c r="E49" s="741"/>
      <c r="F49" s="1146">
        <v>1130000</v>
      </c>
      <c r="G49" s="166">
        <v>2.5000000000000001E-2</v>
      </c>
      <c r="H49" s="139">
        <f t="shared" si="2"/>
        <v>28250</v>
      </c>
    </row>
    <row r="50" spans="1:8" ht="18.75">
      <c r="A50" s="133">
        <v>10482</v>
      </c>
      <c r="B50" s="142">
        <v>0.1</v>
      </c>
      <c r="C50" s="1215">
        <v>6</v>
      </c>
      <c r="D50" s="136" t="s">
        <v>26</v>
      </c>
      <c r="E50" s="741"/>
      <c r="F50" s="146">
        <v>1100000</v>
      </c>
      <c r="G50" s="166">
        <v>2.5000000000000001E-2</v>
      </c>
      <c r="H50" s="139">
        <f t="shared" si="2"/>
        <v>27500</v>
      </c>
    </row>
    <row r="51" spans="1:8" ht="18.75">
      <c r="A51" s="133">
        <v>10498</v>
      </c>
      <c r="B51" s="142">
        <v>0.1</v>
      </c>
      <c r="C51" s="144">
        <v>9</v>
      </c>
      <c r="D51" s="145" t="s">
        <v>28</v>
      </c>
      <c r="E51" s="739"/>
      <c r="F51" s="143">
        <v>800000</v>
      </c>
      <c r="G51" s="167">
        <v>2.5000000000000001E-2</v>
      </c>
      <c r="H51" s="139">
        <f t="shared" si="2"/>
        <v>20000</v>
      </c>
    </row>
    <row r="52" spans="1:8" ht="18.75">
      <c r="A52" s="133">
        <v>10507</v>
      </c>
      <c r="B52" s="134">
        <v>0.1</v>
      </c>
      <c r="C52" s="135">
        <v>12</v>
      </c>
      <c r="D52" s="145" t="s">
        <v>29</v>
      </c>
      <c r="E52" s="739"/>
      <c r="F52" s="143">
        <v>1200000</v>
      </c>
      <c r="G52" s="167">
        <v>2.5000000000000001E-2</v>
      </c>
      <c r="H52" s="139">
        <f t="shared" si="2"/>
        <v>30000</v>
      </c>
    </row>
    <row r="53" spans="1:8" ht="18.75">
      <c r="A53" s="677">
        <v>10511</v>
      </c>
      <c r="B53" s="478">
        <v>0.1</v>
      </c>
      <c r="C53" s="135">
        <v>12</v>
      </c>
      <c r="D53" s="259" t="s">
        <v>59</v>
      </c>
      <c r="E53" s="739"/>
      <c r="F53" s="678">
        <v>1000000</v>
      </c>
      <c r="G53" s="167">
        <v>2.5000000000000001E-2</v>
      </c>
      <c r="H53" s="139">
        <f t="shared" si="2"/>
        <v>25000</v>
      </c>
    </row>
    <row r="54" spans="1:8" ht="18.75">
      <c r="A54" s="133">
        <v>10514</v>
      </c>
      <c r="B54" s="134">
        <v>0.1</v>
      </c>
      <c r="C54" s="135">
        <v>12</v>
      </c>
      <c r="D54" s="145" t="s">
        <v>31</v>
      </c>
      <c r="E54" s="739"/>
      <c r="F54" s="143">
        <v>950000</v>
      </c>
      <c r="G54" s="167">
        <v>2.5000000000000001E-2</v>
      </c>
      <c r="H54" s="139">
        <f t="shared" si="2"/>
        <v>23750</v>
      </c>
    </row>
    <row r="55" spans="1:8" ht="18.75">
      <c r="A55" s="1180">
        <v>10510</v>
      </c>
      <c r="B55" s="1197">
        <v>0.1</v>
      </c>
      <c r="C55" s="135">
        <v>12</v>
      </c>
      <c r="D55" s="1227" t="s">
        <v>61</v>
      </c>
      <c r="E55" s="739"/>
      <c r="F55" s="678">
        <v>980000</v>
      </c>
      <c r="G55" s="167">
        <v>2.5000000000000001E-2</v>
      </c>
      <c r="H55" s="139">
        <f t="shared" si="2"/>
        <v>24500</v>
      </c>
    </row>
    <row r="56" spans="1:8" ht="18.75">
      <c r="A56" s="1180">
        <v>10520</v>
      </c>
      <c r="B56" s="1197">
        <v>0.1</v>
      </c>
      <c r="C56" s="135">
        <v>12</v>
      </c>
      <c r="D56" s="1227" t="s">
        <v>60</v>
      </c>
      <c r="E56" s="739"/>
      <c r="F56" s="678">
        <v>1050000</v>
      </c>
      <c r="G56" s="167">
        <v>2.5000000000000001E-2</v>
      </c>
      <c r="H56" s="139">
        <f t="shared" si="2"/>
        <v>26250</v>
      </c>
    </row>
    <row r="57" spans="1:8" ht="18.75">
      <c r="A57" s="1180">
        <v>10558</v>
      </c>
      <c r="B57" s="1197">
        <v>0.1</v>
      </c>
      <c r="C57" s="135">
        <v>12</v>
      </c>
      <c r="D57" s="1227" t="s">
        <v>62</v>
      </c>
      <c r="E57" s="739"/>
      <c r="F57" s="678">
        <v>900000</v>
      </c>
      <c r="G57" s="167">
        <v>2.5000000000000001E-2</v>
      </c>
      <c r="H57" s="139">
        <f t="shared" si="2"/>
        <v>22500</v>
      </c>
    </row>
    <row r="58" spans="1:8" ht="18.75">
      <c r="A58" s="1179">
        <v>10567</v>
      </c>
      <c r="B58" s="188">
        <v>0.1</v>
      </c>
      <c r="C58" s="135">
        <v>12</v>
      </c>
      <c r="D58" s="1226" t="s">
        <v>51</v>
      </c>
      <c r="E58" s="739"/>
      <c r="F58" s="1146">
        <v>1000000</v>
      </c>
      <c r="G58" s="167">
        <v>2.5000000000000001E-2</v>
      </c>
      <c r="H58" s="139">
        <f t="shared" si="2"/>
        <v>25000</v>
      </c>
    </row>
    <row r="59" spans="1:8" ht="18.75">
      <c r="A59" s="1179">
        <v>10551</v>
      </c>
      <c r="B59" s="188">
        <v>0.1</v>
      </c>
      <c r="C59" s="135">
        <v>12</v>
      </c>
      <c r="D59" s="1226" t="s">
        <v>53</v>
      </c>
      <c r="E59" s="739"/>
      <c r="F59" s="1146">
        <v>1050000</v>
      </c>
      <c r="G59" s="167">
        <v>2.5000000000000001E-2</v>
      </c>
      <c r="H59" s="139">
        <f t="shared" si="2"/>
        <v>26250</v>
      </c>
    </row>
    <row r="60" spans="1:8" ht="18.75">
      <c r="A60" s="133">
        <v>10547</v>
      </c>
      <c r="B60" s="142">
        <v>0.1</v>
      </c>
      <c r="C60" s="144">
        <v>6</v>
      </c>
      <c r="D60" s="145" t="s">
        <v>25</v>
      </c>
      <c r="E60" s="168"/>
      <c r="F60" s="143">
        <v>850000</v>
      </c>
      <c r="G60" s="167">
        <v>2.5000000000000001E-2</v>
      </c>
      <c r="H60" s="139">
        <f t="shared" si="2"/>
        <v>21250</v>
      </c>
    </row>
    <row r="61" spans="1:8" ht="18.75">
      <c r="A61" s="1179">
        <v>10573</v>
      </c>
      <c r="B61" s="188">
        <v>0.08</v>
      </c>
      <c r="C61" s="135">
        <v>12</v>
      </c>
      <c r="D61" s="1226" t="s">
        <v>52</v>
      </c>
      <c r="E61" s="151"/>
      <c r="F61" s="1152">
        <v>1050000</v>
      </c>
      <c r="G61" s="166">
        <v>1.4999999999999999E-2</v>
      </c>
      <c r="H61" s="139">
        <f t="shared" si="2"/>
        <v>15750</v>
      </c>
    </row>
    <row r="62" spans="1:8" ht="18.75">
      <c r="A62" s="1179">
        <v>10586</v>
      </c>
      <c r="B62" s="188">
        <v>0.1</v>
      </c>
      <c r="C62" s="135">
        <v>12</v>
      </c>
      <c r="D62" s="1226" t="s">
        <v>55</v>
      </c>
      <c r="E62" s="151"/>
      <c r="F62" s="1146">
        <v>1200000</v>
      </c>
      <c r="G62" s="166">
        <v>2.5000000000000001E-2</v>
      </c>
      <c r="H62" s="139">
        <f t="shared" si="2"/>
        <v>30000</v>
      </c>
    </row>
    <row r="63" spans="1:8" ht="18.75">
      <c r="A63" s="133">
        <v>10589</v>
      </c>
      <c r="B63" s="134">
        <v>0.1</v>
      </c>
      <c r="C63" s="135">
        <v>12</v>
      </c>
      <c r="D63" s="145" t="s">
        <v>42</v>
      </c>
      <c r="E63" s="151"/>
      <c r="F63" s="1145">
        <v>1250000</v>
      </c>
      <c r="G63" s="166">
        <v>2.5000000000000001E-2</v>
      </c>
      <c r="H63" s="139">
        <f t="shared" si="2"/>
        <v>31250</v>
      </c>
    </row>
    <row r="64" spans="1:8" ht="18.75">
      <c r="A64" s="133">
        <v>10584</v>
      </c>
      <c r="B64" s="134">
        <v>0.1</v>
      </c>
      <c r="C64" s="135">
        <v>12</v>
      </c>
      <c r="D64" s="145" t="s">
        <v>33</v>
      </c>
      <c r="E64" s="741"/>
      <c r="F64" s="146">
        <v>1200000</v>
      </c>
      <c r="G64" s="166">
        <v>2.5000000000000001E-2</v>
      </c>
      <c r="H64" s="139">
        <f t="shared" si="2"/>
        <v>30000</v>
      </c>
    </row>
    <row r="65" spans="1:8" ht="18.75">
      <c r="A65" s="133">
        <v>10582</v>
      </c>
      <c r="B65" s="134">
        <v>0.1</v>
      </c>
      <c r="C65" s="135">
        <v>12</v>
      </c>
      <c r="D65" s="145" t="s">
        <v>20</v>
      </c>
      <c r="E65" s="151"/>
      <c r="F65" s="1145">
        <v>2000000</v>
      </c>
      <c r="G65" s="166">
        <v>2.5000000000000001E-2</v>
      </c>
      <c r="H65" s="139">
        <f>F65*G65</f>
        <v>50000</v>
      </c>
    </row>
    <row r="66" spans="1:8" ht="18.75">
      <c r="A66" s="133">
        <v>10588</v>
      </c>
      <c r="B66" s="142">
        <v>0.1</v>
      </c>
      <c r="C66" s="144">
        <v>6</v>
      </c>
      <c r="D66" s="145" t="s">
        <v>43</v>
      </c>
      <c r="E66" s="741"/>
      <c r="F66" s="1145">
        <v>1250000</v>
      </c>
      <c r="G66" s="166">
        <v>2.5000000000000001E-2</v>
      </c>
      <c r="H66" s="139">
        <f>F66*G66</f>
        <v>31250</v>
      </c>
    </row>
    <row r="67" spans="1:8" ht="18.75">
      <c r="A67" s="292"/>
      <c r="B67" s="1187"/>
      <c r="C67" s="1187"/>
      <c r="D67" s="292"/>
      <c r="E67" s="156" t="s">
        <v>34</v>
      </c>
      <c r="F67" s="1148">
        <f>SUM(F44:F66)</f>
        <v>25660000</v>
      </c>
      <c r="G67" s="742"/>
      <c r="H67" s="169">
        <f>SUM(H44:H66)</f>
        <v>620000</v>
      </c>
    </row>
    <row r="72" spans="1:8" ht="27.75" customHeight="1">
      <c r="A72" s="1643" t="s">
        <v>1472</v>
      </c>
      <c r="B72" s="1643"/>
      <c r="C72" s="1643"/>
      <c r="D72" s="1643"/>
      <c r="E72" s="1643"/>
      <c r="F72" s="1643"/>
      <c r="G72" s="1643"/>
      <c r="H72" s="1643"/>
    </row>
    <row r="73" spans="1:8" ht="16.5" customHeight="1">
      <c r="A73" s="1144"/>
      <c r="B73" s="1144"/>
      <c r="C73" s="1144"/>
      <c r="D73" s="1144"/>
      <c r="E73" s="174"/>
      <c r="F73" s="1144"/>
      <c r="G73" s="174"/>
      <c r="H73" s="174"/>
    </row>
    <row r="74" spans="1:8" ht="26.25">
      <c r="A74" s="1655" t="s">
        <v>1462</v>
      </c>
      <c r="B74" s="1655"/>
      <c r="C74" s="1655"/>
      <c r="D74" s="1655"/>
      <c r="E74" s="1655"/>
      <c r="F74" s="1655"/>
      <c r="G74" s="1655"/>
      <c r="H74" s="1655"/>
    </row>
    <row r="75" spans="1:8" ht="30.75">
      <c r="A75" s="45" t="s">
        <v>1463</v>
      </c>
      <c r="B75" s="251" t="s">
        <v>1464</v>
      </c>
      <c r="C75" s="46" t="s">
        <v>1465</v>
      </c>
      <c r="D75" s="45" t="s">
        <v>5</v>
      </c>
      <c r="E75" s="47" t="s">
        <v>1466</v>
      </c>
      <c r="F75" s="47" t="s">
        <v>1467</v>
      </c>
      <c r="G75" s="48" t="s">
        <v>7</v>
      </c>
      <c r="H75" s="48" t="s">
        <v>1468</v>
      </c>
    </row>
    <row r="76" spans="1:8" ht="18.75">
      <c r="A76" s="133">
        <v>10616</v>
      </c>
      <c r="B76" s="142">
        <v>0.1</v>
      </c>
      <c r="C76" s="144">
        <v>12</v>
      </c>
      <c r="D76" s="145" t="s">
        <v>83</v>
      </c>
      <c r="E76" s="741"/>
      <c r="F76" s="146">
        <v>1050000</v>
      </c>
      <c r="G76" s="138">
        <v>0.02</v>
      </c>
      <c r="H76" s="139">
        <f>F76*G76</f>
        <v>21000</v>
      </c>
    </row>
    <row r="77" spans="1:8" ht="18.75">
      <c r="A77" s="133">
        <v>10610</v>
      </c>
      <c r="B77" s="142">
        <v>0.1</v>
      </c>
      <c r="C77" s="144">
        <v>12</v>
      </c>
      <c r="D77" s="145" t="s">
        <v>86</v>
      </c>
      <c r="E77" s="741"/>
      <c r="F77" s="146">
        <v>810000</v>
      </c>
      <c r="G77" s="138">
        <v>0.02</v>
      </c>
      <c r="H77" s="139">
        <f>F77*G77</f>
        <v>16200</v>
      </c>
    </row>
    <row r="78" spans="1:8" ht="18.75">
      <c r="A78" s="1183"/>
      <c r="B78" s="1201"/>
      <c r="C78" s="1201"/>
      <c r="D78" s="1183"/>
      <c r="E78" s="27"/>
      <c r="F78" s="1148">
        <f>SUM(F76:F77)</f>
        <v>1860000</v>
      </c>
      <c r="G78" s="742"/>
      <c r="H78" s="169">
        <f>SUM(H76:H77)</f>
        <v>37200</v>
      </c>
    </row>
    <row r="81" spans="1:8" ht="26.25">
      <c r="A81" s="1655" t="s">
        <v>1469</v>
      </c>
      <c r="B81" s="1655"/>
      <c r="C81" s="1655"/>
      <c r="D81" s="1655"/>
      <c r="E81" s="1655"/>
      <c r="F81" s="1655"/>
      <c r="G81" s="1655"/>
      <c r="H81" s="1655"/>
    </row>
    <row r="82" spans="1:8" ht="30.75">
      <c r="A82" s="45" t="s">
        <v>1463</v>
      </c>
      <c r="B82" s="251" t="s">
        <v>1464</v>
      </c>
      <c r="C82" s="46" t="s">
        <v>1465</v>
      </c>
      <c r="D82" s="45" t="s">
        <v>5</v>
      </c>
      <c r="E82" s="47" t="s">
        <v>1466</v>
      </c>
      <c r="F82" s="47" t="s">
        <v>1467</v>
      </c>
      <c r="G82" s="48" t="s">
        <v>7</v>
      </c>
      <c r="H82" s="48" t="s">
        <v>1468</v>
      </c>
    </row>
    <row r="83" spans="1:8" ht="18.75">
      <c r="A83" s="133">
        <v>10611</v>
      </c>
      <c r="B83" s="142">
        <v>0.1</v>
      </c>
      <c r="C83" s="144">
        <v>12</v>
      </c>
      <c r="D83" s="145" t="s">
        <v>85</v>
      </c>
      <c r="E83" s="741"/>
      <c r="F83" s="146">
        <v>1100000</v>
      </c>
      <c r="G83" s="138"/>
      <c r="H83" s="139"/>
    </row>
    <row r="84" spans="1:8" ht="18.75">
      <c r="A84" s="1179">
        <v>10614</v>
      </c>
      <c r="B84" s="753">
        <v>0.1</v>
      </c>
      <c r="C84" s="144">
        <v>12</v>
      </c>
      <c r="D84" s="1226" t="s">
        <v>101</v>
      </c>
      <c r="E84" s="741"/>
      <c r="F84" s="1146">
        <v>1100000</v>
      </c>
      <c r="G84" s="138"/>
      <c r="H84" s="139"/>
    </row>
    <row r="85" spans="1:8" ht="18.75">
      <c r="A85" s="1179">
        <v>10641</v>
      </c>
      <c r="B85" s="753">
        <v>0.1</v>
      </c>
      <c r="C85" s="144">
        <v>12</v>
      </c>
      <c r="D85" s="1226" t="s">
        <v>105</v>
      </c>
      <c r="E85" s="741"/>
      <c r="F85" s="1145">
        <v>750000</v>
      </c>
      <c r="G85" s="157"/>
      <c r="H85" s="154">
        <f>SUM(H83:H84)</f>
        <v>0</v>
      </c>
    </row>
    <row r="86" spans="1:8" ht="18.75">
      <c r="A86" s="266"/>
      <c r="B86" s="1188"/>
      <c r="C86" s="1188"/>
      <c r="D86" s="266"/>
      <c r="E86" s="165"/>
      <c r="F86" s="1153">
        <f>SUM(F83:F85)</f>
        <v>2950000</v>
      </c>
      <c r="G86" s="1656" t="s">
        <v>1473</v>
      </c>
      <c r="H86" s="1657"/>
    </row>
    <row r="89" spans="1:8" ht="26.25">
      <c r="A89" s="1655" t="s">
        <v>1474</v>
      </c>
      <c r="B89" s="1655"/>
      <c r="C89" s="1655"/>
      <c r="D89" s="1655"/>
      <c r="E89" s="1655"/>
      <c r="F89" s="1655"/>
      <c r="G89" s="1655"/>
      <c r="H89" s="1660"/>
    </row>
    <row r="90" spans="1:8" ht="30.75">
      <c r="A90" s="45" t="s">
        <v>1463</v>
      </c>
      <c r="B90" s="251" t="s">
        <v>1464</v>
      </c>
      <c r="C90" s="46" t="s">
        <v>1465</v>
      </c>
      <c r="D90" s="45" t="s">
        <v>5</v>
      </c>
      <c r="E90" s="47" t="s">
        <v>1466</v>
      </c>
      <c r="F90" s="47" t="s">
        <v>1467</v>
      </c>
      <c r="G90" s="62" t="s">
        <v>7</v>
      </c>
      <c r="H90" s="49" t="s">
        <v>1468</v>
      </c>
    </row>
    <row r="91" spans="1:8" ht="18.75">
      <c r="A91" s="1179">
        <v>10645</v>
      </c>
      <c r="B91" s="753">
        <v>0.1</v>
      </c>
      <c r="C91" s="144">
        <v>12</v>
      </c>
      <c r="D91" s="1226" t="s">
        <v>103</v>
      </c>
      <c r="E91" s="741"/>
      <c r="F91" s="1145">
        <v>1150000</v>
      </c>
      <c r="G91" s="189">
        <v>0.02</v>
      </c>
      <c r="H91" s="139">
        <f>F91*G91</f>
        <v>23000</v>
      </c>
    </row>
    <row r="92" spans="1:8" ht="18.75">
      <c r="A92" s="1179">
        <v>10650</v>
      </c>
      <c r="B92" s="188">
        <v>0.1</v>
      </c>
      <c r="C92" s="135">
        <v>6</v>
      </c>
      <c r="D92" s="1226" t="s">
        <v>1475</v>
      </c>
      <c r="E92" s="741"/>
      <c r="F92" s="1145">
        <v>1150000</v>
      </c>
      <c r="G92" s="189">
        <v>0.02</v>
      </c>
      <c r="H92" s="139">
        <f t="shared" ref="H92:H104" si="3">F92*G92</f>
        <v>23000</v>
      </c>
    </row>
    <row r="93" spans="1:8" ht="18.75">
      <c r="A93" s="133">
        <v>10666</v>
      </c>
      <c r="B93" s="134">
        <v>0.1</v>
      </c>
      <c r="C93" s="135">
        <v>12</v>
      </c>
      <c r="D93" s="145" t="s">
        <v>102</v>
      </c>
      <c r="E93" s="137"/>
      <c r="F93" s="146">
        <v>1100000</v>
      </c>
      <c r="G93" s="189">
        <v>0.02</v>
      </c>
      <c r="H93" s="139">
        <f t="shared" si="3"/>
        <v>22000</v>
      </c>
    </row>
    <row r="94" spans="1:8" ht="18.75">
      <c r="A94" s="133">
        <v>10671</v>
      </c>
      <c r="B94" s="134">
        <v>0.1</v>
      </c>
      <c r="C94" s="135">
        <v>12</v>
      </c>
      <c r="D94" s="145" t="s">
        <v>90</v>
      </c>
      <c r="E94" s="137"/>
      <c r="F94" s="146">
        <v>1300000</v>
      </c>
      <c r="G94" s="189">
        <v>0.02</v>
      </c>
      <c r="H94" s="139">
        <f t="shared" si="3"/>
        <v>26000</v>
      </c>
    </row>
    <row r="95" spans="1:8" ht="18.75">
      <c r="A95" s="133">
        <v>10678</v>
      </c>
      <c r="B95" s="134">
        <v>0.1</v>
      </c>
      <c r="C95" s="135">
        <v>12</v>
      </c>
      <c r="D95" s="145" t="s">
        <v>115</v>
      </c>
      <c r="E95" s="137"/>
      <c r="F95" s="146">
        <v>1150000</v>
      </c>
      <c r="G95" s="189">
        <v>0.02</v>
      </c>
      <c r="H95" s="139">
        <f t="shared" si="3"/>
        <v>23000</v>
      </c>
    </row>
    <row r="96" spans="1:8" ht="18.75">
      <c r="A96" s="1179">
        <v>10689</v>
      </c>
      <c r="B96" s="188">
        <v>0.1</v>
      </c>
      <c r="C96" s="135">
        <v>12</v>
      </c>
      <c r="D96" s="1226" t="s">
        <v>104</v>
      </c>
      <c r="E96" s="137"/>
      <c r="F96" s="1145">
        <v>1250000</v>
      </c>
      <c r="G96" s="189">
        <v>0.02</v>
      </c>
      <c r="H96" s="139">
        <f t="shared" si="3"/>
        <v>25000</v>
      </c>
    </row>
    <row r="97" spans="1:8" ht="18.75">
      <c r="A97" s="1179">
        <v>10704</v>
      </c>
      <c r="B97" s="188">
        <v>0.1</v>
      </c>
      <c r="C97" s="135">
        <v>12</v>
      </c>
      <c r="D97" s="1226" t="s">
        <v>94</v>
      </c>
      <c r="E97" s="137"/>
      <c r="F97" s="1145">
        <v>850000</v>
      </c>
      <c r="G97" s="189">
        <v>0.02</v>
      </c>
      <c r="H97" s="139">
        <f t="shared" si="3"/>
        <v>17000</v>
      </c>
    </row>
    <row r="98" spans="1:8" ht="18.75">
      <c r="A98" s="1179">
        <v>10736</v>
      </c>
      <c r="B98" s="188">
        <v>0.1</v>
      </c>
      <c r="C98" s="135">
        <v>12</v>
      </c>
      <c r="D98" s="1226" t="s">
        <v>1476</v>
      </c>
      <c r="E98" s="137"/>
      <c r="F98" s="1145">
        <v>1350000</v>
      </c>
      <c r="G98" s="189">
        <v>0.02</v>
      </c>
      <c r="H98" s="139">
        <f t="shared" si="3"/>
        <v>27000</v>
      </c>
    </row>
    <row r="99" spans="1:8" ht="18.75">
      <c r="A99" s="1179">
        <v>10730</v>
      </c>
      <c r="B99" s="188">
        <v>0.1</v>
      </c>
      <c r="C99" s="135">
        <v>12</v>
      </c>
      <c r="D99" s="1226" t="s">
        <v>1477</v>
      </c>
      <c r="E99" s="137"/>
      <c r="F99" s="1145">
        <v>850000</v>
      </c>
      <c r="G99" s="189">
        <v>0.02</v>
      </c>
      <c r="H99" s="139">
        <f t="shared" si="3"/>
        <v>17000</v>
      </c>
    </row>
    <row r="100" spans="1:8" ht="18.75">
      <c r="A100" s="1179">
        <v>10747</v>
      </c>
      <c r="B100" s="188">
        <v>0.1</v>
      </c>
      <c r="C100" s="135">
        <v>12</v>
      </c>
      <c r="D100" s="1226" t="s">
        <v>106</v>
      </c>
      <c r="E100" s="137"/>
      <c r="F100" s="1145">
        <v>1100000</v>
      </c>
      <c r="G100" s="189">
        <v>0.02</v>
      </c>
      <c r="H100" s="139">
        <f t="shared" si="3"/>
        <v>22000</v>
      </c>
    </row>
    <row r="101" spans="1:8" ht="18.75">
      <c r="A101" s="1179">
        <v>10742</v>
      </c>
      <c r="B101" s="188">
        <v>0.1</v>
      </c>
      <c r="C101" s="135">
        <v>12</v>
      </c>
      <c r="D101" s="1226" t="s">
        <v>1478</v>
      </c>
      <c r="E101" s="137"/>
      <c r="F101" s="1145">
        <v>800000</v>
      </c>
      <c r="G101" s="189">
        <v>0.02</v>
      </c>
      <c r="H101" s="139">
        <f t="shared" si="3"/>
        <v>16000</v>
      </c>
    </row>
    <row r="102" spans="1:8" ht="18.75">
      <c r="A102" s="1179">
        <v>10756</v>
      </c>
      <c r="B102" s="188">
        <v>0.1</v>
      </c>
      <c r="C102" s="135">
        <v>12</v>
      </c>
      <c r="D102" s="1226" t="s">
        <v>1479</v>
      </c>
      <c r="E102" s="137"/>
      <c r="F102" s="1145">
        <v>1200000</v>
      </c>
      <c r="G102" s="189">
        <v>0.02</v>
      </c>
      <c r="H102" s="139">
        <f t="shared" si="3"/>
        <v>24000</v>
      </c>
    </row>
    <row r="103" spans="1:8" ht="18.75">
      <c r="A103" s="1179">
        <v>10791</v>
      </c>
      <c r="B103" s="188">
        <v>0.1</v>
      </c>
      <c r="C103" s="135">
        <v>12</v>
      </c>
      <c r="D103" s="1226" t="s">
        <v>1480</v>
      </c>
      <c r="E103" s="137"/>
      <c r="F103" s="1145">
        <v>1700000</v>
      </c>
      <c r="G103" s="189">
        <v>0.02</v>
      </c>
      <c r="H103" s="139">
        <f t="shared" si="3"/>
        <v>34000</v>
      </c>
    </row>
    <row r="104" spans="1:8" ht="18.75">
      <c r="A104" s="1179">
        <v>10778</v>
      </c>
      <c r="B104" s="188">
        <v>0.1</v>
      </c>
      <c r="C104" s="135">
        <v>12</v>
      </c>
      <c r="D104" s="1226" t="s">
        <v>84</v>
      </c>
      <c r="E104" s="137"/>
      <c r="F104" s="1145">
        <v>850000</v>
      </c>
      <c r="G104" s="189">
        <v>0.02</v>
      </c>
      <c r="H104" s="139">
        <f t="shared" si="3"/>
        <v>17000</v>
      </c>
    </row>
    <row r="105" spans="1:8" ht="18.75">
      <c r="A105" s="1184"/>
      <c r="B105" s="1137"/>
      <c r="C105" s="1216"/>
      <c r="D105" s="1184"/>
      <c r="E105" s="177" t="s">
        <v>1481</v>
      </c>
      <c r="F105" s="1154">
        <f>SUM(F91:F104)</f>
        <v>15800000</v>
      </c>
      <c r="G105" s="186"/>
      <c r="H105" s="182">
        <f>SUM(H91:H104)</f>
        <v>316000</v>
      </c>
    </row>
    <row r="106" spans="1:8" ht="18.75">
      <c r="A106" s="1179">
        <v>10633</v>
      </c>
      <c r="B106" s="188">
        <v>0.1</v>
      </c>
      <c r="C106" s="135">
        <v>12</v>
      </c>
      <c r="D106" s="1226" t="s">
        <v>1482</v>
      </c>
      <c r="E106" s="137"/>
      <c r="F106" s="1145">
        <v>1500000</v>
      </c>
      <c r="G106" s="189">
        <v>0.02</v>
      </c>
      <c r="H106" s="139">
        <f>F106*G106</f>
        <v>30000</v>
      </c>
    </row>
    <row r="107" spans="1:8" ht="18.75">
      <c r="A107" s="1179">
        <v>10635</v>
      </c>
      <c r="B107" s="188">
        <v>0.08</v>
      </c>
      <c r="C107" s="135">
        <v>12</v>
      </c>
      <c r="D107" s="1226" t="s">
        <v>1483</v>
      </c>
      <c r="E107" s="137"/>
      <c r="F107" s="1145">
        <v>1500000</v>
      </c>
      <c r="G107" s="189">
        <v>0.01</v>
      </c>
      <c r="H107" s="139">
        <f t="shared" ref="H107:H112" si="4">F107*G107</f>
        <v>15000</v>
      </c>
    </row>
    <row r="108" spans="1:8" ht="18.75">
      <c r="A108" s="1179">
        <v>10651</v>
      </c>
      <c r="B108" s="188">
        <v>0.1</v>
      </c>
      <c r="C108" s="135">
        <v>12</v>
      </c>
      <c r="D108" s="1226" t="s">
        <v>1484</v>
      </c>
      <c r="E108" s="137"/>
      <c r="F108" s="1145">
        <v>1350000</v>
      </c>
      <c r="G108" s="189">
        <v>0.02</v>
      </c>
      <c r="H108" s="139">
        <f t="shared" si="4"/>
        <v>27000</v>
      </c>
    </row>
    <row r="109" spans="1:8" ht="18.75">
      <c r="A109" s="1179">
        <v>10657</v>
      </c>
      <c r="B109" s="188">
        <v>0.1</v>
      </c>
      <c r="C109" s="135">
        <v>12</v>
      </c>
      <c r="D109" s="1226" t="s">
        <v>1485</v>
      </c>
      <c r="E109" s="137"/>
      <c r="F109" s="1145">
        <v>1600000</v>
      </c>
      <c r="G109" s="189">
        <v>0.02</v>
      </c>
      <c r="H109" s="139">
        <f t="shared" si="4"/>
        <v>32000</v>
      </c>
    </row>
    <row r="110" spans="1:8" ht="18.75">
      <c r="A110" s="1179">
        <v>10675</v>
      </c>
      <c r="B110" s="188">
        <v>0.1</v>
      </c>
      <c r="C110" s="135">
        <v>12</v>
      </c>
      <c r="D110" s="1226" t="s">
        <v>1486</v>
      </c>
      <c r="E110" s="137"/>
      <c r="F110" s="1145">
        <v>1350000</v>
      </c>
      <c r="G110" s="189">
        <v>0.02</v>
      </c>
      <c r="H110" s="139">
        <f t="shared" si="4"/>
        <v>27000</v>
      </c>
    </row>
    <row r="111" spans="1:8" ht="18.75">
      <c r="A111" s="1179">
        <v>10707</v>
      </c>
      <c r="B111" s="188">
        <v>0.1</v>
      </c>
      <c r="C111" s="135">
        <v>12</v>
      </c>
      <c r="D111" s="1226" t="s">
        <v>1487</v>
      </c>
      <c r="E111" s="137"/>
      <c r="F111" s="1145">
        <v>1450000</v>
      </c>
      <c r="G111" s="189">
        <v>0.02</v>
      </c>
      <c r="H111" s="139">
        <f t="shared" si="4"/>
        <v>29000</v>
      </c>
    </row>
    <row r="112" spans="1:8" ht="18.75">
      <c r="A112" s="1179">
        <v>10717</v>
      </c>
      <c r="B112" s="188">
        <v>0.1</v>
      </c>
      <c r="C112" s="135">
        <v>12</v>
      </c>
      <c r="D112" s="1226" t="s">
        <v>1488</v>
      </c>
      <c r="E112" s="137"/>
      <c r="F112" s="1145">
        <v>1900000</v>
      </c>
      <c r="G112" s="189">
        <v>0.02</v>
      </c>
      <c r="H112" s="139">
        <f t="shared" si="4"/>
        <v>38000</v>
      </c>
    </row>
    <row r="113" spans="1:8" ht="18.75">
      <c r="A113" s="1185"/>
      <c r="B113" s="1185"/>
      <c r="C113" s="163"/>
      <c r="D113" s="1228"/>
      <c r="E113" s="184" t="s">
        <v>1489</v>
      </c>
      <c r="F113" s="1155">
        <f>SUM(F106:F112)</f>
        <v>10650000</v>
      </c>
      <c r="G113" s="187"/>
      <c r="H113" s="182">
        <f>SUM(H106:H112)</f>
        <v>198000</v>
      </c>
    </row>
    <row r="114" spans="1:8" ht="18.75">
      <c r="A114" s="1183"/>
      <c r="B114" s="1201"/>
      <c r="C114" s="1201"/>
      <c r="D114" s="1183"/>
      <c r="E114" s="165" t="s">
        <v>1490</v>
      </c>
      <c r="F114" s="1148">
        <f>F105+F113</f>
        <v>26450000</v>
      </c>
      <c r="G114" s="185"/>
      <c r="H114" s="176">
        <f>H105+H113</f>
        <v>514000</v>
      </c>
    </row>
    <row r="117" spans="1:8" ht="26.25">
      <c r="A117" s="1642" t="s">
        <v>1470</v>
      </c>
      <c r="B117" s="1659"/>
      <c r="C117" s="1659"/>
      <c r="D117" s="1659"/>
      <c r="E117" s="1659"/>
      <c r="F117" s="1659"/>
      <c r="G117" s="1659"/>
      <c r="H117" s="1661"/>
    </row>
    <row r="118" spans="1:8" ht="30.75">
      <c r="A118" s="23" t="s">
        <v>1463</v>
      </c>
      <c r="B118" s="251" t="s">
        <v>1464</v>
      </c>
      <c r="C118" s="24" t="s">
        <v>1465</v>
      </c>
      <c r="D118" s="23" t="s">
        <v>5</v>
      </c>
      <c r="E118" s="25" t="s">
        <v>1466</v>
      </c>
      <c r="F118" s="25" t="s">
        <v>1467</v>
      </c>
      <c r="G118" s="50" t="s">
        <v>7</v>
      </c>
      <c r="H118" s="49" t="s">
        <v>1468</v>
      </c>
    </row>
    <row r="119" spans="1:8" ht="18.75">
      <c r="A119" s="133">
        <v>10640</v>
      </c>
      <c r="B119" s="158">
        <v>10</v>
      </c>
      <c r="C119" s="144">
        <v>12</v>
      </c>
      <c r="D119" s="145" t="s">
        <v>87</v>
      </c>
      <c r="E119" s="741"/>
      <c r="F119" s="146">
        <v>980000</v>
      </c>
      <c r="G119" s="189">
        <v>0.02</v>
      </c>
      <c r="H119" s="190">
        <f>F119*G119</f>
        <v>19600</v>
      </c>
    </row>
    <row r="120" spans="1:8" ht="18.75">
      <c r="A120" s="133">
        <v>10629</v>
      </c>
      <c r="B120" s="158">
        <v>10</v>
      </c>
      <c r="C120" s="144">
        <v>12</v>
      </c>
      <c r="D120" s="145" t="s">
        <v>88</v>
      </c>
      <c r="E120" s="741"/>
      <c r="F120" s="146">
        <v>1250000</v>
      </c>
      <c r="G120" s="191">
        <v>0.02</v>
      </c>
      <c r="H120" s="190">
        <f t="shared" ref="H120:H121" si="5">F120*G120</f>
        <v>25000</v>
      </c>
    </row>
    <row r="121" spans="1:8" ht="18.75">
      <c r="A121" s="133">
        <v>10676</v>
      </c>
      <c r="B121" s="158">
        <v>10</v>
      </c>
      <c r="C121" s="144">
        <v>12</v>
      </c>
      <c r="D121" s="145" t="s">
        <v>97</v>
      </c>
      <c r="E121" s="741"/>
      <c r="F121" s="146">
        <v>1430000</v>
      </c>
      <c r="G121" s="189">
        <v>0.02</v>
      </c>
      <c r="H121" s="194">
        <f t="shared" si="5"/>
        <v>28600</v>
      </c>
    </row>
    <row r="122" spans="1:8" ht="18.75">
      <c r="A122" s="1183"/>
      <c r="B122" s="1201"/>
      <c r="C122" s="1201"/>
      <c r="D122" s="1183"/>
      <c r="E122" s="27"/>
      <c r="F122" s="1148">
        <f>SUM(F119:F121)</f>
        <v>3660000</v>
      </c>
      <c r="G122" s="193"/>
      <c r="H122" s="192">
        <f>SUM(H119:H121)</f>
        <v>73200</v>
      </c>
    </row>
    <row r="125" spans="1:8" ht="26.25">
      <c r="A125" s="1640" t="s">
        <v>1491</v>
      </c>
      <c r="B125" s="1640"/>
      <c r="C125" s="1640"/>
      <c r="D125" s="1640"/>
      <c r="E125" s="1640"/>
      <c r="F125" s="1640"/>
      <c r="G125" s="1641"/>
      <c r="H125" s="1641"/>
    </row>
    <row r="126" spans="1:8" ht="32.25">
      <c r="A126" s="246" t="s">
        <v>1463</v>
      </c>
      <c r="B126" s="245" t="s">
        <v>1464</v>
      </c>
      <c r="C126" s="247" t="s">
        <v>1465</v>
      </c>
      <c r="D126" s="246" t="s">
        <v>5</v>
      </c>
      <c r="E126" s="248" t="s">
        <v>1466</v>
      </c>
      <c r="F126" s="249" t="s">
        <v>1467</v>
      </c>
      <c r="G126" s="250" t="s">
        <v>7</v>
      </c>
      <c r="H126" s="250" t="s">
        <v>1468</v>
      </c>
    </row>
    <row r="127" spans="1:8" ht="18.75">
      <c r="A127" s="133">
        <v>10616</v>
      </c>
      <c r="B127" s="158"/>
      <c r="C127" s="144">
        <v>12</v>
      </c>
      <c r="D127" s="145" t="s">
        <v>83</v>
      </c>
      <c r="E127" s="741"/>
      <c r="F127" s="195">
        <v>1050000</v>
      </c>
      <c r="G127" s="137"/>
      <c r="H127" s="137"/>
    </row>
    <row r="128" spans="1:8" ht="18.75">
      <c r="A128" s="133">
        <v>10610</v>
      </c>
      <c r="B128" s="158"/>
      <c r="C128" s="144">
        <v>12</v>
      </c>
      <c r="D128" s="145" t="s">
        <v>86</v>
      </c>
      <c r="E128" s="741"/>
      <c r="F128" s="195">
        <v>810000</v>
      </c>
      <c r="G128" s="137"/>
      <c r="H128" s="137"/>
    </row>
    <row r="129" spans="1:8" ht="18.75">
      <c r="A129" s="133">
        <v>10611</v>
      </c>
      <c r="B129" s="158"/>
      <c r="C129" s="144">
        <v>12</v>
      </c>
      <c r="D129" s="145" t="s">
        <v>85</v>
      </c>
      <c r="E129" s="741"/>
      <c r="F129" s="195">
        <v>1100000</v>
      </c>
      <c r="G129" s="137"/>
      <c r="H129" s="137"/>
    </row>
    <row r="130" spans="1:8" ht="18.75">
      <c r="A130" s="1179">
        <v>10614</v>
      </c>
      <c r="B130" s="1202"/>
      <c r="C130" s="144">
        <v>12</v>
      </c>
      <c r="D130" s="1226" t="s">
        <v>101</v>
      </c>
      <c r="E130" s="741"/>
      <c r="F130" s="1156">
        <v>1100000</v>
      </c>
      <c r="G130" s="137"/>
      <c r="H130" s="137"/>
    </row>
    <row r="131" spans="1:8" ht="18.75">
      <c r="A131" s="133">
        <v>10640</v>
      </c>
      <c r="B131" s="158"/>
      <c r="C131" s="144">
        <v>12</v>
      </c>
      <c r="D131" s="145" t="s">
        <v>87</v>
      </c>
      <c r="E131" s="741"/>
      <c r="F131" s="195">
        <v>980000</v>
      </c>
      <c r="G131" s="137"/>
      <c r="H131" s="137"/>
    </row>
    <row r="132" spans="1:8" ht="18.75">
      <c r="A132" s="133">
        <v>10629</v>
      </c>
      <c r="B132" s="158"/>
      <c r="C132" s="144">
        <v>12</v>
      </c>
      <c r="D132" s="145" t="s">
        <v>88</v>
      </c>
      <c r="E132" s="741"/>
      <c r="F132" s="195">
        <v>1250000</v>
      </c>
      <c r="G132" s="137"/>
      <c r="H132" s="137"/>
    </row>
    <row r="133" spans="1:8" ht="18.75">
      <c r="A133" s="1179">
        <v>10641</v>
      </c>
      <c r="B133" s="1202"/>
      <c r="C133" s="144">
        <v>12</v>
      </c>
      <c r="D133" s="1226" t="s">
        <v>105</v>
      </c>
      <c r="E133" s="741"/>
      <c r="F133" s="1157">
        <v>750000</v>
      </c>
      <c r="G133" s="137"/>
      <c r="H133" s="137"/>
    </row>
    <row r="134" spans="1:8" ht="18.75">
      <c r="A134" s="1179">
        <v>10645</v>
      </c>
      <c r="B134" s="1202"/>
      <c r="C134" s="144">
        <v>12</v>
      </c>
      <c r="D134" s="1226" t="s">
        <v>103</v>
      </c>
      <c r="E134" s="741"/>
      <c r="F134" s="1157">
        <v>1150000</v>
      </c>
      <c r="G134" s="137"/>
      <c r="H134" s="137"/>
    </row>
    <row r="135" spans="1:8" ht="18.75">
      <c r="A135" s="1179">
        <v>10650</v>
      </c>
      <c r="B135" s="1179"/>
      <c r="C135" s="135">
        <v>6</v>
      </c>
      <c r="D135" s="1226" t="s">
        <v>1475</v>
      </c>
      <c r="E135" s="741"/>
      <c r="F135" s="1157">
        <v>1150000</v>
      </c>
      <c r="G135" s="137"/>
      <c r="H135" s="137"/>
    </row>
    <row r="136" spans="1:8" ht="18.75">
      <c r="A136" s="133">
        <v>10666</v>
      </c>
      <c r="B136" s="133"/>
      <c r="C136" s="135">
        <v>12</v>
      </c>
      <c r="D136" s="145" t="s">
        <v>102</v>
      </c>
      <c r="E136" s="137"/>
      <c r="F136" s="195">
        <v>1100000</v>
      </c>
      <c r="G136" s="137"/>
      <c r="H136" s="137"/>
    </row>
    <row r="137" spans="1:8" ht="18.75">
      <c r="A137" s="133">
        <v>10671</v>
      </c>
      <c r="B137" s="133"/>
      <c r="C137" s="135">
        <v>12</v>
      </c>
      <c r="D137" s="145" t="s">
        <v>90</v>
      </c>
      <c r="E137" s="137"/>
      <c r="F137" s="195">
        <v>1300000</v>
      </c>
      <c r="G137" s="137"/>
      <c r="H137" s="137"/>
    </row>
    <row r="138" spans="1:8" ht="18.75">
      <c r="A138" s="133">
        <v>10678</v>
      </c>
      <c r="B138" s="133"/>
      <c r="C138" s="135">
        <v>12</v>
      </c>
      <c r="D138" s="145" t="s">
        <v>115</v>
      </c>
      <c r="E138" s="137"/>
      <c r="F138" s="195">
        <v>1150000</v>
      </c>
      <c r="G138" s="137"/>
      <c r="H138" s="137"/>
    </row>
    <row r="139" spans="1:8" ht="18.75">
      <c r="A139" s="1186">
        <v>10689</v>
      </c>
      <c r="B139" s="1186"/>
      <c r="C139" s="179">
        <v>12</v>
      </c>
      <c r="D139" s="1229" t="s">
        <v>104</v>
      </c>
      <c r="E139" s="180"/>
      <c r="F139" s="1157">
        <v>1250000</v>
      </c>
      <c r="G139" s="180"/>
      <c r="H139" s="180"/>
    </row>
    <row r="140" spans="1:8" ht="18.75">
      <c r="A140" s="135">
        <v>10676</v>
      </c>
      <c r="B140" s="135"/>
      <c r="C140" s="135">
        <v>12</v>
      </c>
      <c r="D140" s="136" t="s">
        <v>97</v>
      </c>
      <c r="E140" s="741"/>
      <c r="F140" s="143">
        <v>1430000</v>
      </c>
      <c r="G140" s="137"/>
      <c r="H140" s="137"/>
    </row>
    <row r="141" spans="1:8" ht="18.75">
      <c r="A141" s="1183"/>
      <c r="B141" s="1201"/>
      <c r="C141" s="1201"/>
      <c r="D141" s="1183"/>
      <c r="E141" s="27"/>
      <c r="F141" s="1153">
        <f>SUM(F127:F140)</f>
        <v>15570000</v>
      </c>
      <c r="G141" s="14"/>
      <c r="H141" s="14"/>
    </row>
    <row r="144" spans="1:8" ht="26.25">
      <c r="A144" s="1640" t="s">
        <v>1492</v>
      </c>
      <c r="B144" s="1640"/>
      <c r="C144" s="1640"/>
      <c r="D144" s="1640"/>
      <c r="E144" s="1640"/>
      <c r="F144" s="1640"/>
      <c r="G144" s="1640"/>
      <c r="H144" s="1640"/>
    </row>
    <row r="145" spans="1:8" ht="32.25">
      <c r="A145" s="45" t="s">
        <v>1463</v>
      </c>
      <c r="B145" s="245" t="s">
        <v>1464</v>
      </c>
      <c r="C145" s="46" t="s">
        <v>1465</v>
      </c>
      <c r="D145" s="45" t="s">
        <v>5</v>
      </c>
      <c r="E145" s="47" t="s">
        <v>1466</v>
      </c>
      <c r="F145" s="47" t="s">
        <v>1467</v>
      </c>
      <c r="G145" s="62" t="s">
        <v>7</v>
      </c>
      <c r="H145" s="51" t="s">
        <v>1468</v>
      </c>
    </row>
    <row r="146" spans="1:8" ht="18.75">
      <c r="A146" s="677">
        <v>10704</v>
      </c>
      <c r="B146" s="478">
        <v>0.1</v>
      </c>
      <c r="C146" s="135">
        <v>12</v>
      </c>
      <c r="D146" s="259" t="s">
        <v>94</v>
      </c>
      <c r="E146" s="137"/>
      <c r="F146" s="1146">
        <v>850000</v>
      </c>
      <c r="G146" s="189">
        <v>0.02</v>
      </c>
      <c r="H146" s="199">
        <f>F146*G146</f>
        <v>17000</v>
      </c>
    </row>
    <row r="147" spans="1:8" ht="18.75">
      <c r="A147" s="1179">
        <v>10736</v>
      </c>
      <c r="B147" s="188">
        <v>0.1</v>
      </c>
      <c r="C147" s="135">
        <v>12</v>
      </c>
      <c r="D147" s="1226" t="s">
        <v>1476</v>
      </c>
      <c r="E147" s="137"/>
      <c r="F147" s="1145">
        <v>1350000</v>
      </c>
      <c r="G147" s="189">
        <v>0.02</v>
      </c>
      <c r="H147" s="199">
        <f t="shared" ref="H147:H153" si="6">F147*G147</f>
        <v>27000</v>
      </c>
    </row>
    <row r="148" spans="1:8" ht="18.75">
      <c r="A148" s="1179">
        <v>10730</v>
      </c>
      <c r="B148" s="188">
        <v>0.1</v>
      </c>
      <c r="C148" s="135">
        <v>12</v>
      </c>
      <c r="D148" s="1226" t="s">
        <v>1477</v>
      </c>
      <c r="E148" s="137"/>
      <c r="F148" s="1145">
        <v>850000</v>
      </c>
      <c r="G148" s="189">
        <v>0.02</v>
      </c>
      <c r="H148" s="199">
        <f t="shared" si="6"/>
        <v>17000</v>
      </c>
    </row>
    <row r="149" spans="1:8" ht="18.75">
      <c r="A149" s="1179">
        <v>10747</v>
      </c>
      <c r="B149" s="188">
        <v>0.1</v>
      </c>
      <c r="C149" s="135">
        <v>12</v>
      </c>
      <c r="D149" s="1226" t="s">
        <v>106</v>
      </c>
      <c r="E149" s="137"/>
      <c r="F149" s="1145">
        <v>1100000</v>
      </c>
      <c r="G149" s="189">
        <v>0.02</v>
      </c>
      <c r="H149" s="199">
        <f t="shared" si="6"/>
        <v>22000</v>
      </c>
    </row>
    <row r="150" spans="1:8" ht="18.75">
      <c r="A150" s="1179">
        <v>10742</v>
      </c>
      <c r="B150" s="188">
        <v>0.1</v>
      </c>
      <c r="C150" s="135">
        <v>12</v>
      </c>
      <c r="D150" s="1226" t="s">
        <v>1478</v>
      </c>
      <c r="E150" s="137"/>
      <c r="F150" s="1145">
        <v>800000</v>
      </c>
      <c r="G150" s="189">
        <v>0.02</v>
      </c>
      <c r="H150" s="199">
        <f t="shared" si="6"/>
        <v>16000</v>
      </c>
    </row>
    <row r="151" spans="1:8" ht="18.75">
      <c r="A151" s="1179">
        <v>10756</v>
      </c>
      <c r="B151" s="188">
        <v>0.1</v>
      </c>
      <c r="C151" s="135">
        <v>12</v>
      </c>
      <c r="D151" s="1226" t="s">
        <v>1479</v>
      </c>
      <c r="E151" s="137"/>
      <c r="F151" s="1145">
        <v>1200000</v>
      </c>
      <c r="G151" s="189">
        <v>0.02</v>
      </c>
      <c r="H151" s="199">
        <f t="shared" si="6"/>
        <v>24000</v>
      </c>
    </row>
    <row r="152" spans="1:8" ht="18.75">
      <c r="A152" s="1179">
        <v>10778</v>
      </c>
      <c r="B152" s="188">
        <v>0.1</v>
      </c>
      <c r="C152" s="135">
        <v>12</v>
      </c>
      <c r="D152" s="1226" t="s">
        <v>84</v>
      </c>
      <c r="E152" s="137"/>
      <c r="F152" s="1145">
        <v>850000</v>
      </c>
      <c r="G152" s="189">
        <v>0.02</v>
      </c>
      <c r="H152" s="199">
        <f t="shared" si="6"/>
        <v>17000</v>
      </c>
    </row>
    <row r="153" spans="1:8" ht="18.75">
      <c r="A153" s="1179">
        <v>10791</v>
      </c>
      <c r="B153" s="188">
        <v>0.1</v>
      </c>
      <c r="C153" s="135">
        <v>12</v>
      </c>
      <c r="D153" s="1226" t="s">
        <v>1480</v>
      </c>
      <c r="E153" s="137"/>
      <c r="F153" s="1145">
        <v>1700000</v>
      </c>
      <c r="G153" s="189">
        <v>0.02</v>
      </c>
      <c r="H153" s="199">
        <f t="shared" si="6"/>
        <v>34000</v>
      </c>
    </row>
    <row r="154" spans="1:8" ht="18.75">
      <c r="A154" s="259"/>
      <c r="B154" s="677"/>
      <c r="C154" s="677"/>
      <c r="D154" s="259"/>
      <c r="E154" s="180"/>
      <c r="F154" s="1149">
        <f>SUM(F146:F153)</f>
        <v>8700000</v>
      </c>
      <c r="G154" s="200"/>
      <c r="H154" s="201">
        <f>SUM(H146:H153)</f>
        <v>174000</v>
      </c>
    </row>
    <row r="155" spans="1:8" ht="18" customHeight="1">
      <c r="B155" s="1200"/>
      <c r="C155" s="1200"/>
      <c r="E155" s="1662" t="s">
        <v>1493</v>
      </c>
      <c r="F155" s="1663"/>
      <c r="G155" s="1664"/>
      <c r="H155" s="197">
        <f>H146+H147+H148+H149+H150+H151+H152+H153+H154</f>
        <v>348000</v>
      </c>
    </row>
    <row r="156" spans="1:8" ht="18.75">
      <c r="F156" s="1158"/>
    </row>
    <row r="158" spans="1:8" ht="26.25">
      <c r="A158" s="1640" t="s">
        <v>1494</v>
      </c>
      <c r="B158" s="1640"/>
      <c r="C158" s="1640"/>
      <c r="D158" s="1640"/>
      <c r="E158" s="1640"/>
      <c r="F158" s="1640"/>
      <c r="G158" s="1640"/>
      <c r="H158" s="1640"/>
    </row>
    <row r="159" spans="1:8" ht="32.25">
      <c r="A159" s="45" t="s">
        <v>1463</v>
      </c>
      <c r="B159" s="245" t="s">
        <v>1464</v>
      </c>
      <c r="C159" s="46" t="s">
        <v>1465</v>
      </c>
      <c r="D159" s="45" t="s">
        <v>5</v>
      </c>
      <c r="E159" s="47" t="s">
        <v>1466</v>
      </c>
      <c r="F159" s="47" t="s">
        <v>1467</v>
      </c>
      <c r="G159" s="62" t="s">
        <v>7</v>
      </c>
      <c r="H159" s="64" t="s">
        <v>1468</v>
      </c>
    </row>
    <row r="160" spans="1:8" ht="18.75">
      <c r="A160" s="133">
        <v>10616</v>
      </c>
      <c r="B160" s="142">
        <v>0.1</v>
      </c>
      <c r="C160" s="144">
        <v>12</v>
      </c>
      <c r="D160" s="145" t="s">
        <v>83</v>
      </c>
      <c r="E160" s="741"/>
      <c r="F160" s="195">
        <v>1050000</v>
      </c>
      <c r="G160" s="198">
        <v>2.5000000000000001E-2</v>
      </c>
      <c r="H160" s="139">
        <f>F160*G160</f>
        <v>26250</v>
      </c>
    </row>
    <row r="161" spans="1:8" ht="18.75">
      <c r="A161" s="133">
        <v>10610</v>
      </c>
      <c r="B161" s="142">
        <v>0.1</v>
      </c>
      <c r="C161" s="144">
        <v>12</v>
      </c>
      <c r="D161" s="145" t="s">
        <v>86</v>
      </c>
      <c r="E161" s="741"/>
      <c r="F161" s="195">
        <v>810000</v>
      </c>
      <c r="G161" s="198">
        <v>2.5000000000000001E-2</v>
      </c>
      <c r="H161" s="139">
        <f t="shared" ref="H161:H181" si="7">F161*G161</f>
        <v>20250</v>
      </c>
    </row>
    <row r="162" spans="1:8" ht="18.75">
      <c r="A162" s="133">
        <v>10611</v>
      </c>
      <c r="B162" s="142">
        <v>0.1</v>
      </c>
      <c r="C162" s="144">
        <v>12</v>
      </c>
      <c r="D162" s="145" t="s">
        <v>85</v>
      </c>
      <c r="E162" s="741"/>
      <c r="F162" s="195">
        <v>1100000</v>
      </c>
      <c r="G162" s="198">
        <v>2.5000000000000001E-2</v>
      </c>
      <c r="H162" s="139">
        <f t="shared" si="7"/>
        <v>27500</v>
      </c>
    </row>
    <row r="163" spans="1:8" ht="18.75">
      <c r="A163" s="1179">
        <v>10614</v>
      </c>
      <c r="B163" s="142">
        <v>0.1</v>
      </c>
      <c r="C163" s="144">
        <v>12</v>
      </c>
      <c r="D163" s="1226" t="s">
        <v>101</v>
      </c>
      <c r="E163" s="741"/>
      <c r="F163" s="1156">
        <v>1100000</v>
      </c>
      <c r="G163" s="198">
        <v>2.5000000000000001E-2</v>
      </c>
      <c r="H163" s="139">
        <f t="shared" si="7"/>
        <v>27500</v>
      </c>
    </row>
    <row r="164" spans="1:8" ht="18.75">
      <c r="A164" s="133">
        <v>10640</v>
      </c>
      <c r="B164" s="142">
        <v>0.1</v>
      </c>
      <c r="C164" s="144">
        <v>12</v>
      </c>
      <c r="D164" s="145" t="s">
        <v>87</v>
      </c>
      <c r="E164" s="741"/>
      <c r="F164" s="195">
        <v>980000</v>
      </c>
      <c r="G164" s="198">
        <v>2.5000000000000001E-2</v>
      </c>
      <c r="H164" s="139">
        <f t="shared" si="7"/>
        <v>24500</v>
      </c>
    </row>
    <row r="165" spans="1:8" ht="18.75">
      <c r="A165" s="133">
        <v>10629</v>
      </c>
      <c r="B165" s="142">
        <v>0.1</v>
      </c>
      <c r="C165" s="144">
        <v>12</v>
      </c>
      <c r="D165" s="145" t="s">
        <v>88</v>
      </c>
      <c r="E165" s="741"/>
      <c r="F165" s="195">
        <v>1250000</v>
      </c>
      <c r="G165" s="198">
        <v>2.5000000000000001E-2</v>
      </c>
      <c r="H165" s="139">
        <f t="shared" si="7"/>
        <v>31250</v>
      </c>
    </row>
    <row r="166" spans="1:8" ht="18.75">
      <c r="A166" s="1179">
        <v>10641</v>
      </c>
      <c r="B166" s="142">
        <v>0.1</v>
      </c>
      <c r="C166" s="144">
        <v>12</v>
      </c>
      <c r="D166" s="1226" t="s">
        <v>105</v>
      </c>
      <c r="E166" s="741"/>
      <c r="F166" s="1157">
        <v>750000</v>
      </c>
      <c r="G166" s="198">
        <v>2.5000000000000001E-2</v>
      </c>
      <c r="H166" s="139">
        <f t="shared" si="7"/>
        <v>18750</v>
      </c>
    </row>
    <row r="167" spans="1:8" ht="18.75">
      <c r="A167" s="1179">
        <v>10645</v>
      </c>
      <c r="B167" s="142">
        <v>0.1</v>
      </c>
      <c r="C167" s="144">
        <v>12</v>
      </c>
      <c r="D167" s="1226" t="s">
        <v>103</v>
      </c>
      <c r="E167" s="741"/>
      <c r="F167" s="1157">
        <v>1150000</v>
      </c>
      <c r="G167" s="198">
        <v>2.5000000000000001E-2</v>
      </c>
      <c r="H167" s="139">
        <f t="shared" si="7"/>
        <v>28750</v>
      </c>
    </row>
    <row r="168" spans="1:8" ht="18.75">
      <c r="A168" s="1179">
        <v>10650</v>
      </c>
      <c r="B168" s="142">
        <v>0.1</v>
      </c>
      <c r="C168" s="135">
        <v>6</v>
      </c>
      <c r="D168" s="1226" t="s">
        <v>1475</v>
      </c>
      <c r="E168" s="741"/>
      <c r="F168" s="1157">
        <v>1150000</v>
      </c>
      <c r="G168" s="198">
        <v>2.5000000000000001E-2</v>
      </c>
      <c r="H168" s="139">
        <f t="shared" si="7"/>
        <v>28750</v>
      </c>
    </row>
    <row r="169" spans="1:8" ht="18.75">
      <c r="A169" s="133">
        <v>10666</v>
      </c>
      <c r="B169" s="142">
        <v>0.1</v>
      </c>
      <c r="C169" s="135">
        <v>12</v>
      </c>
      <c r="D169" s="145" t="s">
        <v>102</v>
      </c>
      <c r="E169" s="137"/>
      <c r="F169" s="195">
        <v>1100000</v>
      </c>
      <c r="G169" s="198">
        <v>2.5000000000000001E-2</v>
      </c>
      <c r="H169" s="139">
        <f t="shared" si="7"/>
        <v>27500</v>
      </c>
    </row>
    <row r="170" spans="1:8" ht="18.75">
      <c r="A170" s="133">
        <v>10671</v>
      </c>
      <c r="B170" s="142">
        <v>0.1</v>
      </c>
      <c r="C170" s="135">
        <v>12</v>
      </c>
      <c r="D170" s="145" t="s">
        <v>90</v>
      </c>
      <c r="E170" s="137"/>
      <c r="F170" s="195">
        <v>1300000</v>
      </c>
      <c r="G170" s="198">
        <v>2.5000000000000001E-2</v>
      </c>
      <c r="H170" s="139">
        <f t="shared" si="7"/>
        <v>32500</v>
      </c>
    </row>
    <row r="171" spans="1:8" ht="18.75">
      <c r="A171" s="133">
        <v>10678</v>
      </c>
      <c r="B171" s="142">
        <v>0.1</v>
      </c>
      <c r="C171" s="135">
        <v>12</v>
      </c>
      <c r="D171" s="145" t="s">
        <v>115</v>
      </c>
      <c r="E171" s="137"/>
      <c r="F171" s="195">
        <v>1150000</v>
      </c>
      <c r="G171" s="198">
        <v>2.5000000000000001E-2</v>
      </c>
      <c r="H171" s="139">
        <f t="shared" si="7"/>
        <v>28750</v>
      </c>
    </row>
    <row r="172" spans="1:8" ht="18.75">
      <c r="A172" s="1179">
        <v>10689</v>
      </c>
      <c r="B172" s="142">
        <v>0.1</v>
      </c>
      <c r="C172" s="135">
        <v>12</v>
      </c>
      <c r="D172" s="1226" t="s">
        <v>104</v>
      </c>
      <c r="E172" s="137"/>
      <c r="F172" s="1157">
        <v>1250000</v>
      </c>
      <c r="G172" s="198">
        <v>2.5000000000000001E-2</v>
      </c>
      <c r="H172" s="139">
        <f t="shared" si="7"/>
        <v>31250</v>
      </c>
    </row>
    <row r="173" spans="1:8" ht="18.75">
      <c r="A173" s="133">
        <v>10676</v>
      </c>
      <c r="B173" s="142">
        <v>0.1</v>
      </c>
      <c r="C173" s="144">
        <v>12</v>
      </c>
      <c r="D173" s="145" t="s">
        <v>97</v>
      </c>
      <c r="E173" s="741"/>
      <c r="F173" s="195">
        <v>1430000</v>
      </c>
      <c r="G173" s="198">
        <v>2.5000000000000001E-2</v>
      </c>
      <c r="H173" s="139">
        <f t="shared" si="7"/>
        <v>35750</v>
      </c>
    </row>
    <row r="174" spans="1:8" ht="18.75">
      <c r="A174" s="677">
        <v>10704</v>
      </c>
      <c r="B174" s="142">
        <v>0.1</v>
      </c>
      <c r="C174" s="135">
        <v>12</v>
      </c>
      <c r="D174" s="259" t="s">
        <v>94</v>
      </c>
      <c r="E174" s="137"/>
      <c r="F174" s="1156">
        <v>850000</v>
      </c>
      <c r="G174" s="198">
        <v>2.5000000000000001E-2</v>
      </c>
      <c r="H174" s="139">
        <f t="shared" si="7"/>
        <v>21250</v>
      </c>
    </row>
    <row r="175" spans="1:8" ht="18.75">
      <c r="A175" s="1179">
        <v>10736</v>
      </c>
      <c r="B175" s="142">
        <v>0.1</v>
      </c>
      <c r="C175" s="135">
        <v>12</v>
      </c>
      <c r="D175" s="1226" t="s">
        <v>1476</v>
      </c>
      <c r="E175" s="137"/>
      <c r="F175" s="1157">
        <v>1350000</v>
      </c>
      <c r="G175" s="198">
        <v>2.5000000000000001E-2</v>
      </c>
      <c r="H175" s="139">
        <f t="shared" si="7"/>
        <v>33750</v>
      </c>
    </row>
    <row r="176" spans="1:8" ht="18.75">
      <c r="A176" s="1179">
        <v>10730</v>
      </c>
      <c r="B176" s="142">
        <v>0.1</v>
      </c>
      <c r="C176" s="135">
        <v>12</v>
      </c>
      <c r="D176" s="1226" t="s">
        <v>1477</v>
      </c>
      <c r="E176" s="137"/>
      <c r="F176" s="1157">
        <v>850000</v>
      </c>
      <c r="G176" s="198">
        <v>2.5000000000000001E-2</v>
      </c>
      <c r="H176" s="139">
        <f t="shared" si="7"/>
        <v>21250</v>
      </c>
    </row>
    <row r="177" spans="1:8" ht="18.75">
      <c r="A177" s="1179">
        <v>10747</v>
      </c>
      <c r="B177" s="142">
        <v>0.1</v>
      </c>
      <c r="C177" s="135">
        <v>12</v>
      </c>
      <c r="D177" s="1226" t="s">
        <v>106</v>
      </c>
      <c r="E177" s="137"/>
      <c r="F177" s="1157">
        <v>1100000</v>
      </c>
      <c r="G177" s="198">
        <v>2.5000000000000001E-2</v>
      </c>
      <c r="H177" s="139">
        <f t="shared" si="7"/>
        <v>27500</v>
      </c>
    </row>
    <row r="178" spans="1:8" ht="18.75">
      <c r="A178" s="1179">
        <v>10742</v>
      </c>
      <c r="B178" s="142">
        <v>0.1</v>
      </c>
      <c r="C178" s="135">
        <v>12</v>
      </c>
      <c r="D178" s="1226" t="s">
        <v>1478</v>
      </c>
      <c r="E178" s="137"/>
      <c r="F178" s="1157">
        <v>800000</v>
      </c>
      <c r="G178" s="198">
        <v>2.5000000000000001E-2</v>
      </c>
      <c r="H178" s="139">
        <f t="shared" si="7"/>
        <v>20000</v>
      </c>
    </row>
    <row r="179" spans="1:8" ht="18.75">
      <c r="A179" s="1179">
        <v>10756</v>
      </c>
      <c r="B179" s="142">
        <v>0.1</v>
      </c>
      <c r="C179" s="135">
        <v>12</v>
      </c>
      <c r="D179" s="1226" t="s">
        <v>1479</v>
      </c>
      <c r="E179" s="137"/>
      <c r="F179" s="1157">
        <v>1200000</v>
      </c>
      <c r="G179" s="198">
        <v>2.5000000000000001E-2</v>
      </c>
      <c r="H179" s="139">
        <f t="shared" si="7"/>
        <v>30000</v>
      </c>
    </row>
    <row r="180" spans="1:8" ht="18.75">
      <c r="A180" s="1179">
        <v>10778</v>
      </c>
      <c r="B180" s="142">
        <v>0.1</v>
      </c>
      <c r="C180" s="135">
        <v>12</v>
      </c>
      <c r="D180" s="1226" t="s">
        <v>84</v>
      </c>
      <c r="E180" s="137"/>
      <c r="F180" s="1157">
        <v>850000</v>
      </c>
      <c r="G180" s="198">
        <v>2.5000000000000001E-2</v>
      </c>
      <c r="H180" s="139">
        <f t="shared" si="7"/>
        <v>21250</v>
      </c>
    </row>
    <row r="181" spans="1:8" ht="18.75">
      <c r="A181" s="1186">
        <v>10791</v>
      </c>
      <c r="B181" s="142">
        <v>0.1</v>
      </c>
      <c r="C181" s="179">
        <v>12</v>
      </c>
      <c r="D181" s="1229" t="s">
        <v>1480</v>
      </c>
      <c r="E181" s="180"/>
      <c r="F181" s="1157">
        <v>1700000</v>
      </c>
      <c r="G181" s="204">
        <v>2.5000000000000001E-2</v>
      </c>
      <c r="H181" s="178">
        <f t="shared" si="7"/>
        <v>42500</v>
      </c>
    </row>
    <row r="182" spans="1:8" ht="18.75">
      <c r="A182" s="1187"/>
      <c r="B182" s="1187"/>
      <c r="C182" s="205"/>
      <c r="D182" s="292"/>
      <c r="E182" s="156" t="s">
        <v>34</v>
      </c>
      <c r="F182" s="676">
        <f>SUM(F160:F181)</f>
        <v>24270000</v>
      </c>
      <c r="G182" s="202"/>
      <c r="H182" s="203">
        <f>SUM(H160:H181)</f>
        <v>606750</v>
      </c>
    </row>
    <row r="186" spans="1:8" ht="26.25">
      <c r="A186" s="1643" t="s">
        <v>1495</v>
      </c>
      <c r="B186" s="1643"/>
      <c r="C186" s="1643"/>
      <c r="D186" s="1643"/>
      <c r="E186" s="1643"/>
      <c r="F186" s="1643"/>
      <c r="G186" s="1643"/>
      <c r="H186" s="1643"/>
    </row>
    <row r="187" spans="1:8" ht="26.25">
      <c r="A187" s="1144"/>
      <c r="B187" s="1144"/>
      <c r="C187" s="1144"/>
      <c r="D187" s="1144"/>
      <c r="E187" s="174"/>
      <c r="F187" s="1144"/>
      <c r="G187" s="174"/>
      <c r="H187" s="174"/>
    </row>
    <row r="188" spans="1:8" ht="26.25">
      <c r="A188" s="1640" t="s">
        <v>1496</v>
      </c>
      <c r="B188" s="1640"/>
      <c r="C188" s="1640"/>
      <c r="D188" s="1640"/>
      <c r="E188" s="1640"/>
      <c r="F188" s="1640"/>
      <c r="G188" s="1640"/>
      <c r="H188" s="1640"/>
    </row>
    <row r="189" spans="1:8" ht="30.75">
      <c r="A189" s="87" t="s">
        <v>1463</v>
      </c>
      <c r="B189" s="88" t="s">
        <v>1497</v>
      </c>
      <c r="C189" s="46" t="s">
        <v>1465</v>
      </c>
      <c r="D189" s="45" t="s">
        <v>5</v>
      </c>
      <c r="E189" s="47" t="s">
        <v>1466</v>
      </c>
      <c r="F189" s="47" t="s">
        <v>1467</v>
      </c>
      <c r="G189" s="48" t="s">
        <v>7</v>
      </c>
      <c r="H189" s="48" t="s">
        <v>1468</v>
      </c>
    </row>
    <row r="190" spans="1:8" ht="18.75">
      <c r="A190" s="346">
        <v>10835</v>
      </c>
      <c r="B190" s="134">
        <v>0.1</v>
      </c>
      <c r="C190" s="135">
        <v>12</v>
      </c>
      <c r="D190" s="145" t="s">
        <v>122</v>
      </c>
      <c r="E190" s="741"/>
      <c r="F190" s="143">
        <v>1050000</v>
      </c>
      <c r="G190" s="138">
        <v>0.05</v>
      </c>
      <c r="H190" s="139">
        <f>F190*G190</f>
        <v>52500</v>
      </c>
    </row>
    <row r="191" spans="1:8" ht="18.75">
      <c r="A191" s="346">
        <v>10806</v>
      </c>
      <c r="B191" s="134">
        <v>0.1</v>
      </c>
      <c r="C191" s="135">
        <v>12</v>
      </c>
      <c r="D191" s="145" t="s">
        <v>165</v>
      </c>
      <c r="E191" s="137"/>
      <c r="F191" s="146">
        <v>1100000</v>
      </c>
      <c r="G191" s="138">
        <v>0.05</v>
      </c>
      <c r="H191" s="139">
        <f t="shared" ref="H191:H202" si="8">F191*G191</f>
        <v>55000</v>
      </c>
    </row>
    <row r="192" spans="1:8" ht="18.75">
      <c r="A192" s="346">
        <v>10836</v>
      </c>
      <c r="B192" s="134">
        <v>0.1</v>
      </c>
      <c r="C192" s="135">
        <v>12</v>
      </c>
      <c r="D192" s="216" t="s">
        <v>167</v>
      </c>
      <c r="E192" s="137"/>
      <c r="F192" s="146">
        <v>770000</v>
      </c>
      <c r="G192" s="138">
        <v>0.05</v>
      </c>
      <c r="H192" s="139">
        <f t="shared" si="8"/>
        <v>38500</v>
      </c>
    </row>
    <row r="193" spans="1:8" ht="18.75">
      <c r="A193" s="346">
        <v>10844</v>
      </c>
      <c r="B193" s="134">
        <v>0.1</v>
      </c>
      <c r="C193" s="135">
        <v>12</v>
      </c>
      <c r="D193" s="216" t="s">
        <v>125</v>
      </c>
      <c r="E193" s="137"/>
      <c r="F193" s="146">
        <v>1200000</v>
      </c>
      <c r="G193" s="138">
        <v>0.05</v>
      </c>
      <c r="H193" s="139">
        <f t="shared" si="8"/>
        <v>60000</v>
      </c>
    </row>
    <row r="194" spans="1:8" ht="18.75">
      <c r="A194" s="346">
        <v>10865</v>
      </c>
      <c r="B194" s="134">
        <v>0.1</v>
      </c>
      <c r="C194" s="135">
        <v>12</v>
      </c>
      <c r="D194" s="217" t="s">
        <v>152</v>
      </c>
      <c r="E194" s="137"/>
      <c r="F194" s="1146">
        <v>1000000</v>
      </c>
      <c r="G194" s="138">
        <v>0.05</v>
      </c>
      <c r="H194" s="139">
        <f t="shared" si="8"/>
        <v>50000</v>
      </c>
    </row>
    <row r="195" spans="1:8" ht="18.75">
      <c r="A195" s="346">
        <v>10855</v>
      </c>
      <c r="B195" s="134">
        <v>0.1</v>
      </c>
      <c r="C195" s="135">
        <v>12</v>
      </c>
      <c r="D195" s="1226" t="s">
        <v>153</v>
      </c>
      <c r="E195" s="741"/>
      <c r="F195" s="1145">
        <v>1250000</v>
      </c>
      <c r="G195" s="138">
        <v>0.05</v>
      </c>
      <c r="H195" s="139">
        <f t="shared" si="8"/>
        <v>62500</v>
      </c>
    </row>
    <row r="196" spans="1:8" ht="18.75">
      <c r="A196" s="346">
        <v>10856</v>
      </c>
      <c r="B196" s="134">
        <v>0.1</v>
      </c>
      <c r="C196" s="135">
        <v>12</v>
      </c>
      <c r="D196" s="259" t="s">
        <v>139</v>
      </c>
      <c r="E196" s="741"/>
      <c r="F196" s="1145">
        <v>1400000</v>
      </c>
      <c r="G196" s="138">
        <v>0.05</v>
      </c>
      <c r="H196" s="139">
        <f t="shared" si="8"/>
        <v>70000</v>
      </c>
    </row>
    <row r="197" spans="1:8" ht="18.75">
      <c r="A197" s="346">
        <v>10898</v>
      </c>
      <c r="B197" s="134">
        <v>0.1</v>
      </c>
      <c r="C197" s="135">
        <v>12</v>
      </c>
      <c r="D197" s="1226" t="s">
        <v>1498</v>
      </c>
      <c r="E197" s="741"/>
      <c r="F197" s="1145">
        <v>1300000</v>
      </c>
      <c r="G197" s="138">
        <v>0.05</v>
      </c>
      <c r="H197" s="139">
        <f t="shared" si="8"/>
        <v>65000</v>
      </c>
    </row>
    <row r="198" spans="1:8" ht="18.75">
      <c r="A198" s="135">
        <v>10909</v>
      </c>
      <c r="B198" s="134">
        <v>0.1</v>
      </c>
      <c r="C198" s="135">
        <v>12</v>
      </c>
      <c r="D198" s="259" t="s">
        <v>143</v>
      </c>
      <c r="E198" s="741"/>
      <c r="F198" s="1145">
        <v>1400000</v>
      </c>
      <c r="G198" s="138">
        <v>0.05</v>
      </c>
      <c r="H198" s="139">
        <f t="shared" si="8"/>
        <v>70000</v>
      </c>
    </row>
    <row r="199" spans="1:8" ht="18.75">
      <c r="A199" s="135">
        <v>10943</v>
      </c>
      <c r="B199" s="134">
        <v>0.1</v>
      </c>
      <c r="C199" s="135">
        <v>12</v>
      </c>
      <c r="D199" s="216" t="s">
        <v>169</v>
      </c>
      <c r="E199" s="741"/>
      <c r="F199" s="1145">
        <v>700000</v>
      </c>
      <c r="G199" s="138">
        <v>0.05</v>
      </c>
      <c r="H199" s="139">
        <f t="shared" si="8"/>
        <v>35000</v>
      </c>
    </row>
    <row r="200" spans="1:8" ht="18.75">
      <c r="A200" s="135">
        <v>10955</v>
      </c>
      <c r="B200" s="208">
        <v>0.1</v>
      </c>
      <c r="C200" s="135">
        <v>12</v>
      </c>
      <c r="D200" s="1229" t="s">
        <v>144</v>
      </c>
      <c r="E200" s="741"/>
      <c r="F200" s="1145">
        <v>1300000</v>
      </c>
      <c r="G200" s="138">
        <v>0.05</v>
      </c>
      <c r="H200" s="139">
        <f t="shared" si="8"/>
        <v>65000</v>
      </c>
    </row>
    <row r="201" spans="1:8" ht="18.75">
      <c r="A201" s="346">
        <v>10956</v>
      </c>
      <c r="B201" s="134">
        <v>0.1</v>
      </c>
      <c r="C201" s="133">
        <v>12</v>
      </c>
      <c r="D201" s="1229" t="s">
        <v>145</v>
      </c>
      <c r="E201" s="741"/>
      <c r="F201" s="1145">
        <v>1350000</v>
      </c>
      <c r="G201" s="138">
        <v>0.05</v>
      </c>
      <c r="H201" s="139">
        <f t="shared" si="8"/>
        <v>67500</v>
      </c>
    </row>
    <row r="202" spans="1:8" ht="18.75">
      <c r="A202" s="346">
        <v>10982</v>
      </c>
      <c r="B202" s="134">
        <v>0.08</v>
      </c>
      <c r="C202" s="133">
        <v>12</v>
      </c>
      <c r="D202" s="1226" t="s">
        <v>129</v>
      </c>
      <c r="E202" s="741"/>
      <c r="F202" s="1145">
        <v>1500000</v>
      </c>
      <c r="G202" s="140">
        <v>0.04</v>
      </c>
      <c r="H202" s="139">
        <f t="shared" si="8"/>
        <v>60000</v>
      </c>
    </row>
    <row r="203" spans="1:8" ht="18.75">
      <c r="A203" s="209" t="s">
        <v>130</v>
      </c>
      <c r="B203" s="210"/>
      <c r="C203" s="211"/>
      <c r="D203" s="218" t="s">
        <v>133</v>
      </c>
      <c r="E203" s="219"/>
      <c r="F203" s="1159"/>
      <c r="G203" s="220"/>
      <c r="H203" s="221"/>
    </row>
    <row r="204" spans="1:8" ht="18.75">
      <c r="A204" s="211" t="s">
        <v>538</v>
      </c>
      <c r="B204" s="212"/>
      <c r="C204" s="211"/>
      <c r="D204" s="1230" t="s">
        <v>147</v>
      </c>
      <c r="E204" s="219"/>
      <c r="F204" s="1159"/>
      <c r="G204" s="220"/>
      <c r="H204" s="221"/>
    </row>
    <row r="205" spans="1:8" ht="18.75">
      <c r="A205" s="211" t="s">
        <v>130</v>
      </c>
      <c r="B205" s="212"/>
      <c r="C205" s="211"/>
      <c r="D205" s="757" t="s">
        <v>148</v>
      </c>
      <c r="E205" s="219"/>
      <c r="F205" s="1159"/>
      <c r="G205" s="220"/>
      <c r="H205" s="221"/>
    </row>
    <row r="206" spans="1:8" ht="18.75">
      <c r="A206" s="211" t="s">
        <v>538</v>
      </c>
      <c r="B206" s="212"/>
      <c r="C206" s="211"/>
      <c r="D206" s="218" t="s">
        <v>161</v>
      </c>
      <c r="E206" s="219"/>
      <c r="F206" s="1159"/>
      <c r="G206" s="220"/>
      <c r="H206" s="221"/>
    </row>
    <row r="207" spans="1:8" ht="18.75">
      <c r="A207" s="1188"/>
      <c r="B207" s="1188"/>
      <c r="C207" s="163"/>
      <c r="D207" s="266"/>
      <c r="E207" s="165"/>
      <c r="F207" s="1160">
        <f>SUM(F190:F206)</f>
        <v>15320000</v>
      </c>
      <c r="G207" s="162"/>
      <c r="H207" s="176">
        <f>SUM(H190:H206)</f>
        <v>751000</v>
      </c>
    </row>
    <row r="210" spans="1:8" ht="26.25">
      <c r="A210" s="1640" t="s">
        <v>1499</v>
      </c>
      <c r="B210" s="1640"/>
      <c r="C210" s="1640"/>
      <c r="D210" s="1640"/>
      <c r="E210" s="1640"/>
      <c r="F210" s="1640"/>
      <c r="G210" s="1640"/>
      <c r="H210" s="1640"/>
    </row>
    <row r="211" spans="1:8" ht="30.75">
      <c r="A211" s="45" t="s">
        <v>1463</v>
      </c>
      <c r="B211" s="46" t="s">
        <v>1497</v>
      </c>
      <c r="C211" s="46" t="s">
        <v>1465</v>
      </c>
      <c r="D211" s="45" t="s">
        <v>5</v>
      </c>
      <c r="E211" s="47" t="s">
        <v>1466</v>
      </c>
      <c r="F211" s="47" t="s">
        <v>1467</v>
      </c>
      <c r="G211" s="48" t="s">
        <v>7</v>
      </c>
      <c r="H211" s="48" t="s">
        <v>1468</v>
      </c>
    </row>
    <row r="212" spans="1:8" ht="18.75">
      <c r="A212" s="135">
        <v>10917</v>
      </c>
      <c r="B212" s="478">
        <v>0.1</v>
      </c>
      <c r="C212" s="135">
        <v>12</v>
      </c>
      <c r="D212" s="259" t="s">
        <v>1500</v>
      </c>
      <c r="E212" s="137"/>
      <c r="F212" s="146">
        <v>790000</v>
      </c>
      <c r="G212" s="138">
        <v>0.02</v>
      </c>
      <c r="H212" s="139">
        <f>F212*G212</f>
        <v>15800</v>
      </c>
    </row>
    <row r="213" spans="1:8" ht="18.75">
      <c r="A213" s="135">
        <v>10928</v>
      </c>
      <c r="B213" s="478">
        <v>0.1</v>
      </c>
      <c r="C213" s="135">
        <v>12</v>
      </c>
      <c r="D213" s="259" t="s">
        <v>941</v>
      </c>
      <c r="E213" s="224"/>
      <c r="F213" s="146">
        <v>950000</v>
      </c>
      <c r="G213" s="138">
        <v>0.02</v>
      </c>
      <c r="H213" s="139">
        <f t="shared" ref="H213:H214" si="9">F213*G213</f>
        <v>19000</v>
      </c>
    </row>
    <row r="214" spans="1:8" ht="18.75">
      <c r="A214" s="135">
        <v>10958</v>
      </c>
      <c r="B214" s="478">
        <v>0.1</v>
      </c>
      <c r="C214" s="135">
        <v>12</v>
      </c>
      <c r="D214" s="259" t="s">
        <v>127</v>
      </c>
      <c r="E214" s="224"/>
      <c r="F214" s="146">
        <v>1300000</v>
      </c>
      <c r="G214" s="138">
        <v>0.02</v>
      </c>
      <c r="H214" s="139">
        <f t="shared" si="9"/>
        <v>26000</v>
      </c>
    </row>
    <row r="215" spans="1:8" ht="18.75">
      <c r="A215" s="211" t="s">
        <v>130</v>
      </c>
      <c r="B215" s="489"/>
      <c r="C215" s="489"/>
      <c r="D215" s="757" t="s">
        <v>1501</v>
      </c>
      <c r="E215" s="225"/>
      <c r="F215" s="756"/>
      <c r="G215" s="219"/>
      <c r="H215" s="221"/>
    </row>
    <row r="216" spans="1:8" ht="18.75">
      <c r="A216" s="211" t="s">
        <v>130</v>
      </c>
      <c r="B216" s="489"/>
      <c r="C216" s="489"/>
      <c r="D216" s="757" t="s">
        <v>1502</v>
      </c>
      <c r="E216" s="225"/>
      <c r="F216" s="757"/>
      <c r="G216" s="219"/>
      <c r="H216" s="225"/>
    </row>
    <row r="217" spans="1:8" ht="18.75">
      <c r="A217" s="209" t="s">
        <v>130</v>
      </c>
      <c r="B217" s="209"/>
      <c r="C217" s="209"/>
      <c r="D217" s="226" t="s">
        <v>161</v>
      </c>
      <c r="E217" s="227"/>
      <c r="F217" s="228"/>
      <c r="G217" s="229"/>
      <c r="H217" s="230"/>
    </row>
    <row r="218" spans="1:8" ht="18.75">
      <c r="A218" s="211" t="s">
        <v>538</v>
      </c>
      <c r="B218" s="489"/>
      <c r="C218" s="489"/>
      <c r="D218" s="757" t="s">
        <v>161</v>
      </c>
      <c r="E218" s="225"/>
      <c r="F218" s="757"/>
      <c r="G218" s="219"/>
      <c r="H218" s="225"/>
    </row>
    <row r="219" spans="1:8" ht="23.25">
      <c r="A219" s="1189"/>
      <c r="B219" s="1189"/>
      <c r="C219" s="18"/>
      <c r="D219" s="11"/>
      <c r="E219" s="27"/>
      <c r="F219" s="1161">
        <f>SUM(F212:F218)</f>
        <v>3040000</v>
      </c>
      <c r="G219" s="28"/>
      <c r="H219" s="59">
        <f>SUM(H212:H214)</f>
        <v>60800</v>
      </c>
    </row>
    <row r="222" spans="1:8" ht="26.25">
      <c r="A222" s="1640" t="s">
        <v>1503</v>
      </c>
      <c r="B222" s="1640"/>
      <c r="C222" s="1640"/>
      <c r="D222" s="1640"/>
      <c r="E222" s="1640"/>
      <c r="F222" s="1640"/>
      <c r="G222" s="1640"/>
      <c r="H222" s="1640"/>
    </row>
    <row r="223" spans="1:8" ht="30.75">
      <c r="A223" s="45" t="s">
        <v>1463</v>
      </c>
      <c r="B223" s="46" t="s">
        <v>1497</v>
      </c>
      <c r="C223" s="46" t="s">
        <v>1465</v>
      </c>
      <c r="D223" s="45" t="s">
        <v>5</v>
      </c>
      <c r="E223" s="47" t="s">
        <v>1466</v>
      </c>
      <c r="F223" s="47" t="s">
        <v>1467</v>
      </c>
      <c r="G223" s="48" t="s">
        <v>7</v>
      </c>
      <c r="H223" s="48" t="s">
        <v>1468</v>
      </c>
    </row>
    <row r="224" spans="1:8" ht="18.75">
      <c r="A224" s="346">
        <v>10808</v>
      </c>
      <c r="B224" s="231">
        <v>0.1</v>
      </c>
      <c r="C224" s="135">
        <v>12</v>
      </c>
      <c r="D224" s="145" t="s">
        <v>163</v>
      </c>
      <c r="E224" s="741"/>
      <c r="F224" s="146">
        <v>1250000</v>
      </c>
      <c r="G224" s="138">
        <v>0.02</v>
      </c>
      <c r="H224" s="139">
        <f>F224*G224</f>
        <v>25000</v>
      </c>
    </row>
    <row r="225" spans="1:8" ht="23.25">
      <c r="A225" s="1189"/>
      <c r="B225" s="1189"/>
      <c r="C225" s="18"/>
      <c r="D225" s="11"/>
      <c r="E225" s="27"/>
      <c r="F225" s="1162">
        <f>SUM(F224:F224)</f>
        <v>1250000</v>
      </c>
      <c r="G225" s="28"/>
      <c r="H225" s="59">
        <f>SUM(H224:H224)</f>
        <v>25000</v>
      </c>
    </row>
    <row r="228" spans="1:8" ht="26.25">
      <c r="A228" s="1640" t="s">
        <v>1504</v>
      </c>
      <c r="B228" s="1640"/>
      <c r="C228" s="1640"/>
      <c r="D228" s="1640"/>
      <c r="E228" s="1640"/>
      <c r="F228" s="1640"/>
      <c r="G228" s="1640"/>
      <c r="H228" s="1640"/>
    </row>
    <row r="229" spans="1:8" ht="30.75">
      <c r="A229" s="45" t="s">
        <v>1463</v>
      </c>
      <c r="B229" s="46" t="s">
        <v>1497</v>
      </c>
      <c r="C229" s="46" t="s">
        <v>1465</v>
      </c>
      <c r="D229" s="45" t="s">
        <v>5</v>
      </c>
      <c r="E229" s="47" t="s">
        <v>1466</v>
      </c>
      <c r="F229" s="47" t="s">
        <v>1467</v>
      </c>
      <c r="G229" s="48" t="s">
        <v>7</v>
      </c>
      <c r="H229" s="48" t="s">
        <v>1468</v>
      </c>
    </row>
    <row r="230" spans="1:8" ht="18.75">
      <c r="A230" s="346">
        <v>10808</v>
      </c>
      <c r="B230" s="231">
        <v>0.1</v>
      </c>
      <c r="C230" s="135">
        <v>12</v>
      </c>
      <c r="D230" s="145" t="s">
        <v>163</v>
      </c>
      <c r="E230" s="741"/>
      <c r="F230" s="146">
        <v>1250000</v>
      </c>
      <c r="G230" s="138">
        <v>0.02</v>
      </c>
      <c r="H230" s="139">
        <f>F230*G230</f>
        <v>25000</v>
      </c>
    </row>
    <row r="231" spans="1:8" ht="18.75">
      <c r="A231" s="346">
        <v>10806</v>
      </c>
      <c r="B231" s="231">
        <v>0.1</v>
      </c>
      <c r="C231" s="677">
        <v>12</v>
      </c>
      <c r="D231" s="145" t="s">
        <v>165</v>
      </c>
      <c r="E231" s="741"/>
      <c r="F231" s="146">
        <v>1100000</v>
      </c>
      <c r="G231" s="138">
        <v>0.02</v>
      </c>
      <c r="H231" s="139">
        <f t="shared" ref="H231:H246" si="10">F231*G231</f>
        <v>22000</v>
      </c>
    </row>
    <row r="232" spans="1:8" ht="18.75">
      <c r="A232" s="346">
        <v>10836</v>
      </c>
      <c r="B232" s="231">
        <v>0.1</v>
      </c>
      <c r="C232" s="135">
        <v>12</v>
      </c>
      <c r="D232" s="216" t="s">
        <v>167</v>
      </c>
      <c r="E232" s="741"/>
      <c r="F232" s="146">
        <v>770000</v>
      </c>
      <c r="G232" s="138">
        <v>0.02</v>
      </c>
      <c r="H232" s="139">
        <f t="shared" si="10"/>
        <v>15400</v>
      </c>
    </row>
    <row r="233" spans="1:8" ht="18.75">
      <c r="A233" s="488">
        <v>10835</v>
      </c>
      <c r="B233" s="231">
        <v>0.1</v>
      </c>
      <c r="C233" s="135">
        <v>12</v>
      </c>
      <c r="D233" s="145" t="s">
        <v>122</v>
      </c>
      <c r="E233" s="741"/>
      <c r="F233" s="143">
        <v>1050000</v>
      </c>
      <c r="G233" s="138">
        <v>0.02</v>
      </c>
      <c r="H233" s="139">
        <f t="shared" si="10"/>
        <v>21000</v>
      </c>
    </row>
    <row r="234" spans="1:8" ht="18.75">
      <c r="A234" s="346">
        <v>10844</v>
      </c>
      <c r="B234" s="231">
        <v>0.1</v>
      </c>
      <c r="C234" s="135">
        <v>12</v>
      </c>
      <c r="D234" s="216" t="s">
        <v>125</v>
      </c>
      <c r="E234" s="741"/>
      <c r="F234" s="146">
        <v>1200000</v>
      </c>
      <c r="G234" s="138">
        <v>0.02</v>
      </c>
      <c r="H234" s="139">
        <f t="shared" si="10"/>
        <v>24000</v>
      </c>
    </row>
    <row r="235" spans="1:8" ht="18.75">
      <c r="A235" s="346">
        <v>10865</v>
      </c>
      <c r="B235" s="231">
        <v>0.1</v>
      </c>
      <c r="C235" s="135">
        <v>12</v>
      </c>
      <c r="D235" s="217" t="s">
        <v>152</v>
      </c>
      <c r="E235" s="741"/>
      <c r="F235" s="1146">
        <v>1000000</v>
      </c>
      <c r="G235" s="138">
        <v>0.02</v>
      </c>
      <c r="H235" s="139">
        <f t="shared" si="10"/>
        <v>20000</v>
      </c>
    </row>
    <row r="236" spans="1:8" ht="18.75">
      <c r="A236" s="346">
        <v>10855</v>
      </c>
      <c r="B236" s="231">
        <v>0.1</v>
      </c>
      <c r="C236" s="135">
        <v>12</v>
      </c>
      <c r="D236" s="1226" t="s">
        <v>153</v>
      </c>
      <c r="E236" s="741"/>
      <c r="F236" s="1145">
        <v>1250000</v>
      </c>
      <c r="G236" s="138">
        <v>0.02</v>
      </c>
      <c r="H236" s="139">
        <f t="shared" si="10"/>
        <v>25000</v>
      </c>
    </row>
    <row r="237" spans="1:8" ht="18.75">
      <c r="A237" s="346">
        <v>10856</v>
      </c>
      <c r="B237" s="231">
        <v>0.1</v>
      </c>
      <c r="C237" s="135">
        <v>12</v>
      </c>
      <c r="D237" s="259" t="s">
        <v>139</v>
      </c>
      <c r="E237" s="741"/>
      <c r="F237" s="1145">
        <v>1400000</v>
      </c>
      <c r="G237" s="138">
        <v>0.02</v>
      </c>
      <c r="H237" s="139">
        <f t="shared" si="10"/>
        <v>28000</v>
      </c>
    </row>
    <row r="238" spans="1:8" ht="18.75">
      <c r="A238" s="346">
        <v>10898</v>
      </c>
      <c r="B238" s="231">
        <v>0.1</v>
      </c>
      <c r="C238" s="135">
        <v>12</v>
      </c>
      <c r="D238" s="1226" t="s">
        <v>141</v>
      </c>
      <c r="E238" s="741"/>
      <c r="F238" s="1145">
        <v>1300000</v>
      </c>
      <c r="G238" s="138">
        <v>0.02</v>
      </c>
      <c r="H238" s="139">
        <f t="shared" si="10"/>
        <v>26000</v>
      </c>
    </row>
    <row r="239" spans="1:8" ht="18.75">
      <c r="A239" s="135">
        <v>10909</v>
      </c>
      <c r="B239" s="231">
        <v>0.1</v>
      </c>
      <c r="C239" s="135">
        <v>12</v>
      </c>
      <c r="D239" s="259" t="s">
        <v>143</v>
      </c>
      <c r="E239" s="741"/>
      <c r="F239" s="1145">
        <v>1400000</v>
      </c>
      <c r="G239" s="138">
        <v>0.02</v>
      </c>
      <c r="H239" s="139">
        <f t="shared" si="10"/>
        <v>28000</v>
      </c>
    </row>
    <row r="240" spans="1:8" ht="18.75">
      <c r="A240" s="135">
        <v>10917</v>
      </c>
      <c r="B240" s="231">
        <v>0.1</v>
      </c>
      <c r="C240" s="135">
        <v>12</v>
      </c>
      <c r="D240" s="1226" t="s">
        <v>154</v>
      </c>
      <c r="E240" s="741"/>
      <c r="F240" s="1145">
        <v>790000</v>
      </c>
      <c r="G240" s="138">
        <v>0.02</v>
      </c>
      <c r="H240" s="139">
        <f t="shared" si="10"/>
        <v>15800</v>
      </c>
    </row>
    <row r="241" spans="1:8" ht="18.75">
      <c r="A241" s="135">
        <v>10928</v>
      </c>
      <c r="B241" s="231">
        <v>0.1</v>
      </c>
      <c r="C241" s="135">
        <v>12</v>
      </c>
      <c r="D241" s="259" t="s">
        <v>941</v>
      </c>
      <c r="E241" s="741"/>
      <c r="F241" s="146">
        <v>950000</v>
      </c>
      <c r="G241" s="138">
        <v>0.02</v>
      </c>
      <c r="H241" s="139">
        <f t="shared" si="10"/>
        <v>19000</v>
      </c>
    </row>
    <row r="242" spans="1:8" ht="18.75">
      <c r="A242" s="135">
        <v>10943</v>
      </c>
      <c r="B242" s="231">
        <v>0.1</v>
      </c>
      <c r="C242" s="135">
        <v>12</v>
      </c>
      <c r="D242" s="216" t="s">
        <v>169</v>
      </c>
      <c r="E242" s="741"/>
      <c r="F242" s="1145">
        <v>700000</v>
      </c>
      <c r="G242" s="138">
        <v>0.02</v>
      </c>
      <c r="H242" s="139">
        <f t="shared" si="10"/>
        <v>14000</v>
      </c>
    </row>
    <row r="243" spans="1:8" ht="18.75">
      <c r="A243" s="179">
        <v>10955</v>
      </c>
      <c r="B243" s="232">
        <v>0.1</v>
      </c>
      <c r="C243" s="179">
        <v>12</v>
      </c>
      <c r="D243" s="1229" t="s">
        <v>144</v>
      </c>
      <c r="E243" s="741"/>
      <c r="F243" s="1145">
        <v>1300000</v>
      </c>
      <c r="G243" s="138">
        <v>0.02</v>
      </c>
      <c r="H243" s="139">
        <f t="shared" si="10"/>
        <v>26000</v>
      </c>
    </row>
    <row r="244" spans="1:8" ht="18.75">
      <c r="A244" s="346">
        <v>10956</v>
      </c>
      <c r="B244" s="231">
        <v>0.1</v>
      </c>
      <c r="C244" s="135">
        <v>12</v>
      </c>
      <c r="D244" s="259" t="s">
        <v>145</v>
      </c>
      <c r="E244" s="740"/>
      <c r="F244" s="1145">
        <v>1350000</v>
      </c>
      <c r="G244" s="138">
        <v>0.02</v>
      </c>
      <c r="H244" s="139">
        <f t="shared" si="10"/>
        <v>27000</v>
      </c>
    </row>
    <row r="245" spans="1:8" ht="18.75">
      <c r="A245" s="346">
        <v>10958</v>
      </c>
      <c r="B245" s="233">
        <v>0.1</v>
      </c>
      <c r="C245" s="135">
        <v>12</v>
      </c>
      <c r="D245" s="259" t="s">
        <v>127</v>
      </c>
      <c r="E245" s="741"/>
      <c r="F245" s="146">
        <v>1300000</v>
      </c>
      <c r="G245" s="138">
        <v>0.02</v>
      </c>
      <c r="H245" s="139">
        <f t="shared" si="10"/>
        <v>26000</v>
      </c>
    </row>
    <row r="246" spans="1:8" ht="18.75">
      <c r="A246" s="135">
        <v>10982</v>
      </c>
      <c r="B246" s="231">
        <v>0.08</v>
      </c>
      <c r="C246" s="135">
        <v>12</v>
      </c>
      <c r="D246" s="136" t="s">
        <v>129</v>
      </c>
      <c r="E246" s="740"/>
      <c r="F246" s="1145">
        <v>1500000</v>
      </c>
      <c r="G246" s="140">
        <v>0.01</v>
      </c>
      <c r="H246" s="178">
        <f t="shared" si="10"/>
        <v>15000</v>
      </c>
    </row>
    <row r="247" spans="1:8" ht="18.75">
      <c r="A247" s="1190"/>
      <c r="B247" s="1190"/>
      <c r="C247" s="235"/>
      <c r="D247" s="1231"/>
      <c r="E247" s="165"/>
      <c r="F247" s="1160">
        <f>SUM(F230:F246)</f>
        <v>19610000</v>
      </c>
      <c r="G247" s="183"/>
      <c r="H247" s="176">
        <f>SUM(H230:H246)</f>
        <v>377200</v>
      </c>
    </row>
    <row r="250" spans="1:8" ht="26.25">
      <c r="A250" s="1643" t="s">
        <v>1505</v>
      </c>
      <c r="B250" s="1643"/>
      <c r="C250" s="1643"/>
      <c r="D250" s="1643"/>
      <c r="E250" s="1643"/>
      <c r="F250" s="1643"/>
      <c r="G250" s="1643"/>
      <c r="H250" s="1643"/>
    </row>
    <row r="252" spans="1:8" ht="26.25">
      <c r="A252" s="1640" t="s">
        <v>1496</v>
      </c>
      <c r="B252" s="1640"/>
      <c r="C252" s="1640"/>
      <c r="D252" s="1640"/>
      <c r="E252" s="1640"/>
      <c r="F252" s="1640"/>
      <c r="G252" s="1640"/>
      <c r="H252" s="1640"/>
    </row>
    <row r="253" spans="1:8" ht="30.75">
      <c r="A253" s="45" t="s">
        <v>1463</v>
      </c>
      <c r="B253" s="46" t="s">
        <v>1497</v>
      </c>
      <c r="C253" s="46" t="s">
        <v>1465</v>
      </c>
      <c r="D253" s="45" t="s">
        <v>5</v>
      </c>
      <c r="E253" s="47" t="s">
        <v>1466</v>
      </c>
      <c r="F253" s="48" t="s">
        <v>1467</v>
      </c>
      <c r="G253" s="48" t="s">
        <v>7</v>
      </c>
      <c r="H253" s="48" t="s">
        <v>1468</v>
      </c>
    </row>
    <row r="254" spans="1:8" ht="18.75">
      <c r="A254" s="346">
        <v>11044</v>
      </c>
      <c r="B254" s="231">
        <v>0.1</v>
      </c>
      <c r="C254" s="135">
        <v>12</v>
      </c>
      <c r="D254" s="216" t="s">
        <v>210</v>
      </c>
      <c r="E254" s="741"/>
      <c r="F254" s="143">
        <v>1000000</v>
      </c>
      <c r="G254" s="138">
        <v>0.02</v>
      </c>
      <c r="H254" s="139">
        <f>F254*G254</f>
        <v>20000</v>
      </c>
    </row>
    <row r="255" spans="1:8" ht="18.75">
      <c r="A255" s="346">
        <v>11046</v>
      </c>
      <c r="B255" s="231">
        <v>0.1</v>
      </c>
      <c r="C255" s="135">
        <v>12</v>
      </c>
      <c r="D255" s="259" t="s">
        <v>197</v>
      </c>
      <c r="E255" s="137"/>
      <c r="F255" s="146">
        <v>1250000</v>
      </c>
      <c r="G255" s="138">
        <v>0.02</v>
      </c>
      <c r="H255" s="139">
        <f>F255*G255</f>
        <v>25000</v>
      </c>
    </row>
    <row r="256" spans="1:8" ht="18.75">
      <c r="A256" s="346">
        <v>11086</v>
      </c>
      <c r="B256" s="231">
        <v>0.1</v>
      </c>
      <c r="C256" s="135">
        <v>12</v>
      </c>
      <c r="D256" s="259" t="s">
        <v>201</v>
      </c>
      <c r="E256" s="137"/>
      <c r="F256" s="146">
        <v>1250000</v>
      </c>
      <c r="G256" s="138">
        <v>0.02</v>
      </c>
      <c r="H256" s="139">
        <f>F256*G256</f>
        <v>25000</v>
      </c>
    </row>
    <row r="257" spans="1:8" ht="18.75">
      <c r="A257" s="346">
        <v>11089</v>
      </c>
      <c r="B257" s="236">
        <v>0.1</v>
      </c>
      <c r="C257" s="135">
        <v>12</v>
      </c>
      <c r="D257" s="136" t="s">
        <v>214</v>
      </c>
      <c r="E257" s="741"/>
      <c r="F257" s="1145">
        <v>700000</v>
      </c>
      <c r="G257" s="138">
        <v>0.02</v>
      </c>
      <c r="H257" s="139">
        <f>F257*G257</f>
        <v>14000</v>
      </c>
    </row>
    <row r="258" spans="1:8" ht="18.75">
      <c r="A258" s="488">
        <v>11093</v>
      </c>
      <c r="B258" s="231">
        <v>0.1</v>
      </c>
      <c r="C258" s="135">
        <v>12</v>
      </c>
      <c r="D258" s="259" t="s">
        <v>202</v>
      </c>
      <c r="E258" s="741"/>
      <c r="F258" s="1145">
        <v>700000</v>
      </c>
      <c r="G258" s="138">
        <v>0.02</v>
      </c>
      <c r="H258" s="139">
        <f>F258*G258</f>
        <v>14000</v>
      </c>
    </row>
    <row r="259" spans="1:8" ht="18.75">
      <c r="A259" s="346">
        <v>11125</v>
      </c>
      <c r="B259" s="231">
        <v>0.1</v>
      </c>
      <c r="C259" s="133">
        <v>12</v>
      </c>
      <c r="D259" s="216" t="s">
        <v>181</v>
      </c>
      <c r="E259" s="741"/>
      <c r="F259" s="1145">
        <v>900000</v>
      </c>
      <c r="G259" s="138">
        <v>0.02</v>
      </c>
      <c r="H259" s="139">
        <f t="shared" ref="H259:H260" si="11">F259*G259</f>
        <v>18000</v>
      </c>
    </row>
    <row r="260" spans="1:8" ht="18.75">
      <c r="A260" s="346">
        <v>11138</v>
      </c>
      <c r="B260" s="231">
        <v>0.1</v>
      </c>
      <c r="C260" s="133">
        <v>12</v>
      </c>
      <c r="D260" s="259" t="s">
        <v>205</v>
      </c>
      <c r="E260" s="741"/>
      <c r="F260" s="1145">
        <v>1300000</v>
      </c>
      <c r="G260" s="138">
        <v>0.02</v>
      </c>
      <c r="H260" s="139">
        <f t="shared" si="11"/>
        <v>26000</v>
      </c>
    </row>
    <row r="261" spans="1:8" ht="23.25">
      <c r="A261" s="1189"/>
      <c r="B261" s="1189"/>
      <c r="C261" s="18"/>
      <c r="D261" s="11"/>
      <c r="E261" s="27"/>
      <c r="F261" s="1162">
        <f>SUM(F254:F260)</f>
        <v>7100000</v>
      </c>
      <c r="G261" s="28"/>
      <c r="H261" s="72">
        <f>SUM(H254:H260)</f>
        <v>142000</v>
      </c>
    </row>
    <row r="264" spans="1:8" ht="26.25">
      <c r="A264" s="1640" t="s">
        <v>1499</v>
      </c>
      <c r="B264" s="1640"/>
      <c r="C264" s="1640"/>
      <c r="D264" s="1640"/>
      <c r="E264" s="1640"/>
      <c r="F264" s="1640"/>
      <c r="G264" s="1640"/>
      <c r="H264" s="1640"/>
    </row>
    <row r="265" spans="1:8" ht="30.75">
      <c r="A265" s="45" t="s">
        <v>1463</v>
      </c>
      <c r="B265" s="46" t="s">
        <v>1497</v>
      </c>
      <c r="C265" s="46" t="s">
        <v>1465</v>
      </c>
      <c r="D265" s="45" t="s">
        <v>5</v>
      </c>
      <c r="E265" s="47" t="s">
        <v>1466</v>
      </c>
      <c r="F265" s="48" t="s">
        <v>1467</v>
      </c>
      <c r="G265" s="48" t="s">
        <v>7</v>
      </c>
      <c r="H265" s="48" t="s">
        <v>1468</v>
      </c>
    </row>
    <row r="266" spans="1:8" ht="18.75">
      <c r="A266" s="133">
        <v>10992</v>
      </c>
      <c r="B266" s="478">
        <v>0.1</v>
      </c>
      <c r="C266" s="677">
        <v>12</v>
      </c>
      <c r="D266" s="216" t="s">
        <v>175</v>
      </c>
      <c r="E266" s="137"/>
      <c r="F266" s="146">
        <v>1200000</v>
      </c>
      <c r="G266" s="138">
        <v>0.04</v>
      </c>
      <c r="H266" s="139">
        <f>F266*G266</f>
        <v>48000</v>
      </c>
    </row>
    <row r="267" spans="1:8" ht="18.75">
      <c r="A267" s="488">
        <v>11002</v>
      </c>
      <c r="B267" s="478">
        <v>0.1</v>
      </c>
      <c r="C267" s="677">
        <v>12</v>
      </c>
      <c r="D267" s="136" t="s">
        <v>177</v>
      </c>
      <c r="E267" s="224"/>
      <c r="F267" s="237">
        <v>1100000</v>
      </c>
      <c r="G267" s="138">
        <v>0.04</v>
      </c>
      <c r="H267" s="139">
        <f t="shared" ref="H267:H278" si="12">F267*G267</f>
        <v>44000</v>
      </c>
    </row>
    <row r="268" spans="1:8" ht="18.75">
      <c r="A268" s="133">
        <v>11032</v>
      </c>
      <c r="B268" s="478">
        <v>0.1</v>
      </c>
      <c r="C268" s="677">
        <v>9</v>
      </c>
      <c r="D268" s="216" t="s">
        <v>179</v>
      </c>
      <c r="E268" s="224"/>
      <c r="F268" s="146">
        <v>1100000</v>
      </c>
      <c r="G268" s="138">
        <v>0.04</v>
      </c>
      <c r="H268" s="139">
        <f t="shared" si="12"/>
        <v>44000</v>
      </c>
    </row>
    <row r="269" spans="1:8" ht="18.75">
      <c r="A269" s="238">
        <v>11023</v>
      </c>
      <c r="B269" s="231">
        <v>0.08</v>
      </c>
      <c r="C269" s="677">
        <v>12</v>
      </c>
      <c r="D269" s="216" t="s">
        <v>182</v>
      </c>
      <c r="E269" s="224"/>
      <c r="F269" s="146">
        <v>1250000</v>
      </c>
      <c r="G269" s="140">
        <v>0.03</v>
      </c>
      <c r="H269" s="139">
        <f t="shared" si="12"/>
        <v>37500</v>
      </c>
    </row>
    <row r="270" spans="1:8" ht="18.75">
      <c r="A270" s="238">
        <v>11042</v>
      </c>
      <c r="B270" s="478">
        <v>0.1</v>
      </c>
      <c r="C270" s="238">
        <v>12</v>
      </c>
      <c r="D270" s="239" t="s">
        <v>209</v>
      </c>
      <c r="E270" s="224"/>
      <c r="F270" s="146">
        <v>1300000</v>
      </c>
      <c r="G270" s="138">
        <v>0.04</v>
      </c>
      <c r="H270" s="139">
        <f t="shared" si="12"/>
        <v>52000</v>
      </c>
    </row>
    <row r="271" spans="1:8" ht="18.75">
      <c r="A271" s="238">
        <v>11057</v>
      </c>
      <c r="B271" s="478">
        <v>0.1</v>
      </c>
      <c r="C271" s="677">
        <v>12</v>
      </c>
      <c r="D271" s="259" t="s">
        <v>178</v>
      </c>
      <c r="E271" s="137"/>
      <c r="F271" s="146">
        <v>900000</v>
      </c>
      <c r="G271" s="138">
        <v>0.04</v>
      </c>
      <c r="H271" s="139">
        <f t="shared" si="12"/>
        <v>36000</v>
      </c>
    </row>
    <row r="272" spans="1:8" ht="18.75">
      <c r="A272" s="238">
        <v>11063</v>
      </c>
      <c r="B272" s="478">
        <v>0.1</v>
      </c>
      <c r="C272" s="677">
        <v>12</v>
      </c>
      <c r="D272" s="259" t="s">
        <v>1506</v>
      </c>
      <c r="E272" s="137"/>
      <c r="F272" s="678">
        <v>850000</v>
      </c>
      <c r="G272" s="138">
        <v>0.04</v>
      </c>
      <c r="H272" s="139">
        <f t="shared" si="12"/>
        <v>34000</v>
      </c>
    </row>
    <row r="273" spans="1:8" ht="18.75">
      <c r="A273" s="238">
        <v>11039</v>
      </c>
      <c r="B273" s="240">
        <v>0.1</v>
      </c>
      <c r="C273" s="238">
        <v>12</v>
      </c>
      <c r="D273" s="239" t="s">
        <v>1507</v>
      </c>
      <c r="E273" s="137"/>
      <c r="F273" s="678">
        <v>1250000</v>
      </c>
      <c r="G273" s="138">
        <v>0.04</v>
      </c>
      <c r="H273" s="139">
        <f t="shared" si="12"/>
        <v>50000</v>
      </c>
    </row>
    <row r="274" spans="1:8" ht="18.75">
      <c r="A274" s="238">
        <v>11077</v>
      </c>
      <c r="B274" s="240">
        <v>0.1</v>
      </c>
      <c r="C274" s="238">
        <v>12</v>
      </c>
      <c r="D274" s="239" t="s">
        <v>1508</v>
      </c>
      <c r="E274" s="243"/>
      <c r="F274" s="678">
        <v>1250000</v>
      </c>
      <c r="G274" s="138">
        <v>0.04</v>
      </c>
      <c r="H274" s="139">
        <f t="shared" si="12"/>
        <v>50000</v>
      </c>
    </row>
    <row r="275" spans="1:8" ht="18.75">
      <c r="A275" s="241">
        <v>11081</v>
      </c>
      <c r="B275" s="478">
        <v>0.1</v>
      </c>
      <c r="C275" s="241">
        <v>12</v>
      </c>
      <c r="D275" s="242" t="s">
        <v>1509</v>
      </c>
      <c r="E275" s="244"/>
      <c r="F275" s="678">
        <v>950000</v>
      </c>
      <c r="G275" s="138">
        <v>0.04</v>
      </c>
      <c r="H275" s="139">
        <f t="shared" si="12"/>
        <v>38000</v>
      </c>
    </row>
    <row r="276" spans="1:8" ht="18.75">
      <c r="A276" s="241">
        <v>11084</v>
      </c>
      <c r="B276" s="240">
        <v>0.1</v>
      </c>
      <c r="C276" s="241">
        <v>12</v>
      </c>
      <c r="D276" s="242" t="s">
        <v>1510</v>
      </c>
      <c r="E276" s="244"/>
      <c r="F276" s="678">
        <v>1300000</v>
      </c>
      <c r="G276" s="138">
        <v>0.04</v>
      </c>
      <c r="H276" s="139">
        <f t="shared" si="12"/>
        <v>52000</v>
      </c>
    </row>
    <row r="277" spans="1:8" ht="18.75">
      <c r="A277" s="346">
        <v>11124</v>
      </c>
      <c r="B277" s="240">
        <v>0.1</v>
      </c>
      <c r="C277" s="241">
        <v>12</v>
      </c>
      <c r="D277" s="242" t="s">
        <v>1511</v>
      </c>
      <c r="E277" s="244"/>
      <c r="F277" s="678">
        <v>1200000</v>
      </c>
      <c r="G277" s="138">
        <v>0.04</v>
      </c>
      <c r="H277" s="139">
        <f t="shared" si="12"/>
        <v>48000</v>
      </c>
    </row>
    <row r="278" spans="1:8" ht="18.75">
      <c r="A278" s="241">
        <v>11112</v>
      </c>
      <c r="B278" s="478">
        <v>0.1</v>
      </c>
      <c r="C278" s="677">
        <v>12</v>
      </c>
      <c r="D278" s="259" t="s">
        <v>190</v>
      </c>
      <c r="E278" s="137"/>
      <c r="F278" s="678">
        <v>900000</v>
      </c>
      <c r="G278" s="138">
        <v>0.04</v>
      </c>
      <c r="H278" s="139">
        <f t="shared" si="12"/>
        <v>36000</v>
      </c>
    </row>
    <row r="279" spans="1:8" ht="23.25">
      <c r="A279" s="1189"/>
      <c r="B279" s="1189"/>
      <c r="C279" s="18"/>
      <c r="D279" s="11"/>
      <c r="E279" s="27"/>
      <c r="F279" s="1162">
        <f>SUM(F266:F278)</f>
        <v>14550000</v>
      </c>
      <c r="G279" s="28"/>
      <c r="H279" s="72">
        <f>SUM(H266:H278)</f>
        <v>569500</v>
      </c>
    </row>
    <row r="282" spans="1:8" ht="26.25">
      <c r="A282" s="1640" t="s">
        <v>1512</v>
      </c>
      <c r="B282" s="1640"/>
      <c r="C282" s="1640"/>
      <c r="D282" s="1640"/>
      <c r="E282" s="1640"/>
      <c r="F282" s="1640"/>
      <c r="G282" s="1640"/>
      <c r="H282" s="1640"/>
    </row>
    <row r="283" spans="1:8" ht="30.75">
      <c r="A283" s="45" t="s">
        <v>1463</v>
      </c>
      <c r="B283" s="45"/>
      <c r="C283" s="46" t="s">
        <v>1465</v>
      </c>
      <c r="D283" s="45" t="s">
        <v>5</v>
      </c>
      <c r="E283" s="47" t="s">
        <v>1466</v>
      </c>
      <c r="F283" s="48" t="s">
        <v>1467</v>
      </c>
      <c r="G283" s="48" t="s">
        <v>7</v>
      </c>
      <c r="H283" s="48" t="s">
        <v>1468</v>
      </c>
    </row>
    <row r="284" spans="1:8" ht="18.75">
      <c r="A284" s="133">
        <v>10992</v>
      </c>
      <c r="B284" s="478">
        <v>0.1</v>
      </c>
      <c r="C284" s="677">
        <v>12</v>
      </c>
      <c r="D284" s="259" t="s">
        <v>1513</v>
      </c>
      <c r="E284" s="224"/>
      <c r="F284" s="146">
        <v>1200000</v>
      </c>
      <c r="G284" s="138">
        <v>0.02</v>
      </c>
      <c r="H284" s="139">
        <f>F284*G284</f>
        <v>24000</v>
      </c>
    </row>
    <row r="285" spans="1:8" ht="18.75">
      <c r="A285" s="488">
        <v>11002</v>
      </c>
      <c r="B285" s="478">
        <v>0.1</v>
      </c>
      <c r="C285" s="677">
        <v>12</v>
      </c>
      <c r="D285" s="259" t="s">
        <v>177</v>
      </c>
      <c r="E285" s="224"/>
      <c r="F285" s="146">
        <v>1100000</v>
      </c>
      <c r="G285" s="138">
        <v>0.02</v>
      </c>
      <c r="H285" s="139">
        <f t="shared" ref="H285:H296" si="13">F285*G285</f>
        <v>22000</v>
      </c>
    </row>
    <row r="286" spans="1:8" ht="18.75">
      <c r="A286" s="133">
        <v>11032</v>
      </c>
      <c r="B286" s="478">
        <v>0.1</v>
      </c>
      <c r="C286" s="677">
        <v>9</v>
      </c>
      <c r="D286" s="216" t="s">
        <v>179</v>
      </c>
      <c r="E286" s="224"/>
      <c r="F286" s="146">
        <v>1100000</v>
      </c>
      <c r="G286" s="138">
        <v>0.02</v>
      </c>
      <c r="H286" s="139">
        <f t="shared" si="13"/>
        <v>22000</v>
      </c>
    </row>
    <row r="287" spans="1:8" ht="18.75">
      <c r="A287" s="238">
        <v>11023</v>
      </c>
      <c r="B287" s="231">
        <v>0.08</v>
      </c>
      <c r="C287" s="677">
        <v>12</v>
      </c>
      <c r="D287" s="216" t="s">
        <v>182</v>
      </c>
      <c r="E287" s="224"/>
      <c r="F287" s="146">
        <v>1250000</v>
      </c>
      <c r="G287" s="140">
        <v>0.01</v>
      </c>
      <c r="H287" s="139">
        <f t="shared" si="13"/>
        <v>12500</v>
      </c>
    </row>
    <row r="288" spans="1:8" ht="18.75">
      <c r="A288" s="238">
        <v>11042</v>
      </c>
      <c r="B288" s="478">
        <v>0.1</v>
      </c>
      <c r="C288" s="238">
        <v>12</v>
      </c>
      <c r="D288" s="239" t="s">
        <v>209</v>
      </c>
      <c r="E288" s="224"/>
      <c r="F288" s="146">
        <v>1300000</v>
      </c>
      <c r="G288" s="138">
        <v>0.02</v>
      </c>
      <c r="H288" s="139">
        <f t="shared" si="13"/>
        <v>26000</v>
      </c>
    </row>
    <row r="289" spans="1:8" ht="18.75">
      <c r="A289" s="346">
        <v>11044</v>
      </c>
      <c r="B289" s="231">
        <v>0.1</v>
      </c>
      <c r="C289" s="135">
        <v>12</v>
      </c>
      <c r="D289" s="216" t="s">
        <v>210</v>
      </c>
      <c r="E289" s="255"/>
      <c r="F289" s="1146">
        <v>1000000</v>
      </c>
      <c r="G289" s="138">
        <v>0.02</v>
      </c>
      <c r="H289" s="139">
        <f t="shared" si="13"/>
        <v>20000</v>
      </c>
    </row>
    <row r="290" spans="1:8" ht="18.75">
      <c r="A290" s="346">
        <v>11046</v>
      </c>
      <c r="B290" s="1203">
        <v>0.1</v>
      </c>
      <c r="C290" s="135">
        <v>12</v>
      </c>
      <c r="D290" s="259" t="s">
        <v>197</v>
      </c>
      <c r="E290" s="255"/>
      <c r="F290" s="146">
        <v>1250000</v>
      </c>
      <c r="G290" s="138">
        <v>0.02</v>
      </c>
      <c r="H290" s="139">
        <f t="shared" si="13"/>
        <v>25000</v>
      </c>
    </row>
    <row r="291" spans="1:8" ht="18.75">
      <c r="A291" s="346">
        <v>11057</v>
      </c>
      <c r="B291" s="478">
        <v>0.1</v>
      </c>
      <c r="C291" s="677">
        <v>12</v>
      </c>
      <c r="D291" s="259" t="s">
        <v>178</v>
      </c>
      <c r="E291" s="255"/>
      <c r="F291" s="146">
        <v>900000</v>
      </c>
      <c r="G291" s="138">
        <v>0.02</v>
      </c>
      <c r="H291" s="139">
        <f t="shared" si="13"/>
        <v>18000</v>
      </c>
    </row>
    <row r="292" spans="1:8" ht="18.75">
      <c r="A292" s="238">
        <v>11063</v>
      </c>
      <c r="B292" s="478">
        <v>0.1</v>
      </c>
      <c r="C292" s="677">
        <v>12</v>
      </c>
      <c r="D292" s="259" t="s">
        <v>1506</v>
      </c>
      <c r="E292" s="255"/>
      <c r="F292" s="678">
        <v>850000</v>
      </c>
      <c r="G292" s="138">
        <v>0.02</v>
      </c>
      <c r="H292" s="139">
        <f t="shared" si="13"/>
        <v>17000</v>
      </c>
    </row>
    <row r="293" spans="1:8" ht="18.75">
      <c r="A293" s="238">
        <v>11039</v>
      </c>
      <c r="B293" s="478">
        <v>0.1</v>
      </c>
      <c r="C293" s="677">
        <v>12</v>
      </c>
      <c r="D293" s="259" t="s">
        <v>1507</v>
      </c>
      <c r="E293" s="255"/>
      <c r="F293" s="678">
        <v>1250000</v>
      </c>
      <c r="G293" s="138">
        <v>0.02</v>
      </c>
      <c r="H293" s="139">
        <f t="shared" si="13"/>
        <v>25000</v>
      </c>
    </row>
    <row r="294" spans="1:8" ht="18.75">
      <c r="A294" s="238">
        <v>11077</v>
      </c>
      <c r="B294" s="240">
        <v>0.1</v>
      </c>
      <c r="C294" s="238">
        <v>12</v>
      </c>
      <c r="D294" s="239" t="s">
        <v>1508</v>
      </c>
      <c r="E294" s="256"/>
      <c r="F294" s="678">
        <v>1250000</v>
      </c>
      <c r="G294" s="138">
        <v>0.02</v>
      </c>
      <c r="H294" s="139">
        <f t="shared" si="13"/>
        <v>25000</v>
      </c>
    </row>
    <row r="295" spans="1:8" ht="18.75">
      <c r="A295" s="257">
        <v>11081</v>
      </c>
      <c r="B295" s="258">
        <v>0.1</v>
      </c>
      <c r="C295" s="241">
        <v>12</v>
      </c>
      <c r="D295" s="242" t="s">
        <v>1509</v>
      </c>
      <c r="E295" s="256"/>
      <c r="F295" s="678">
        <v>950000</v>
      </c>
      <c r="G295" s="138">
        <v>0.02</v>
      </c>
      <c r="H295" s="139">
        <f t="shared" si="13"/>
        <v>19000</v>
      </c>
    </row>
    <row r="296" spans="1:8" ht="18.75">
      <c r="A296" s="135">
        <v>11084</v>
      </c>
      <c r="B296" s="231">
        <v>0.1</v>
      </c>
      <c r="C296" s="133">
        <v>12</v>
      </c>
      <c r="D296" s="216" t="s">
        <v>1514</v>
      </c>
      <c r="E296" s="255"/>
      <c r="F296" s="1145">
        <v>1300000</v>
      </c>
      <c r="G296" s="138">
        <v>0.02</v>
      </c>
      <c r="H296" s="139">
        <f t="shared" si="13"/>
        <v>26000</v>
      </c>
    </row>
    <row r="297" spans="1:8" ht="18.75">
      <c r="A297" s="346">
        <v>11086</v>
      </c>
      <c r="B297" s="231">
        <v>0.1</v>
      </c>
      <c r="C297" s="133">
        <v>12</v>
      </c>
      <c r="D297" s="259" t="s">
        <v>201</v>
      </c>
      <c r="E297" s="255"/>
      <c r="F297" s="146">
        <v>1250000</v>
      </c>
      <c r="G297" s="138">
        <v>0.02</v>
      </c>
      <c r="H297" s="139">
        <f>F297*G297</f>
        <v>25000</v>
      </c>
    </row>
    <row r="298" spans="1:8" ht="18.75">
      <c r="A298" s="346">
        <v>11089</v>
      </c>
      <c r="B298" s="231">
        <v>0.1</v>
      </c>
      <c r="C298" s="238">
        <v>12</v>
      </c>
      <c r="D298" s="136" t="s">
        <v>214</v>
      </c>
      <c r="E298" s="255"/>
      <c r="F298" s="1145">
        <v>700000</v>
      </c>
      <c r="G298" s="138">
        <v>0.02</v>
      </c>
      <c r="H298" s="139">
        <f>F298*G298</f>
        <v>14000</v>
      </c>
    </row>
    <row r="299" spans="1:8" ht="18.75">
      <c r="A299" s="346">
        <v>11093</v>
      </c>
      <c r="B299" s="231">
        <v>0.1</v>
      </c>
      <c r="C299" s="133">
        <v>12</v>
      </c>
      <c r="D299" s="259" t="s">
        <v>202</v>
      </c>
      <c r="E299" s="255"/>
      <c r="F299" s="1145">
        <v>700000</v>
      </c>
      <c r="G299" s="138">
        <v>0.02</v>
      </c>
      <c r="H299" s="139">
        <f>F299*G299</f>
        <v>14000</v>
      </c>
    </row>
    <row r="300" spans="1:8" ht="18.75">
      <c r="A300" s="135">
        <v>11112</v>
      </c>
      <c r="B300" s="478">
        <v>0.1</v>
      </c>
      <c r="C300" s="1179">
        <v>12</v>
      </c>
      <c r="D300" s="259" t="s">
        <v>190</v>
      </c>
      <c r="E300" s="255"/>
      <c r="F300" s="678">
        <v>900000</v>
      </c>
      <c r="G300" s="138">
        <v>0.02</v>
      </c>
      <c r="H300" s="139">
        <f t="shared" ref="H300:H303" si="14">F300*G300</f>
        <v>18000</v>
      </c>
    </row>
    <row r="301" spans="1:8" ht="18.75">
      <c r="A301" s="346">
        <v>11125</v>
      </c>
      <c r="B301" s="231">
        <v>0.1</v>
      </c>
      <c r="C301" s="133">
        <v>12</v>
      </c>
      <c r="D301" s="216" t="s">
        <v>181</v>
      </c>
      <c r="E301" s="741"/>
      <c r="F301" s="1145">
        <v>900000</v>
      </c>
      <c r="G301" s="138">
        <v>0.02</v>
      </c>
      <c r="H301" s="139">
        <f t="shared" si="14"/>
        <v>18000</v>
      </c>
    </row>
    <row r="302" spans="1:8" ht="18.75">
      <c r="A302" s="346">
        <v>11124</v>
      </c>
      <c r="B302" s="231">
        <v>0.1</v>
      </c>
      <c r="C302" s="133">
        <v>12</v>
      </c>
      <c r="D302" s="259" t="s">
        <v>203</v>
      </c>
      <c r="E302" s="741"/>
      <c r="F302" s="1145">
        <v>1200000</v>
      </c>
      <c r="G302" s="138">
        <v>0.02</v>
      </c>
      <c r="H302" s="139">
        <f t="shared" si="14"/>
        <v>24000</v>
      </c>
    </row>
    <row r="303" spans="1:8" ht="18.75">
      <c r="A303" s="346">
        <v>11138</v>
      </c>
      <c r="B303" s="231">
        <v>0.1</v>
      </c>
      <c r="C303" s="133">
        <v>12</v>
      </c>
      <c r="D303" s="259" t="s">
        <v>205</v>
      </c>
      <c r="E303" s="741"/>
      <c r="F303" s="1145">
        <v>1300000</v>
      </c>
      <c r="G303" s="138">
        <v>0.02</v>
      </c>
      <c r="H303" s="139">
        <f t="shared" si="14"/>
        <v>26000</v>
      </c>
    </row>
    <row r="304" spans="1:8" ht="23.25">
      <c r="A304" s="1189"/>
      <c r="B304" s="1204"/>
      <c r="C304" s="60"/>
      <c r="D304" s="11"/>
      <c r="E304" s="27"/>
      <c r="F304" s="1162">
        <f>SUM(F284:F303)</f>
        <v>21650000</v>
      </c>
      <c r="G304" s="28"/>
      <c r="H304" s="72">
        <f>SUM(H284:H303)</f>
        <v>420500</v>
      </c>
    </row>
    <row r="307" spans="1:8" ht="26.25">
      <c r="A307" s="1643" t="s">
        <v>1515</v>
      </c>
      <c r="B307" s="1643"/>
      <c r="C307" s="1643"/>
      <c r="D307" s="1643"/>
      <c r="E307" s="1643"/>
      <c r="F307" s="1643"/>
      <c r="G307" s="1643"/>
      <c r="H307" s="1643"/>
    </row>
    <row r="309" spans="1:8" ht="26.25">
      <c r="A309" s="1640" t="s">
        <v>1516</v>
      </c>
      <c r="B309" s="1640"/>
      <c r="C309" s="1640"/>
      <c r="D309" s="1640"/>
      <c r="E309" s="1640"/>
      <c r="F309" s="1640"/>
      <c r="G309" s="1640"/>
      <c r="H309" s="1640"/>
    </row>
    <row r="310" spans="1:8" ht="30.75">
      <c r="A310" s="45" t="s">
        <v>1463</v>
      </c>
      <c r="B310" s="46" t="s">
        <v>1497</v>
      </c>
      <c r="C310" s="46" t="s">
        <v>1465</v>
      </c>
      <c r="D310" s="45" t="s">
        <v>5</v>
      </c>
      <c r="E310" s="47" t="s">
        <v>1466</v>
      </c>
      <c r="F310" s="48" t="s">
        <v>1467</v>
      </c>
      <c r="G310" s="48" t="s">
        <v>7</v>
      </c>
      <c r="H310" s="48" t="s">
        <v>1468</v>
      </c>
    </row>
    <row r="311" spans="1:8" ht="18.75">
      <c r="A311" s="135">
        <v>11151</v>
      </c>
      <c r="B311" s="231">
        <v>0.1</v>
      </c>
      <c r="C311" s="135">
        <v>12</v>
      </c>
      <c r="D311" s="136" t="s">
        <v>229</v>
      </c>
      <c r="E311" s="741"/>
      <c r="F311" s="143">
        <v>1080000</v>
      </c>
      <c r="G311" s="138"/>
      <c r="H311" s="139"/>
    </row>
    <row r="312" spans="1:8" ht="18.75">
      <c r="A312" s="135">
        <v>11155</v>
      </c>
      <c r="B312" s="231">
        <v>0.1</v>
      </c>
      <c r="C312" s="135">
        <v>12</v>
      </c>
      <c r="D312" s="259" t="s">
        <v>249</v>
      </c>
      <c r="E312" s="137"/>
      <c r="F312" s="1146">
        <v>1100000</v>
      </c>
      <c r="G312" s="138"/>
      <c r="H312" s="139"/>
    </row>
    <row r="313" spans="1:8" ht="18.75">
      <c r="A313" s="346">
        <v>11194</v>
      </c>
      <c r="B313" s="231">
        <v>0.1</v>
      </c>
      <c r="C313" s="135">
        <v>12</v>
      </c>
      <c r="D313" s="259" t="s">
        <v>250</v>
      </c>
      <c r="E313" s="137"/>
      <c r="F313" s="1146">
        <v>1300000</v>
      </c>
      <c r="G313" s="138"/>
      <c r="H313" s="139"/>
    </row>
    <row r="314" spans="1:8" ht="18.75">
      <c r="A314" s="346">
        <v>11289</v>
      </c>
      <c r="B314" s="236">
        <v>0.1</v>
      </c>
      <c r="C314" s="135">
        <v>12</v>
      </c>
      <c r="D314" s="259" t="s">
        <v>251</v>
      </c>
      <c r="E314" s="741"/>
      <c r="F314" s="1146">
        <v>1400000</v>
      </c>
      <c r="G314" s="138"/>
      <c r="H314" s="139"/>
    </row>
    <row r="315" spans="1:8" ht="18.75">
      <c r="A315" s="135">
        <v>11172</v>
      </c>
      <c r="B315" s="236">
        <v>0.1</v>
      </c>
      <c r="C315" s="135">
        <v>12</v>
      </c>
      <c r="D315" s="136" t="s">
        <v>262</v>
      </c>
      <c r="E315" s="741"/>
      <c r="F315" s="143">
        <v>950000</v>
      </c>
      <c r="G315" s="138"/>
      <c r="H315" s="139"/>
    </row>
    <row r="316" spans="1:8" ht="18.75">
      <c r="A316" s="346">
        <v>11224</v>
      </c>
      <c r="B316" s="231">
        <v>0.1</v>
      </c>
      <c r="C316" s="135">
        <v>12</v>
      </c>
      <c r="D316" s="487" t="s">
        <v>265</v>
      </c>
      <c r="E316" s="741"/>
      <c r="F316" s="143">
        <v>850000</v>
      </c>
      <c r="G316" s="138"/>
      <c r="H316" s="139"/>
    </row>
    <row r="317" spans="1:8" ht="18.75">
      <c r="A317" s="346">
        <v>11280</v>
      </c>
      <c r="B317" s="231">
        <v>0.1</v>
      </c>
      <c r="C317" s="133">
        <v>12</v>
      </c>
      <c r="D317" s="136" t="s">
        <v>266</v>
      </c>
      <c r="E317" s="741"/>
      <c r="F317" s="143">
        <v>950000</v>
      </c>
      <c r="G317" s="138"/>
      <c r="H317" s="139"/>
    </row>
    <row r="318" spans="1:8" ht="18.75">
      <c r="A318" s="346">
        <v>11338</v>
      </c>
      <c r="B318" s="231">
        <v>0.1</v>
      </c>
      <c r="C318" s="133">
        <v>12</v>
      </c>
      <c r="D318" s="136" t="s">
        <v>275</v>
      </c>
      <c r="E318" s="741"/>
      <c r="F318" s="1145">
        <v>1036000</v>
      </c>
      <c r="G318" s="138"/>
      <c r="H318" s="139"/>
    </row>
    <row r="319" spans="1:8" ht="18.75">
      <c r="A319" s="362" t="s">
        <v>257</v>
      </c>
      <c r="B319" s="212"/>
      <c r="C319" s="485"/>
      <c r="D319" s="757" t="s">
        <v>258</v>
      </c>
      <c r="E319" s="529" t="s">
        <v>257</v>
      </c>
      <c r="F319" s="1159"/>
      <c r="G319" s="220"/>
      <c r="H319" s="221"/>
    </row>
    <row r="320" spans="1:8" ht="18.75">
      <c r="A320" s="362" t="s">
        <v>257</v>
      </c>
      <c r="B320" s="212"/>
      <c r="C320" s="211"/>
      <c r="D320" s="757" t="s">
        <v>259</v>
      </c>
      <c r="E320" s="529" t="s">
        <v>257</v>
      </c>
      <c r="F320" s="1159"/>
      <c r="G320" s="220"/>
      <c r="H320" s="221"/>
    </row>
    <row r="321" spans="1:8" ht="18.75">
      <c r="A321" s="362" t="s">
        <v>257</v>
      </c>
      <c r="B321" s="212"/>
      <c r="C321" s="211"/>
      <c r="D321" s="277" t="s">
        <v>1517</v>
      </c>
      <c r="E321" s="529" t="s">
        <v>261</v>
      </c>
      <c r="F321" s="1159"/>
      <c r="G321" s="220"/>
      <c r="H321" s="221"/>
    </row>
    <row r="322" spans="1:8" ht="17.25" customHeight="1">
      <c r="A322" s="1189"/>
      <c r="B322" s="1189"/>
      <c r="C322" s="18"/>
      <c r="D322" s="11"/>
      <c r="E322" s="27"/>
      <c r="F322" s="1163">
        <f>SUM(F311:F321)</f>
        <v>8666000</v>
      </c>
      <c r="G322" s="28"/>
      <c r="H322" s="265">
        <f>SUM(H311:H320)</f>
        <v>0</v>
      </c>
    </row>
    <row r="325" spans="1:8" ht="26.25">
      <c r="A325" s="1640" t="s">
        <v>1518</v>
      </c>
      <c r="B325" s="1640"/>
      <c r="C325" s="1640"/>
      <c r="D325" s="1640"/>
      <c r="E325" s="1640"/>
      <c r="F325" s="1640"/>
      <c r="G325" s="1640"/>
      <c r="H325" s="1640"/>
    </row>
    <row r="326" spans="1:8" ht="30.75">
      <c r="A326" s="45" t="s">
        <v>1463</v>
      </c>
      <c r="B326" s="46" t="s">
        <v>1497</v>
      </c>
      <c r="C326" s="46" t="s">
        <v>1465</v>
      </c>
      <c r="D326" s="45" t="s">
        <v>5</v>
      </c>
      <c r="E326" s="47" t="s">
        <v>1466</v>
      </c>
      <c r="F326" s="48" t="s">
        <v>1467</v>
      </c>
      <c r="G326" s="48" t="s">
        <v>7</v>
      </c>
      <c r="H326" s="48" t="s">
        <v>1468</v>
      </c>
    </row>
    <row r="327" spans="1:8" ht="18.75">
      <c r="A327" s="135">
        <v>11170</v>
      </c>
      <c r="B327" s="478">
        <v>0.1</v>
      </c>
      <c r="C327" s="677">
        <v>12</v>
      </c>
      <c r="D327" s="136" t="s">
        <v>224</v>
      </c>
      <c r="E327" s="143"/>
      <c r="F327" s="143">
        <v>900000</v>
      </c>
      <c r="G327" s="138">
        <v>0.06</v>
      </c>
      <c r="H327" s="139">
        <f>F327*G327</f>
        <v>54000</v>
      </c>
    </row>
    <row r="328" spans="1:8" ht="18.75">
      <c r="A328" s="346">
        <v>11169</v>
      </c>
      <c r="B328" s="478">
        <v>0.1</v>
      </c>
      <c r="C328" s="677">
        <v>12</v>
      </c>
      <c r="D328" s="136" t="s">
        <v>226</v>
      </c>
      <c r="E328" s="143"/>
      <c r="F328" s="143">
        <v>960000</v>
      </c>
      <c r="G328" s="138">
        <v>0.06</v>
      </c>
      <c r="H328" s="139">
        <f t="shared" ref="H328:H346" si="15">F328*G328</f>
        <v>57600</v>
      </c>
    </row>
    <row r="329" spans="1:8" ht="18.75">
      <c r="A329" s="135">
        <v>11163</v>
      </c>
      <c r="B329" s="231">
        <v>0.1</v>
      </c>
      <c r="C329" s="677">
        <v>12</v>
      </c>
      <c r="D329" s="136" t="s">
        <v>230</v>
      </c>
      <c r="E329" s="224"/>
      <c r="F329" s="143">
        <v>1150000</v>
      </c>
      <c r="G329" s="138">
        <v>0.06</v>
      </c>
      <c r="H329" s="139">
        <f t="shared" si="15"/>
        <v>69000</v>
      </c>
    </row>
    <row r="330" spans="1:8" ht="18.75">
      <c r="A330" s="135">
        <v>11199</v>
      </c>
      <c r="B330" s="478">
        <v>0.1</v>
      </c>
      <c r="C330" s="238">
        <v>12</v>
      </c>
      <c r="D330" s="136" t="s">
        <v>231</v>
      </c>
      <c r="E330" s="224"/>
      <c r="F330" s="143">
        <v>1100000</v>
      </c>
      <c r="G330" s="138">
        <v>0.06</v>
      </c>
      <c r="H330" s="139">
        <f t="shared" si="15"/>
        <v>66000</v>
      </c>
    </row>
    <row r="331" spans="1:8" ht="18.75">
      <c r="A331" s="488">
        <v>11219</v>
      </c>
      <c r="B331" s="478">
        <v>0.1</v>
      </c>
      <c r="C331" s="677">
        <v>12</v>
      </c>
      <c r="D331" s="136" t="s">
        <v>232</v>
      </c>
      <c r="E331" s="137"/>
      <c r="F331" s="143">
        <v>700000</v>
      </c>
      <c r="G331" s="138">
        <v>0.06</v>
      </c>
      <c r="H331" s="139">
        <f t="shared" si="15"/>
        <v>42000</v>
      </c>
    </row>
    <row r="332" spans="1:8" ht="18.75">
      <c r="A332" s="135">
        <v>11176</v>
      </c>
      <c r="B332" s="478">
        <v>0.1</v>
      </c>
      <c r="C332" s="677">
        <v>12</v>
      </c>
      <c r="D332" s="136" t="s">
        <v>233</v>
      </c>
      <c r="E332" s="137"/>
      <c r="F332" s="143">
        <v>900000</v>
      </c>
      <c r="G332" s="138">
        <v>0.06</v>
      </c>
      <c r="H332" s="139">
        <f t="shared" si="15"/>
        <v>54000</v>
      </c>
    </row>
    <row r="333" spans="1:8" ht="18.75">
      <c r="A333" s="135">
        <v>11249</v>
      </c>
      <c r="B333" s="240">
        <v>0.1</v>
      </c>
      <c r="C333" s="238">
        <v>12</v>
      </c>
      <c r="D333" s="136" t="s">
        <v>235</v>
      </c>
      <c r="E333" s="137"/>
      <c r="F333" s="143">
        <v>1300000</v>
      </c>
      <c r="G333" s="138">
        <v>0.06</v>
      </c>
      <c r="H333" s="139">
        <f t="shared" si="15"/>
        <v>78000</v>
      </c>
    </row>
    <row r="334" spans="1:8" ht="18.75">
      <c r="A334" s="135">
        <v>11190</v>
      </c>
      <c r="B334" s="240">
        <v>0.1</v>
      </c>
      <c r="C334" s="238">
        <v>12</v>
      </c>
      <c r="D334" s="136" t="s">
        <v>236</v>
      </c>
      <c r="E334" s="243"/>
      <c r="F334" s="143">
        <v>1300000</v>
      </c>
      <c r="G334" s="138">
        <v>0.06</v>
      </c>
      <c r="H334" s="139">
        <f t="shared" si="15"/>
        <v>78000</v>
      </c>
    </row>
    <row r="335" spans="1:8" ht="18.75">
      <c r="A335" s="135">
        <v>11240</v>
      </c>
      <c r="B335" s="240">
        <v>0.1</v>
      </c>
      <c r="C335" s="238">
        <v>12</v>
      </c>
      <c r="D335" s="136" t="s">
        <v>237</v>
      </c>
      <c r="E335" s="243"/>
      <c r="F335" s="143">
        <v>2060000</v>
      </c>
      <c r="G335" s="138">
        <v>0.06</v>
      </c>
      <c r="H335" s="139">
        <f t="shared" si="15"/>
        <v>123600</v>
      </c>
    </row>
    <row r="336" spans="1:8" ht="18.75">
      <c r="A336" s="135">
        <v>11244</v>
      </c>
      <c r="B336" s="240">
        <v>0.1</v>
      </c>
      <c r="C336" s="238">
        <v>12</v>
      </c>
      <c r="D336" s="136" t="s">
        <v>238</v>
      </c>
      <c r="E336" s="243"/>
      <c r="F336" s="143">
        <v>1000000</v>
      </c>
      <c r="G336" s="138">
        <v>0.06</v>
      </c>
      <c r="H336" s="139">
        <f t="shared" si="15"/>
        <v>60000</v>
      </c>
    </row>
    <row r="337" spans="1:8" ht="18.75">
      <c r="A337" s="135">
        <v>11220</v>
      </c>
      <c r="B337" s="240">
        <v>0.1</v>
      </c>
      <c r="C337" s="238">
        <v>12</v>
      </c>
      <c r="D337" s="136" t="s">
        <v>1519</v>
      </c>
      <c r="E337" s="243"/>
      <c r="F337" s="143">
        <v>1050000</v>
      </c>
      <c r="G337" s="138">
        <v>0.06</v>
      </c>
      <c r="H337" s="139">
        <f t="shared" si="15"/>
        <v>63000</v>
      </c>
    </row>
    <row r="338" spans="1:8" ht="18.75">
      <c r="A338" s="135">
        <v>11225</v>
      </c>
      <c r="B338" s="240">
        <v>0.1</v>
      </c>
      <c r="C338" s="238">
        <v>12</v>
      </c>
      <c r="D338" s="136" t="s">
        <v>240</v>
      </c>
      <c r="E338" s="243"/>
      <c r="F338" s="143">
        <v>1100000</v>
      </c>
      <c r="G338" s="138">
        <v>0.06</v>
      </c>
      <c r="H338" s="139">
        <f t="shared" si="15"/>
        <v>66000</v>
      </c>
    </row>
    <row r="339" spans="1:8" ht="18.75">
      <c r="A339" s="346">
        <v>11291</v>
      </c>
      <c r="B339" s="240">
        <v>0.1</v>
      </c>
      <c r="C339" s="241">
        <v>12</v>
      </c>
      <c r="D339" s="259" t="s">
        <v>254</v>
      </c>
      <c r="E339" s="141"/>
      <c r="F339" s="1146">
        <v>1330000</v>
      </c>
      <c r="G339" s="138">
        <v>0.06</v>
      </c>
      <c r="H339" s="139">
        <f t="shared" si="15"/>
        <v>79800</v>
      </c>
    </row>
    <row r="340" spans="1:8" ht="18.75">
      <c r="A340" s="346">
        <v>11306</v>
      </c>
      <c r="B340" s="240">
        <v>0.1</v>
      </c>
      <c r="C340" s="241">
        <v>12</v>
      </c>
      <c r="D340" s="259" t="s">
        <v>1520</v>
      </c>
      <c r="E340" s="141"/>
      <c r="F340" s="1146">
        <v>1200000</v>
      </c>
      <c r="G340" s="138">
        <v>0.06</v>
      </c>
      <c r="H340" s="139">
        <f t="shared" si="15"/>
        <v>72000</v>
      </c>
    </row>
    <row r="341" spans="1:8" ht="18.75">
      <c r="A341" s="346">
        <v>11333</v>
      </c>
      <c r="B341" s="478">
        <v>0.1</v>
      </c>
      <c r="C341" s="677">
        <v>12</v>
      </c>
      <c r="D341" s="259" t="s">
        <v>1521</v>
      </c>
      <c r="E341" s="137"/>
      <c r="F341" s="678">
        <v>1000000</v>
      </c>
      <c r="G341" s="138">
        <v>0.06</v>
      </c>
      <c r="H341" s="139">
        <f t="shared" si="15"/>
        <v>60000</v>
      </c>
    </row>
    <row r="342" spans="1:8" ht="18.75">
      <c r="A342" s="135">
        <v>11175</v>
      </c>
      <c r="B342" s="478">
        <v>0.1</v>
      </c>
      <c r="C342" s="677">
        <v>12</v>
      </c>
      <c r="D342" s="136" t="s">
        <v>264</v>
      </c>
      <c r="E342" s="137"/>
      <c r="F342" s="143">
        <v>1100000</v>
      </c>
      <c r="G342" s="138">
        <v>0.06</v>
      </c>
      <c r="H342" s="139">
        <f t="shared" si="15"/>
        <v>66000</v>
      </c>
    </row>
    <row r="343" spans="1:8" ht="18.75">
      <c r="A343" s="346">
        <v>11253</v>
      </c>
      <c r="B343" s="478">
        <v>0.1</v>
      </c>
      <c r="C343" s="677">
        <v>12</v>
      </c>
      <c r="D343" s="136" t="s">
        <v>267</v>
      </c>
      <c r="E343" s="143"/>
      <c r="F343" s="143">
        <v>1150000</v>
      </c>
      <c r="G343" s="138">
        <v>0.06</v>
      </c>
      <c r="H343" s="139">
        <f t="shared" si="15"/>
        <v>69000</v>
      </c>
    </row>
    <row r="344" spans="1:8" ht="18.75">
      <c r="A344" s="556">
        <v>11262</v>
      </c>
      <c r="B344" s="478">
        <v>0.1</v>
      </c>
      <c r="C344" s="677">
        <v>12</v>
      </c>
      <c r="D344" s="136" t="s">
        <v>268</v>
      </c>
      <c r="E344" s="143"/>
      <c r="F344" s="143">
        <v>750000</v>
      </c>
      <c r="G344" s="138">
        <v>0.06</v>
      </c>
      <c r="H344" s="139">
        <f t="shared" si="15"/>
        <v>45000</v>
      </c>
    </row>
    <row r="345" spans="1:8" ht="18.75">
      <c r="A345" s="346">
        <v>11319</v>
      </c>
      <c r="B345" s="188">
        <v>0.1</v>
      </c>
      <c r="C345" s="677">
        <v>12</v>
      </c>
      <c r="D345" s="136" t="s">
        <v>243</v>
      </c>
      <c r="E345" s="143"/>
      <c r="F345" s="143">
        <v>1250000</v>
      </c>
      <c r="G345" s="138">
        <v>0.06</v>
      </c>
      <c r="H345" s="139">
        <f t="shared" si="15"/>
        <v>75000</v>
      </c>
    </row>
    <row r="346" spans="1:8" ht="18.75">
      <c r="A346" s="135">
        <v>11326</v>
      </c>
      <c r="B346" s="188">
        <v>0.1</v>
      </c>
      <c r="C346" s="677">
        <v>6</v>
      </c>
      <c r="D346" s="259" t="s">
        <v>244</v>
      </c>
      <c r="E346" s="137"/>
      <c r="F346" s="678">
        <v>600000</v>
      </c>
      <c r="G346" s="138">
        <v>0.06</v>
      </c>
      <c r="H346" s="139">
        <f t="shared" si="15"/>
        <v>36000</v>
      </c>
    </row>
    <row r="347" spans="1:8" ht="18.75">
      <c r="A347" s="362" t="s">
        <v>245</v>
      </c>
      <c r="B347" s="1205"/>
      <c r="C347" s="489"/>
      <c r="D347" s="277" t="s">
        <v>269</v>
      </c>
      <c r="E347" s="567" t="s">
        <v>270</v>
      </c>
      <c r="F347" s="756"/>
      <c r="G347" s="220"/>
      <c r="H347" s="221"/>
    </row>
    <row r="348" spans="1:8" ht="18.75">
      <c r="A348" s="362" t="s">
        <v>245</v>
      </c>
      <c r="B348" s="1205"/>
      <c r="C348" s="489"/>
      <c r="D348" s="277" t="s">
        <v>271</v>
      </c>
      <c r="E348" s="567" t="s">
        <v>272</v>
      </c>
      <c r="F348" s="756"/>
      <c r="G348" s="220"/>
      <c r="H348" s="221"/>
    </row>
    <row r="349" spans="1:8" ht="18.75">
      <c r="A349" s="1191"/>
      <c r="B349" s="1189"/>
      <c r="C349" s="18"/>
      <c r="D349" s="11"/>
      <c r="E349" s="27"/>
      <c r="F349" s="1163">
        <f>SUM(F327:F346)</f>
        <v>21900000</v>
      </c>
      <c r="G349" s="28"/>
      <c r="H349" s="265">
        <f>SUM(H327:H346)</f>
        <v>1314000</v>
      </c>
    </row>
    <row r="352" spans="1:8" ht="26.25">
      <c r="A352" s="1640" t="s">
        <v>1522</v>
      </c>
      <c r="B352" s="1640"/>
      <c r="C352" s="1640"/>
      <c r="D352" s="1640"/>
      <c r="E352" s="1640"/>
      <c r="F352" s="1640"/>
      <c r="G352" s="1640"/>
      <c r="H352" s="1640"/>
    </row>
    <row r="353" spans="1:9" ht="30.75">
      <c r="A353" s="45" t="s">
        <v>1463</v>
      </c>
      <c r="B353" s="45"/>
      <c r="C353" s="46" t="s">
        <v>1465</v>
      </c>
      <c r="D353" s="45" t="s">
        <v>5</v>
      </c>
      <c r="E353" s="47" t="s">
        <v>1466</v>
      </c>
      <c r="F353" s="48" t="s">
        <v>1467</v>
      </c>
      <c r="G353" s="48" t="s">
        <v>7</v>
      </c>
      <c r="H353" s="48" t="s">
        <v>1468</v>
      </c>
    </row>
    <row r="354" spans="1:9" ht="18">
      <c r="A354" s="494">
        <v>11157</v>
      </c>
      <c r="B354" s="478">
        <v>0.08</v>
      </c>
      <c r="C354" s="677">
        <v>12</v>
      </c>
      <c r="D354" s="136" t="s">
        <v>1523</v>
      </c>
      <c r="E354" s="224"/>
      <c r="F354" s="146">
        <v>1100000</v>
      </c>
      <c r="G354" s="140">
        <v>0.03</v>
      </c>
      <c r="H354" s="139">
        <f>F354*G354</f>
        <v>33000</v>
      </c>
      <c r="I354" s="1171" t="s">
        <v>1524</v>
      </c>
    </row>
    <row r="355" spans="1:9" ht="18">
      <c r="A355" s="135">
        <v>11156</v>
      </c>
      <c r="B355" s="188">
        <v>0.1</v>
      </c>
      <c r="C355" s="677">
        <v>12</v>
      </c>
      <c r="D355" s="136" t="s">
        <v>1525</v>
      </c>
      <c r="E355" s="224"/>
      <c r="F355" s="146">
        <v>950000</v>
      </c>
      <c r="G355" s="138">
        <v>0.04</v>
      </c>
      <c r="H355" s="139">
        <f t="shared" ref="H355:H365" si="16">F355*G355</f>
        <v>38000</v>
      </c>
      <c r="I355" s="1171" t="s">
        <v>1524</v>
      </c>
    </row>
    <row r="356" spans="1:9" ht="18">
      <c r="A356" s="135">
        <v>11191</v>
      </c>
      <c r="B356" s="188">
        <v>0.1</v>
      </c>
      <c r="C356" s="677">
        <v>12</v>
      </c>
      <c r="D356" s="136" t="s">
        <v>1526</v>
      </c>
      <c r="E356" s="224"/>
      <c r="F356" s="146">
        <v>850000</v>
      </c>
      <c r="G356" s="138">
        <v>0.04</v>
      </c>
      <c r="H356" s="139">
        <f t="shared" si="16"/>
        <v>34000</v>
      </c>
      <c r="I356" s="1171" t="s">
        <v>1524</v>
      </c>
    </row>
    <row r="357" spans="1:9" ht="18">
      <c r="A357" s="135">
        <v>11223</v>
      </c>
      <c r="B357" s="188">
        <v>0.1</v>
      </c>
      <c r="C357" s="677">
        <v>12</v>
      </c>
      <c r="D357" s="136" t="s">
        <v>1527</v>
      </c>
      <c r="E357" s="224"/>
      <c r="F357" s="146">
        <v>2000000</v>
      </c>
      <c r="G357" s="138">
        <v>0.04</v>
      </c>
      <c r="H357" s="139">
        <f t="shared" si="16"/>
        <v>80000</v>
      </c>
      <c r="I357" s="1171" t="s">
        <v>1524</v>
      </c>
    </row>
    <row r="358" spans="1:9" ht="18">
      <c r="A358" s="135">
        <v>11229</v>
      </c>
      <c r="B358" s="188">
        <v>0.1</v>
      </c>
      <c r="C358" s="677">
        <v>12</v>
      </c>
      <c r="D358" s="136" t="s">
        <v>1528</v>
      </c>
      <c r="E358" s="224"/>
      <c r="F358" s="146">
        <v>1700000</v>
      </c>
      <c r="G358" s="138">
        <v>0.04</v>
      </c>
      <c r="H358" s="139">
        <f t="shared" si="16"/>
        <v>68000</v>
      </c>
      <c r="I358" s="1171" t="s">
        <v>1524</v>
      </c>
    </row>
    <row r="359" spans="1:9" ht="18">
      <c r="A359" s="135">
        <v>11258</v>
      </c>
      <c r="B359" s="188">
        <v>0.1</v>
      </c>
      <c r="C359" s="677">
        <v>12</v>
      </c>
      <c r="D359" s="136" t="s">
        <v>1529</v>
      </c>
      <c r="E359" s="224"/>
      <c r="F359" s="146">
        <v>1250000</v>
      </c>
      <c r="G359" s="138">
        <v>0.04</v>
      </c>
      <c r="H359" s="139">
        <f t="shared" si="16"/>
        <v>50000</v>
      </c>
      <c r="I359" s="1171" t="s">
        <v>1524</v>
      </c>
    </row>
    <row r="360" spans="1:9" ht="18">
      <c r="A360" s="135">
        <v>11294</v>
      </c>
      <c r="B360" s="188">
        <v>0.1</v>
      </c>
      <c r="C360" s="677">
        <v>12</v>
      </c>
      <c r="D360" s="136" t="s">
        <v>1530</v>
      </c>
      <c r="E360" s="224"/>
      <c r="F360" s="146">
        <v>1130000</v>
      </c>
      <c r="G360" s="138">
        <v>0.04</v>
      </c>
      <c r="H360" s="139">
        <f t="shared" si="16"/>
        <v>45200</v>
      </c>
      <c r="I360" s="1171" t="s">
        <v>1524</v>
      </c>
    </row>
    <row r="361" spans="1:9" ht="18">
      <c r="A361" s="135">
        <v>11276</v>
      </c>
      <c r="B361" s="188">
        <v>0.08</v>
      </c>
      <c r="C361" s="677">
        <v>12</v>
      </c>
      <c r="D361" s="136" t="s">
        <v>1531</v>
      </c>
      <c r="E361" s="224"/>
      <c r="F361" s="146">
        <v>4500000</v>
      </c>
      <c r="G361" s="140">
        <v>0.03</v>
      </c>
      <c r="H361" s="139">
        <f t="shared" si="16"/>
        <v>135000</v>
      </c>
      <c r="I361" s="1171" t="s">
        <v>1524</v>
      </c>
    </row>
    <row r="362" spans="1:9" ht="18">
      <c r="A362" s="135">
        <v>11339</v>
      </c>
      <c r="B362" s="188">
        <v>0.1</v>
      </c>
      <c r="C362" s="1179">
        <v>12</v>
      </c>
      <c r="D362" s="259" t="s">
        <v>1532</v>
      </c>
      <c r="E362" s="224"/>
      <c r="F362" s="146">
        <v>1000000</v>
      </c>
      <c r="G362" s="478">
        <v>0.04</v>
      </c>
      <c r="H362" s="139">
        <f t="shared" si="16"/>
        <v>40000</v>
      </c>
      <c r="I362" s="1171" t="s">
        <v>1524</v>
      </c>
    </row>
    <row r="363" spans="1:9" ht="18">
      <c r="A363" s="346">
        <v>11284</v>
      </c>
      <c r="B363" s="188">
        <v>0.1</v>
      </c>
      <c r="C363" s="677">
        <v>12</v>
      </c>
      <c r="D363" s="216" t="s">
        <v>253</v>
      </c>
      <c r="E363" s="224"/>
      <c r="F363" s="146">
        <v>1300000</v>
      </c>
      <c r="G363" s="138">
        <v>0.04</v>
      </c>
      <c r="H363" s="139">
        <f t="shared" si="16"/>
        <v>52000</v>
      </c>
      <c r="I363" s="1171"/>
    </row>
    <row r="364" spans="1:9" ht="18.75">
      <c r="A364" s="135">
        <v>11304</v>
      </c>
      <c r="B364" s="188">
        <v>0.1</v>
      </c>
      <c r="C364" s="677">
        <v>12</v>
      </c>
      <c r="D364" s="136" t="s">
        <v>1533</v>
      </c>
      <c r="E364" s="224"/>
      <c r="F364" s="146">
        <v>950000</v>
      </c>
      <c r="G364" s="138">
        <v>0.04</v>
      </c>
      <c r="H364" s="139">
        <f t="shared" si="16"/>
        <v>38000</v>
      </c>
    </row>
    <row r="365" spans="1:9" ht="18.75">
      <c r="A365" s="346">
        <v>11308</v>
      </c>
      <c r="B365" s="188">
        <v>0.1</v>
      </c>
      <c r="C365" s="677">
        <v>12</v>
      </c>
      <c r="D365" s="259" t="s">
        <v>241</v>
      </c>
      <c r="E365" s="224"/>
      <c r="F365" s="146">
        <v>1300000</v>
      </c>
      <c r="G365" s="138">
        <v>0.04</v>
      </c>
      <c r="H365" s="139">
        <f t="shared" si="16"/>
        <v>52000</v>
      </c>
    </row>
    <row r="366" spans="1:9" ht="18.75">
      <c r="A366" s="485" t="s">
        <v>297</v>
      </c>
      <c r="B366" s="348"/>
      <c r="C366" s="1217"/>
      <c r="D366" s="757" t="s">
        <v>1534</v>
      </c>
      <c r="E366" s="546" t="s">
        <v>247</v>
      </c>
      <c r="F366" s="496"/>
      <c r="G366" s="220"/>
      <c r="H366" s="221"/>
    </row>
    <row r="367" spans="1:9" ht="18.75">
      <c r="A367" s="485" t="s">
        <v>257</v>
      </c>
      <c r="B367" s="348"/>
      <c r="C367" s="1217"/>
      <c r="D367" s="757" t="s">
        <v>1535</v>
      </c>
      <c r="E367" s="569" t="s">
        <v>257</v>
      </c>
      <c r="F367" s="496"/>
      <c r="G367" s="220"/>
      <c r="H367" s="221"/>
    </row>
    <row r="368" spans="1:9" ht="18.75">
      <c r="A368" s="1189"/>
      <c r="B368" s="1204"/>
      <c r="C368" s="60"/>
      <c r="D368" s="11"/>
      <c r="E368" s="27"/>
      <c r="F368" s="1163">
        <f>SUM(F354:F367)</f>
        <v>18030000</v>
      </c>
      <c r="G368" s="28"/>
      <c r="H368" s="265">
        <f>SUM(H354:H367)</f>
        <v>665200</v>
      </c>
    </row>
    <row r="371" spans="1:8" ht="26.25">
      <c r="A371" s="1640" t="s">
        <v>1536</v>
      </c>
      <c r="B371" s="1640"/>
      <c r="C371" s="1640"/>
      <c r="D371" s="1640"/>
      <c r="E371" s="1640"/>
      <c r="F371" s="1640"/>
      <c r="G371" s="1640"/>
      <c r="H371" s="1640"/>
    </row>
    <row r="372" spans="1:8" ht="30.75">
      <c r="A372" s="45" t="s">
        <v>1463</v>
      </c>
      <c r="B372" s="46" t="s">
        <v>1497</v>
      </c>
      <c r="C372" s="46" t="s">
        <v>1465</v>
      </c>
      <c r="D372" s="45" t="s">
        <v>5</v>
      </c>
      <c r="E372" s="47" t="s">
        <v>1466</v>
      </c>
      <c r="F372" s="48" t="s">
        <v>1467</v>
      </c>
      <c r="G372" s="48" t="s">
        <v>7</v>
      </c>
      <c r="H372" s="48" t="s">
        <v>1468</v>
      </c>
    </row>
    <row r="373" spans="1:8" ht="18.75">
      <c r="A373" s="135">
        <v>11151</v>
      </c>
      <c r="B373" s="231">
        <v>0.1</v>
      </c>
      <c r="C373" s="135">
        <v>12</v>
      </c>
      <c r="D373" s="136" t="s">
        <v>229</v>
      </c>
      <c r="E373" s="741"/>
      <c r="F373" s="143">
        <v>1080000</v>
      </c>
      <c r="G373" s="138">
        <v>0.03</v>
      </c>
      <c r="H373" s="139"/>
    </row>
    <row r="374" spans="1:8" ht="18.75">
      <c r="A374" s="135">
        <v>11155</v>
      </c>
      <c r="B374" s="231">
        <v>0.1</v>
      </c>
      <c r="C374" s="135">
        <v>12</v>
      </c>
      <c r="D374" s="259" t="s">
        <v>249</v>
      </c>
      <c r="E374" s="137"/>
      <c r="F374" s="1146">
        <v>1100000</v>
      </c>
      <c r="G374" s="138">
        <v>0.03</v>
      </c>
      <c r="H374" s="139"/>
    </row>
    <row r="375" spans="1:8" ht="18.75">
      <c r="A375" s="346">
        <v>11194</v>
      </c>
      <c r="B375" s="231">
        <v>0.1</v>
      </c>
      <c r="C375" s="135">
        <v>12</v>
      </c>
      <c r="D375" s="259" t="s">
        <v>250</v>
      </c>
      <c r="E375" s="137"/>
      <c r="F375" s="1146">
        <v>1300000</v>
      </c>
      <c r="G375" s="138">
        <v>0.03</v>
      </c>
      <c r="H375" s="139"/>
    </row>
    <row r="376" spans="1:8" ht="18.75">
      <c r="A376" s="346">
        <v>11289</v>
      </c>
      <c r="B376" s="236">
        <v>0.1</v>
      </c>
      <c r="C376" s="135">
        <v>12</v>
      </c>
      <c r="D376" s="259" t="s">
        <v>251</v>
      </c>
      <c r="E376" s="741"/>
      <c r="F376" s="1146">
        <v>1400000</v>
      </c>
      <c r="G376" s="138">
        <v>0.03</v>
      </c>
      <c r="H376" s="139"/>
    </row>
    <row r="377" spans="1:8" ht="18.75">
      <c r="A377" s="135">
        <v>11172</v>
      </c>
      <c r="B377" s="236">
        <v>0.1</v>
      </c>
      <c r="C377" s="135">
        <v>12</v>
      </c>
      <c r="D377" s="136" t="s">
        <v>262</v>
      </c>
      <c r="E377" s="741"/>
      <c r="F377" s="143">
        <v>950000</v>
      </c>
      <c r="G377" s="138">
        <v>0.03</v>
      </c>
      <c r="H377" s="139"/>
    </row>
    <row r="378" spans="1:8" ht="18.75">
      <c r="A378" s="346">
        <v>11224</v>
      </c>
      <c r="B378" s="231">
        <v>0.1</v>
      </c>
      <c r="C378" s="135">
        <v>12</v>
      </c>
      <c r="D378" s="487" t="s">
        <v>265</v>
      </c>
      <c r="E378" s="741"/>
      <c r="F378" s="143">
        <v>850000</v>
      </c>
      <c r="G378" s="138">
        <v>0.03</v>
      </c>
      <c r="H378" s="139"/>
    </row>
    <row r="379" spans="1:8" ht="18.75">
      <c r="A379" s="346">
        <v>11280</v>
      </c>
      <c r="B379" s="231">
        <v>0.1</v>
      </c>
      <c r="C379" s="133">
        <v>12</v>
      </c>
      <c r="D379" s="136" t="s">
        <v>266</v>
      </c>
      <c r="E379" s="741"/>
      <c r="F379" s="143">
        <v>950000</v>
      </c>
      <c r="G379" s="138">
        <v>0.03</v>
      </c>
      <c r="H379" s="139"/>
    </row>
    <row r="380" spans="1:8" ht="18.75">
      <c r="A380" s="346">
        <v>11338</v>
      </c>
      <c r="B380" s="231">
        <v>0.1</v>
      </c>
      <c r="C380" s="133">
        <v>12</v>
      </c>
      <c r="D380" s="136" t="s">
        <v>275</v>
      </c>
      <c r="E380" s="741"/>
      <c r="F380" s="1145">
        <v>1036000</v>
      </c>
      <c r="G380" s="138">
        <v>0.03</v>
      </c>
      <c r="H380" s="139"/>
    </row>
    <row r="381" spans="1:8" ht="18.75">
      <c r="A381" s="135">
        <v>11170</v>
      </c>
      <c r="B381" s="478">
        <v>0.1</v>
      </c>
      <c r="C381" s="677">
        <v>12</v>
      </c>
      <c r="D381" s="136" t="s">
        <v>224</v>
      </c>
      <c r="E381" s="143"/>
      <c r="F381" s="143">
        <v>900000</v>
      </c>
      <c r="G381" s="138">
        <v>0.03</v>
      </c>
      <c r="H381" s="139"/>
    </row>
    <row r="382" spans="1:8" ht="18.75">
      <c r="A382" s="346">
        <v>11169</v>
      </c>
      <c r="B382" s="478">
        <v>0.1</v>
      </c>
      <c r="C382" s="677">
        <v>12</v>
      </c>
      <c r="D382" s="136" t="s">
        <v>226</v>
      </c>
      <c r="E382" s="143"/>
      <c r="F382" s="143">
        <v>960000</v>
      </c>
      <c r="G382" s="138">
        <v>0.03</v>
      </c>
      <c r="H382" s="139"/>
    </row>
    <row r="383" spans="1:8" ht="18.75">
      <c r="A383" s="135">
        <v>11163</v>
      </c>
      <c r="B383" s="231">
        <v>0.1</v>
      </c>
      <c r="C383" s="677">
        <v>12</v>
      </c>
      <c r="D383" s="136" t="s">
        <v>230</v>
      </c>
      <c r="E383" s="224"/>
      <c r="F383" s="143">
        <v>1150000</v>
      </c>
      <c r="G383" s="138">
        <v>0.03</v>
      </c>
      <c r="H383" s="139"/>
    </row>
    <row r="384" spans="1:8" ht="18.75">
      <c r="A384" s="135">
        <v>11199</v>
      </c>
      <c r="B384" s="478">
        <v>0.1</v>
      </c>
      <c r="C384" s="238">
        <v>12</v>
      </c>
      <c r="D384" s="136" t="s">
        <v>231</v>
      </c>
      <c r="E384" s="224"/>
      <c r="F384" s="143">
        <v>1100000</v>
      </c>
      <c r="G384" s="138">
        <v>0.03</v>
      </c>
      <c r="H384" s="139"/>
    </row>
    <row r="385" spans="1:8" ht="18.75">
      <c r="A385" s="488">
        <v>11219</v>
      </c>
      <c r="B385" s="478">
        <v>0.1</v>
      </c>
      <c r="C385" s="677">
        <v>12</v>
      </c>
      <c r="D385" s="136" t="s">
        <v>232</v>
      </c>
      <c r="E385" s="137"/>
      <c r="F385" s="143">
        <v>700000</v>
      </c>
      <c r="G385" s="138">
        <v>0.03</v>
      </c>
      <c r="H385" s="139"/>
    </row>
    <row r="386" spans="1:8" ht="18.75">
      <c r="A386" s="135">
        <v>11176</v>
      </c>
      <c r="B386" s="478">
        <v>0.1</v>
      </c>
      <c r="C386" s="677">
        <v>12</v>
      </c>
      <c r="D386" s="136" t="s">
        <v>233</v>
      </c>
      <c r="E386" s="137"/>
      <c r="F386" s="143">
        <v>900000</v>
      </c>
      <c r="G386" s="138">
        <v>0.03</v>
      </c>
      <c r="H386" s="139"/>
    </row>
    <row r="387" spans="1:8" ht="18.75">
      <c r="A387" s="135">
        <v>11249</v>
      </c>
      <c r="B387" s="240">
        <v>0.1</v>
      </c>
      <c r="C387" s="238">
        <v>12</v>
      </c>
      <c r="D387" s="136" t="s">
        <v>235</v>
      </c>
      <c r="E387" s="137"/>
      <c r="F387" s="143">
        <v>1300000</v>
      </c>
      <c r="G387" s="138">
        <v>0.03</v>
      </c>
      <c r="H387" s="139"/>
    </row>
    <row r="388" spans="1:8" ht="18.75">
      <c r="A388" s="135">
        <v>11190</v>
      </c>
      <c r="B388" s="240">
        <v>0.1</v>
      </c>
      <c r="C388" s="238">
        <v>12</v>
      </c>
      <c r="D388" s="136" t="s">
        <v>236</v>
      </c>
      <c r="E388" s="243"/>
      <c r="F388" s="143">
        <v>1300000</v>
      </c>
      <c r="G388" s="138">
        <v>0.03</v>
      </c>
      <c r="H388" s="139"/>
    </row>
    <row r="389" spans="1:8" ht="18.75">
      <c r="A389" s="135">
        <v>11240</v>
      </c>
      <c r="B389" s="240">
        <v>0.1</v>
      </c>
      <c r="C389" s="238">
        <v>12</v>
      </c>
      <c r="D389" s="136" t="s">
        <v>237</v>
      </c>
      <c r="E389" s="243"/>
      <c r="F389" s="143">
        <v>2060000</v>
      </c>
      <c r="G389" s="138">
        <v>0.03</v>
      </c>
      <c r="H389" s="139"/>
    </row>
    <row r="390" spans="1:8" ht="18.75">
      <c r="A390" s="135">
        <v>11244</v>
      </c>
      <c r="B390" s="240">
        <v>0.1</v>
      </c>
      <c r="C390" s="238">
        <v>12</v>
      </c>
      <c r="D390" s="136" t="s">
        <v>238</v>
      </c>
      <c r="E390" s="243"/>
      <c r="F390" s="143">
        <v>1000000</v>
      </c>
      <c r="G390" s="138">
        <v>0.03</v>
      </c>
      <c r="H390" s="139"/>
    </row>
    <row r="391" spans="1:8" ht="18.75">
      <c r="A391" s="135">
        <v>11220</v>
      </c>
      <c r="B391" s="240">
        <v>0.1</v>
      </c>
      <c r="C391" s="238">
        <v>12</v>
      </c>
      <c r="D391" s="136" t="s">
        <v>1519</v>
      </c>
      <c r="E391" s="243"/>
      <c r="F391" s="143">
        <v>1050000</v>
      </c>
      <c r="G391" s="138">
        <v>0.03</v>
      </c>
      <c r="H391" s="139"/>
    </row>
    <row r="392" spans="1:8" ht="18.75">
      <c r="A392" s="135">
        <v>11225</v>
      </c>
      <c r="B392" s="240">
        <v>0.1</v>
      </c>
      <c r="C392" s="238">
        <v>12</v>
      </c>
      <c r="D392" s="136" t="s">
        <v>240</v>
      </c>
      <c r="E392" s="243"/>
      <c r="F392" s="143">
        <v>1100000</v>
      </c>
      <c r="G392" s="138">
        <v>0.03</v>
      </c>
      <c r="H392" s="139"/>
    </row>
    <row r="393" spans="1:8" ht="18.75">
      <c r="A393" s="346">
        <v>11291</v>
      </c>
      <c r="B393" s="240">
        <v>0.1</v>
      </c>
      <c r="C393" s="241">
        <v>12</v>
      </c>
      <c r="D393" s="259" t="s">
        <v>254</v>
      </c>
      <c r="E393" s="141"/>
      <c r="F393" s="1146">
        <v>1330000</v>
      </c>
      <c r="G393" s="138">
        <v>0.03</v>
      </c>
      <c r="H393" s="139"/>
    </row>
    <row r="394" spans="1:8" ht="18.75">
      <c r="A394" s="346">
        <v>11306</v>
      </c>
      <c r="B394" s="240">
        <v>0.1</v>
      </c>
      <c r="C394" s="241">
        <v>12</v>
      </c>
      <c r="D394" s="259" t="s">
        <v>1520</v>
      </c>
      <c r="E394" s="141"/>
      <c r="F394" s="1146">
        <v>1200000</v>
      </c>
      <c r="G394" s="138">
        <v>0.03</v>
      </c>
      <c r="H394" s="139"/>
    </row>
    <row r="395" spans="1:8" ht="18.75">
      <c r="A395" s="346">
        <v>11333</v>
      </c>
      <c r="B395" s="478">
        <v>0.1</v>
      </c>
      <c r="C395" s="677">
        <v>12</v>
      </c>
      <c r="D395" s="259" t="s">
        <v>1521</v>
      </c>
      <c r="E395" s="137"/>
      <c r="F395" s="678">
        <v>1000000</v>
      </c>
      <c r="G395" s="138">
        <v>0.03</v>
      </c>
      <c r="H395" s="139"/>
    </row>
    <row r="396" spans="1:8" ht="18.75">
      <c r="A396" s="135">
        <v>11175</v>
      </c>
      <c r="B396" s="478">
        <v>0.1</v>
      </c>
      <c r="C396" s="677">
        <v>12</v>
      </c>
      <c r="D396" s="136" t="s">
        <v>264</v>
      </c>
      <c r="E396" s="137"/>
      <c r="F396" s="143">
        <v>1100000</v>
      </c>
      <c r="G396" s="138">
        <v>0.03</v>
      </c>
      <c r="H396" s="139"/>
    </row>
    <row r="397" spans="1:8" ht="18.75">
      <c r="A397" s="346">
        <v>11253</v>
      </c>
      <c r="B397" s="478">
        <v>0.1</v>
      </c>
      <c r="C397" s="677">
        <v>12</v>
      </c>
      <c r="D397" s="136" t="s">
        <v>267</v>
      </c>
      <c r="E397" s="143"/>
      <c r="F397" s="143">
        <v>1150000</v>
      </c>
      <c r="G397" s="138">
        <v>0.03</v>
      </c>
      <c r="H397" s="139"/>
    </row>
    <row r="398" spans="1:8" ht="18.75">
      <c r="A398" s="346">
        <v>11262</v>
      </c>
      <c r="B398" s="478">
        <v>0.1</v>
      </c>
      <c r="C398" s="677">
        <v>12</v>
      </c>
      <c r="D398" s="136" t="s">
        <v>268</v>
      </c>
      <c r="E398" s="143"/>
      <c r="F398" s="143">
        <v>750000</v>
      </c>
      <c r="G398" s="138">
        <v>0.03</v>
      </c>
      <c r="H398" s="139"/>
    </row>
    <row r="399" spans="1:8" ht="18.75">
      <c r="A399" s="346">
        <v>11284</v>
      </c>
      <c r="B399" s="188">
        <v>0.1</v>
      </c>
      <c r="C399" s="677">
        <v>12</v>
      </c>
      <c r="D399" s="216" t="s">
        <v>253</v>
      </c>
      <c r="E399" s="224"/>
      <c r="F399" s="146">
        <v>1300000</v>
      </c>
      <c r="G399" s="138">
        <v>0.03</v>
      </c>
      <c r="H399" s="178"/>
    </row>
    <row r="400" spans="1:8" ht="18.75">
      <c r="A400" s="135">
        <v>11304</v>
      </c>
      <c r="B400" s="188">
        <v>0.1</v>
      </c>
      <c r="C400" s="677">
        <v>12</v>
      </c>
      <c r="D400" s="136" t="s">
        <v>1533</v>
      </c>
      <c r="E400" s="224"/>
      <c r="F400" s="146">
        <v>950000</v>
      </c>
      <c r="G400" s="138">
        <v>0.03</v>
      </c>
      <c r="H400" s="178"/>
    </row>
    <row r="401" spans="1:8" ht="18.75">
      <c r="A401" s="556">
        <v>11308</v>
      </c>
      <c r="B401" s="1206">
        <v>0.1</v>
      </c>
      <c r="C401" s="677">
        <v>12</v>
      </c>
      <c r="D401" s="259" t="s">
        <v>241</v>
      </c>
      <c r="E401" s="224"/>
      <c r="F401" s="146">
        <v>1300000</v>
      </c>
      <c r="G401" s="138">
        <v>0.03</v>
      </c>
      <c r="H401" s="178"/>
    </row>
    <row r="402" spans="1:8" ht="18.75">
      <c r="A402" s="346">
        <v>11319</v>
      </c>
      <c r="B402" s="478">
        <v>0.1</v>
      </c>
      <c r="C402" s="1179">
        <v>12</v>
      </c>
      <c r="D402" s="259" t="s">
        <v>243</v>
      </c>
      <c r="E402" s="224"/>
      <c r="F402" s="146">
        <v>1250000</v>
      </c>
      <c r="G402" s="138">
        <v>0.03</v>
      </c>
      <c r="H402" s="178"/>
    </row>
    <row r="403" spans="1:8" ht="18.75">
      <c r="A403" s="561">
        <v>11326</v>
      </c>
      <c r="B403" s="1207">
        <v>0.1</v>
      </c>
      <c r="C403" s="677">
        <v>6</v>
      </c>
      <c r="D403" s="259" t="s">
        <v>244</v>
      </c>
      <c r="E403" s="137"/>
      <c r="F403" s="678">
        <v>600000</v>
      </c>
      <c r="G403" s="138">
        <v>0.03</v>
      </c>
      <c r="H403" s="178"/>
    </row>
    <row r="404" spans="1:8" ht="16.5" customHeight="1">
      <c r="A404" s="1192"/>
      <c r="B404" s="1192"/>
      <c r="C404" s="1192"/>
      <c r="D404" s="1192"/>
      <c r="E404" s="156" t="s">
        <v>34</v>
      </c>
      <c r="F404" s="1164">
        <f>SUM(F373:F403)</f>
        <v>34116000</v>
      </c>
      <c r="G404" s="14"/>
      <c r="H404" s="14"/>
    </row>
    <row r="407" spans="1:8" ht="26.25">
      <c r="A407" s="1643" t="s">
        <v>1537</v>
      </c>
      <c r="B407" s="1643"/>
      <c r="C407" s="1643"/>
      <c r="D407" s="1643"/>
      <c r="E407" s="1643"/>
      <c r="F407" s="1643"/>
      <c r="G407" s="1643"/>
      <c r="H407" s="1643"/>
    </row>
    <row r="409" spans="1:8" ht="26.25">
      <c r="A409" s="1640" t="s">
        <v>1538</v>
      </c>
      <c r="B409" s="1640"/>
      <c r="C409" s="1640"/>
      <c r="D409" s="1640"/>
      <c r="E409" s="1640"/>
      <c r="F409" s="1640"/>
      <c r="G409" s="1640"/>
      <c r="H409" s="1640"/>
    </row>
    <row r="410" spans="1:8" ht="30.75">
      <c r="A410" s="45" t="s">
        <v>1463</v>
      </c>
      <c r="B410" s="46" t="s">
        <v>1497</v>
      </c>
      <c r="C410" s="46" t="s">
        <v>1465</v>
      </c>
      <c r="D410" s="45" t="s">
        <v>5</v>
      </c>
      <c r="E410" s="47" t="s">
        <v>1466</v>
      </c>
      <c r="F410" s="48" t="s">
        <v>1467</v>
      </c>
      <c r="G410" s="48" t="s">
        <v>7</v>
      </c>
      <c r="H410" s="48" t="s">
        <v>1468</v>
      </c>
    </row>
    <row r="411" spans="1:8" ht="18.75">
      <c r="A411" s="135">
        <v>11345</v>
      </c>
      <c r="B411" s="478">
        <v>0.1</v>
      </c>
      <c r="C411" s="677">
        <v>12</v>
      </c>
      <c r="D411" s="350" t="s">
        <v>277</v>
      </c>
      <c r="E411" s="143"/>
      <c r="F411" s="558">
        <v>1200000</v>
      </c>
      <c r="G411" s="138">
        <v>0.06</v>
      </c>
      <c r="H411" s="139">
        <f>F411*G411</f>
        <v>72000</v>
      </c>
    </row>
    <row r="412" spans="1:8" ht="18.75">
      <c r="A412" s="346">
        <v>11362</v>
      </c>
      <c r="B412" s="478">
        <v>0.1</v>
      </c>
      <c r="C412" s="677">
        <v>12</v>
      </c>
      <c r="D412" s="242" t="s">
        <v>280</v>
      </c>
      <c r="E412" s="143"/>
      <c r="F412" s="143">
        <v>1250000</v>
      </c>
      <c r="G412" s="138">
        <v>0.06</v>
      </c>
      <c r="H412" s="139">
        <f t="shared" ref="H412:H431" si="17">F412*G412</f>
        <v>75000</v>
      </c>
    </row>
    <row r="413" spans="1:8" ht="18.75">
      <c r="A413" s="135">
        <v>11396</v>
      </c>
      <c r="B413" s="231">
        <v>0.1</v>
      </c>
      <c r="C413" s="677">
        <v>12</v>
      </c>
      <c r="D413" s="136" t="s">
        <v>282</v>
      </c>
      <c r="E413" s="224"/>
      <c r="F413" s="143">
        <v>1200000</v>
      </c>
      <c r="G413" s="138">
        <v>0.06</v>
      </c>
      <c r="H413" s="139">
        <f t="shared" si="17"/>
        <v>72000</v>
      </c>
    </row>
    <row r="414" spans="1:8" ht="18.75">
      <c r="A414" s="135">
        <v>11403</v>
      </c>
      <c r="B414" s="231">
        <v>0.1</v>
      </c>
      <c r="C414" s="891">
        <v>12</v>
      </c>
      <c r="D414" s="136" t="s">
        <v>285</v>
      </c>
      <c r="E414" s="224"/>
      <c r="F414" s="143">
        <v>1500000</v>
      </c>
      <c r="G414" s="138">
        <v>0.06</v>
      </c>
      <c r="H414" s="139">
        <f t="shared" si="17"/>
        <v>90000</v>
      </c>
    </row>
    <row r="415" spans="1:8" ht="18.75">
      <c r="A415" s="488">
        <v>11446</v>
      </c>
      <c r="B415" s="478">
        <v>0.1</v>
      </c>
      <c r="C415" s="238">
        <v>12</v>
      </c>
      <c r="D415" s="136" t="s">
        <v>290</v>
      </c>
      <c r="E415" s="224"/>
      <c r="F415" s="143">
        <v>1000000</v>
      </c>
      <c r="G415" s="138">
        <v>0.06</v>
      </c>
      <c r="H415" s="139">
        <f t="shared" si="17"/>
        <v>60000</v>
      </c>
    </row>
    <row r="416" spans="1:8" ht="18.75">
      <c r="A416" s="346">
        <v>11510</v>
      </c>
      <c r="B416" s="478">
        <v>0.1</v>
      </c>
      <c r="C416" s="677">
        <v>12</v>
      </c>
      <c r="D416" s="136" t="s">
        <v>291</v>
      </c>
      <c r="E416" s="137"/>
      <c r="F416" s="1146">
        <v>1150000</v>
      </c>
      <c r="G416" s="138">
        <v>0.06</v>
      </c>
      <c r="H416" s="139">
        <f t="shared" si="17"/>
        <v>69000</v>
      </c>
    </row>
    <row r="417" spans="1:8" ht="18.75">
      <c r="A417" s="135">
        <v>11504</v>
      </c>
      <c r="B417" s="478">
        <v>0.1</v>
      </c>
      <c r="C417" s="677">
        <v>12</v>
      </c>
      <c r="D417" s="136" t="s">
        <v>295</v>
      </c>
      <c r="E417" s="137"/>
      <c r="F417" s="143">
        <v>650000</v>
      </c>
      <c r="G417" s="138">
        <v>0.06</v>
      </c>
      <c r="H417" s="139">
        <f t="shared" si="17"/>
        <v>39000</v>
      </c>
    </row>
    <row r="418" spans="1:8" ht="18.75">
      <c r="A418" s="135">
        <v>11515</v>
      </c>
      <c r="B418" s="240">
        <v>0.1</v>
      </c>
      <c r="C418" s="238">
        <v>12</v>
      </c>
      <c r="D418" s="136" t="s">
        <v>294</v>
      </c>
      <c r="E418" s="137"/>
      <c r="F418" s="143">
        <v>1200000</v>
      </c>
      <c r="G418" s="138">
        <v>0.06</v>
      </c>
      <c r="H418" s="139">
        <f t="shared" si="17"/>
        <v>72000</v>
      </c>
    </row>
    <row r="419" spans="1:8" ht="18.75">
      <c r="A419" s="135">
        <v>11498</v>
      </c>
      <c r="B419" s="240">
        <v>0.1</v>
      </c>
      <c r="C419" s="238">
        <v>12</v>
      </c>
      <c r="D419" s="136" t="s">
        <v>292</v>
      </c>
      <c r="E419" s="243"/>
      <c r="F419" s="143">
        <v>650000</v>
      </c>
      <c r="G419" s="138">
        <v>0.06</v>
      </c>
      <c r="H419" s="139">
        <f t="shared" si="17"/>
        <v>39000</v>
      </c>
    </row>
    <row r="420" spans="1:8" ht="18.75">
      <c r="A420" s="135">
        <v>11378</v>
      </c>
      <c r="B420" s="240">
        <v>0.1</v>
      </c>
      <c r="C420" s="238">
        <v>12</v>
      </c>
      <c r="D420" s="259" t="s">
        <v>303</v>
      </c>
      <c r="E420" s="243"/>
      <c r="F420" s="1146">
        <v>1300000</v>
      </c>
      <c r="G420" s="138">
        <v>0.06</v>
      </c>
      <c r="H420" s="139">
        <f t="shared" si="17"/>
        <v>78000</v>
      </c>
    </row>
    <row r="421" spans="1:8" ht="18.75">
      <c r="A421" s="346">
        <v>11404</v>
      </c>
      <c r="B421" s="240">
        <v>0.1</v>
      </c>
      <c r="C421" s="238">
        <v>12</v>
      </c>
      <c r="D421" s="259" t="s">
        <v>304</v>
      </c>
      <c r="E421" s="243"/>
      <c r="F421" s="1146">
        <v>1200000</v>
      </c>
      <c r="G421" s="138">
        <v>0.06</v>
      </c>
      <c r="H421" s="139">
        <f t="shared" si="17"/>
        <v>72000</v>
      </c>
    </row>
    <row r="422" spans="1:8" ht="18.75">
      <c r="A422" s="346">
        <v>11389</v>
      </c>
      <c r="B422" s="1119">
        <v>0.1</v>
      </c>
      <c r="C422" s="677">
        <v>12</v>
      </c>
      <c r="D422" s="259" t="s">
        <v>283</v>
      </c>
      <c r="E422" s="143"/>
      <c r="F422" s="1146">
        <v>1400000</v>
      </c>
      <c r="G422" s="138">
        <v>0.06</v>
      </c>
      <c r="H422" s="139">
        <f t="shared" si="17"/>
        <v>84000</v>
      </c>
    </row>
    <row r="423" spans="1:8" ht="18.75">
      <c r="A423" s="488">
        <v>11437</v>
      </c>
      <c r="B423" s="478">
        <v>0.1</v>
      </c>
      <c r="C423" s="1179">
        <v>12</v>
      </c>
      <c r="D423" s="259" t="s">
        <v>308</v>
      </c>
      <c r="E423" s="143"/>
      <c r="F423" s="1146">
        <v>800000</v>
      </c>
      <c r="G423" s="138">
        <v>0.06</v>
      </c>
      <c r="H423" s="139">
        <f t="shared" si="17"/>
        <v>48000</v>
      </c>
    </row>
    <row r="424" spans="1:8" ht="18.75">
      <c r="A424" s="346">
        <v>11454</v>
      </c>
      <c r="B424" s="1208">
        <v>0.1</v>
      </c>
      <c r="C424" s="677">
        <v>12</v>
      </c>
      <c r="D424" s="259" t="s">
        <v>309</v>
      </c>
      <c r="E424" s="137"/>
      <c r="F424" s="1146">
        <v>1300000</v>
      </c>
      <c r="G424" s="138">
        <v>0.06</v>
      </c>
      <c r="H424" s="139">
        <f t="shared" si="17"/>
        <v>78000</v>
      </c>
    </row>
    <row r="425" spans="1:8" ht="18.75">
      <c r="A425" s="346">
        <v>11478</v>
      </c>
      <c r="B425" s="188">
        <v>0.1</v>
      </c>
      <c r="C425" s="677">
        <v>12</v>
      </c>
      <c r="D425" s="259" t="s">
        <v>312</v>
      </c>
      <c r="E425" s="581"/>
      <c r="F425" s="678">
        <v>1200000</v>
      </c>
      <c r="G425" s="138">
        <v>0.06</v>
      </c>
      <c r="H425" s="139">
        <f t="shared" si="17"/>
        <v>72000</v>
      </c>
    </row>
    <row r="426" spans="1:8" ht="18.75">
      <c r="A426" s="346">
        <v>11359</v>
      </c>
      <c r="B426" s="188">
        <v>0.1</v>
      </c>
      <c r="C426" s="677">
        <v>12</v>
      </c>
      <c r="D426" s="136" t="s">
        <v>313</v>
      </c>
      <c r="E426" s="581"/>
      <c r="F426" s="143">
        <v>680000</v>
      </c>
      <c r="G426" s="138">
        <v>0.06</v>
      </c>
      <c r="H426" s="139">
        <f t="shared" si="17"/>
        <v>40800</v>
      </c>
    </row>
    <row r="427" spans="1:8" ht="18.75">
      <c r="A427" s="135">
        <v>11400</v>
      </c>
      <c r="B427" s="188">
        <v>0.1</v>
      </c>
      <c r="C427" s="677">
        <v>12</v>
      </c>
      <c r="D427" s="136" t="s">
        <v>314</v>
      </c>
      <c r="E427" s="581"/>
      <c r="F427" s="143">
        <v>1200000</v>
      </c>
      <c r="G427" s="138">
        <v>0.06</v>
      </c>
      <c r="H427" s="139">
        <f t="shared" si="17"/>
        <v>72000</v>
      </c>
    </row>
    <row r="428" spans="1:8" ht="18.75">
      <c r="A428" s="135">
        <v>11382</v>
      </c>
      <c r="B428" s="188">
        <v>0.1</v>
      </c>
      <c r="C428" s="677">
        <v>12</v>
      </c>
      <c r="D428" s="136" t="s">
        <v>281</v>
      </c>
      <c r="E428" s="581"/>
      <c r="F428" s="143">
        <v>1350000</v>
      </c>
      <c r="G428" s="138">
        <v>0.06</v>
      </c>
      <c r="H428" s="139">
        <f t="shared" si="17"/>
        <v>81000</v>
      </c>
    </row>
    <row r="429" spans="1:8" ht="18.75">
      <c r="A429" s="135">
        <v>11482</v>
      </c>
      <c r="B429" s="188">
        <v>0.1</v>
      </c>
      <c r="C429" s="677">
        <v>12</v>
      </c>
      <c r="D429" s="136" t="s">
        <v>317</v>
      </c>
      <c r="E429" s="581"/>
      <c r="F429" s="143">
        <v>750000</v>
      </c>
      <c r="G429" s="138">
        <v>0.06</v>
      </c>
      <c r="H429" s="139">
        <f t="shared" si="17"/>
        <v>45000</v>
      </c>
    </row>
    <row r="430" spans="1:8" ht="18.75">
      <c r="A430" s="135">
        <v>11486</v>
      </c>
      <c r="B430" s="188">
        <v>0.1</v>
      </c>
      <c r="C430" s="677">
        <v>12</v>
      </c>
      <c r="D430" s="136" t="s">
        <v>1539</v>
      </c>
      <c r="E430" s="581"/>
      <c r="F430" s="678">
        <v>700000</v>
      </c>
      <c r="G430" s="138">
        <v>0.06</v>
      </c>
      <c r="H430" s="139">
        <f t="shared" si="17"/>
        <v>42000</v>
      </c>
    </row>
    <row r="431" spans="1:8" ht="18.75">
      <c r="A431" s="346">
        <v>11374</v>
      </c>
      <c r="B431" s="188">
        <v>0.1</v>
      </c>
      <c r="C431" s="677">
        <v>12</v>
      </c>
      <c r="D431" s="136" t="s">
        <v>324</v>
      </c>
      <c r="E431" s="581"/>
      <c r="F431" s="678">
        <v>1060000</v>
      </c>
      <c r="G431" s="138">
        <v>0.06</v>
      </c>
      <c r="H431" s="139">
        <f t="shared" si="17"/>
        <v>63600</v>
      </c>
    </row>
    <row r="432" spans="1:8" ht="18.75">
      <c r="A432" s="593" t="s">
        <v>297</v>
      </c>
      <c r="B432" s="1205"/>
      <c r="C432" s="489"/>
      <c r="D432" s="277" t="s">
        <v>298</v>
      </c>
      <c r="E432" s="567" t="s">
        <v>1540</v>
      </c>
      <c r="F432" s="756"/>
      <c r="G432" s="220"/>
      <c r="H432" s="221"/>
    </row>
    <row r="433" spans="1:8" ht="18.75">
      <c r="A433" s="593" t="s">
        <v>297</v>
      </c>
      <c r="B433" s="1205"/>
      <c r="C433" s="489"/>
      <c r="D433" s="277" t="s">
        <v>320</v>
      </c>
      <c r="E433" s="567" t="s">
        <v>361</v>
      </c>
      <c r="F433" s="756"/>
      <c r="G433" s="220"/>
      <c r="H433" s="221"/>
    </row>
    <row r="434" spans="1:8" ht="18.75">
      <c r="A434" s="1191"/>
      <c r="B434" s="1189"/>
      <c r="C434" s="18"/>
      <c r="D434" s="11"/>
      <c r="E434" s="27"/>
      <c r="F434" s="1163">
        <f>SUM(F411:F433)</f>
        <v>22740000</v>
      </c>
      <c r="G434" s="28"/>
      <c r="H434" s="265">
        <f>SUM(H411:H433)</f>
        <v>1364400</v>
      </c>
    </row>
    <row r="437" spans="1:8" ht="26.25">
      <c r="A437" s="1640" t="s">
        <v>1541</v>
      </c>
      <c r="B437" s="1640"/>
      <c r="C437" s="1640"/>
      <c r="D437" s="1640"/>
      <c r="E437" s="1640"/>
      <c r="F437" s="1640"/>
      <c r="G437" s="1640"/>
      <c r="H437" s="1640"/>
    </row>
    <row r="438" spans="1:8" ht="30.75">
      <c r="A438" s="45" t="s">
        <v>1463</v>
      </c>
      <c r="B438" s="46" t="s">
        <v>1497</v>
      </c>
      <c r="C438" s="46" t="s">
        <v>1465</v>
      </c>
      <c r="D438" s="45" t="s">
        <v>5</v>
      </c>
      <c r="E438" s="47" t="s">
        <v>1466</v>
      </c>
      <c r="F438" s="48" t="s">
        <v>1467</v>
      </c>
      <c r="G438" s="48" t="s">
        <v>7</v>
      </c>
      <c r="H438" s="48" t="s">
        <v>1468</v>
      </c>
    </row>
    <row r="439" spans="1:8" ht="18.75">
      <c r="A439" s="135">
        <v>11349</v>
      </c>
      <c r="B439" s="188">
        <v>0.1</v>
      </c>
      <c r="C439" s="677">
        <v>12</v>
      </c>
      <c r="D439" s="136" t="s">
        <v>315</v>
      </c>
      <c r="E439" s="224"/>
      <c r="F439" s="146">
        <v>900000</v>
      </c>
      <c r="G439" s="140"/>
      <c r="H439" s="139"/>
    </row>
    <row r="440" spans="1:8" ht="18.75">
      <c r="A440" s="135">
        <v>11354</v>
      </c>
      <c r="B440" s="188">
        <v>0.08</v>
      </c>
      <c r="C440" s="677">
        <v>12</v>
      </c>
      <c r="D440" s="136" t="s">
        <v>284</v>
      </c>
      <c r="E440" s="224"/>
      <c r="F440" s="146">
        <v>870000</v>
      </c>
      <c r="G440" s="140"/>
      <c r="H440" s="139"/>
    </row>
    <row r="441" spans="1:8" ht="18.75">
      <c r="A441" s="135">
        <v>11408</v>
      </c>
      <c r="B441" s="188">
        <v>0.1</v>
      </c>
      <c r="C441" s="677">
        <v>12</v>
      </c>
      <c r="D441" s="136" t="s">
        <v>316</v>
      </c>
      <c r="E441" s="224"/>
      <c r="F441" s="146">
        <v>900000</v>
      </c>
      <c r="G441" s="140"/>
      <c r="H441" s="139"/>
    </row>
    <row r="442" spans="1:8" ht="18.75">
      <c r="A442" s="346">
        <v>11370</v>
      </c>
      <c r="B442" s="188">
        <v>0.1</v>
      </c>
      <c r="C442" s="677">
        <v>12</v>
      </c>
      <c r="D442" s="259" t="s">
        <v>306</v>
      </c>
      <c r="E442" s="224"/>
      <c r="F442" s="146">
        <v>1100000</v>
      </c>
      <c r="G442" s="140"/>
      <c r="H442" s="139"/>
    </row>
    <row r="443" spans="1:8" ht="18.75">
      <c r="A443" s="211" t="s">
        <v>257</v>
      </c>
      <c r="B443" s="1205"/>
      <c r="C443" s="489"/>
      <c r="D443" s="277" t="s">
        <v>302</v>
      </c>
      <c r="E443" s="572" t="s">
        <v>349</v>
      </c>
      <c r="F443" s="496"/>
      <c r="G443" s="220"/>
      <c r="H443" s="221"/>
    </row>
    <row r="444" spans="1:8" ht="18.75">
      <c r="A444" s="211" t="s">
        <v>257</v>
      </c>
      <c r="B444" s="267"/>
      <c r="C444" s="277"/>
      <c r="D444" s="277" t="s">
        <v>323</v>
      </c>
      <c r="E444" s="572" t="s">
        <v>349</v>
      </c>
      <c r="F444" s="496"/>
      <c r="G444" s="220"/>
      <c r="H444" s="221"/>
    </row>
    <row r="445" spans="1:8" ht="18.75">
      <c r="A445" s="211" t="s">
        <v>297</v>
      </c>
      <c r="B445" s="267"/>
      <c r="C445" s="605"/>
      <c r="D445" s="277" t="s">
        <v>1542</v>
      </c>
      <c r="E445" s="572" t="s">
        <v>301</v>
      </c>
      <c r="F445" s="496"/>
      <c r="G445" s="220"/>
      <c r="H445" s="221"/>
    </row>
    <row r="446" spans="1:8" ht="18.75">
      <c r="A446" s="1189"/>
      <c r="B446" s="1204"/>
      <c r="C446" s="60"/>
      <c r="D446" s="11"/>
      <c r="E446" s="27"/>
      <c r="F446" s="1163">
        <f>SUM(F439:F444)</f>
        <v>3770000</v>
      </c>
      <c r="G446" s="28"/>
      <c r="H446" s="265">
        <f>SUM(H439:H444)</f>
        <v>0</v>
      </c>
    </row>
    <row r="449" spans="1:8" ht="26.25">
      <c r="A449" s="1640" t="s">
        <v>1543</v>
      </c>
      <c r="B449" s="1640"/>
      <c r="C449" s="1640"/>
      <c r="D449" s="1640"/>
      <c r="E449" s="1640"/>
      <c r="F449" s="1640"/>
      <c r="G449" s="1640"/>
      <c r="H449" s="1640"/>
    </row>
    <row r="450" spans="1:8" ht="30.75">
      <c r="A450" s="45" t="s">
        <v>1463</v>
      </c>
      <c r="B450" s="46" t="s">
        <v>1497</v>
      </c>
      <c r="C450" s="46" t="s">
        <v>1465</v>
      </c>
      <c r="D450" s="45" t="s">
        <v>5</v>
      </c>
      <c r="E450" s="47" t="s">
        <v>1466</v>
      </c>
      <c r="F450" s="48" t="s">
        <v>1467</v>
      </c>
      <c r="G450" s="48" t="s">
        <v>7</v>
      </c>
      <c r="H450" s="48" t="s">
        <v>1468</v>
      </c>
    </row>
    <row r="451" spans="1:8" ht="18.75">
      <c r="A451" s="135">
        <v>11397</v>
      </c>
      <c r="B451" s="478">
        <v>0.1</v>
      </c>
      <c r="C451" s="677">
        <v>12</v>
      </c>
      <c r="D451" s="350" t="s">
        <v>287</v>
      </c>
      <c r="E451" s="143"/>
      <c r="F451" s="558">
        <v>1050000</v>
      </c>
      <c r="G451" s="138"/>
      <c r="H451" s="139"/>
    </row>
    <row r="452" spans="1:8" ht="18.75">
      <c r="A452" s="179">
        <v>11516</v>
      </c>
      <c r="B452" s="1119">
        <v>0.1</v>
      </c>
      <c r="C452" s="1218">
        <v>12</v>
      </c>
      <c r="D452" s="609" t="s">
        <v>296</v>
      </c>
      <c r="E452" s="146"/>
      <c r="F452" s="146">
        <v>650000</v>
      </c>
      <c r="G452" s="582"/>
      <c r="H452" s="178"/>
    </row>
    <row r="453" spans="1:8" ht="18.75">
      <c r="A453" s="346">
        <v>11455</v>
      </c>
      <c r="B453" s="231">
        <v>0.1</v>
      </c>
      <c r="C453" s="677">
        <v>12</v>
      </c>
      <c r="D453" s="136" t="s">
        <v>1544</v>
      </c>
      <c r="E453" s="224"/>
      <c r="F453" s="143">
        <v>1100000</v>
      </c>
      <c r="G453" s="138"/>
      <c r="H453" s="139"/>
    </row>
    <row r="454" spans="1:8" ht="18.75">
      <c r="A454" s="1192"/>
      <c r="B454" s="1192"/>
      <c r="C454" s="1192"/>
      <c r="D454" s="1192"/>
      <c r="E454" s="156" t="s">
        <v>34</v>
      </c>
      <c r="F454" s="1165">
        <f>SUM(F451:F453)</f>
        <v>2800000</v>
      </c>
      <c r="G454" s="14"/>
      <c r="H454" s="14"/>
    </row>
    <row r="456" spans="1:8" ht="26.25">
      <c r="A456" s="1640" t="s">
        <v>1545</v>
      </c>
      <c r="B456" s="1640"/>
      <c r="C456" s="1640"/>
      <c r="D456" s="1640"/>
      <c r="E456" s="1640"/>
      <c r="F456" s="1640"/>
      <c r="G456" s="1640"/>
      <c r="H456" s="1640"/>
    </row>
    <row r="457" spans="1:8" ht="30.75">
      <c r="A457" s="45" t="s">
        <v>1463</v>
      </c>
      <c r="B457" s="46" t="s">
        <v>1497</v>
      </c>
      <c r="C457" s="46" t="s">
        <v>1465</v>
      </c>
      <c r="D457" s="45" t="s">
        <v>5</v>
      </c>
      <c r="E457" s="47" t="s">
        <v>1466</v>
      </c>
      <c r="F457" s="48" t="s">
        <v>1467</v>
      </c>
      <c r="G457" s="48" t="s">
        <v>7</v>
      </c>
      <c r="H457" s="48" t="s">
        <v>1468</v>
      </c>
    </row>
    <row r="458" spans="1:8" ht="18.75">
      <c r="A458" s="135">
        <v>11345</v>
      </c>
      <c r="B458" s="478">
        <v>0.1</v>
      </c>
      <c r="C458" s="677">
        <v>12</v>
      </c>
      <c r="D458" s="350" t="s">
        <v>277</v>
      </c>
      <c r="E458" s="143"/>
      <c r="F458" s="558">
        <v>1200000</v>
      </c>
      <c r="G458" s="138"/>
      <c r="H458" s="139"/>
    </row>
    <row r="459" spans="1:8" ht="18.75">
      <c r="A459" s="346">
        <v>11362</v>
      </c>
      <c r="B459" s="478">
        <v>0.1</v>
      </c>
      <c r="C459" s="677">
        <v>12</v>
      </c>
      <c r="D459" s="242" t="s">
        <v>280</v>
      </c>
      <c r="E459" s="143"/>
      <c r="F459" s="143">
        <v>1250000</v>
      </c>
      <c r="G459" s="138"/>
      <c r="H459" s="139"/>
    </row>
    <row r="460" spans="1:8" ht="18.75">
      <c r="A460" s="135">
        <v>11396</v>
      </c>
      <c r="B460" s="231">
        <v>0.1</v>
      </c>
      <c r="C460" s="677">
        <v>12</v>
      </c>
      <c r="D460" s="136" t="s">
        <v>282</v>
      </c>
      <c r="E460" s="224"/>
      <c r="F460" s="143">
        <v>1200000</v>
      </c>
      <c r="G460" s="138"/>
      <c r="H460" s="139"/>
    </row>
    <row r="461" spans="1:8" ht="18.75">
      <c r="A461" s="135">
        <v>11403</v>
      </c>
      <c r="B461" s="231">
        <v>0.1</v>
      </c>
      <c r="C461" s="891">
        <v>12</v>
      </c>
      <c r="D461" s="136" t="s">
        <v>285</v>
      </c>
      <c r="E461" s="224"/>
      <c r="F461" s="143">
        <v>1500000</v>
      </c>
      <c r="G461" s="138"/>
      <c r="H461" s="139"/>
    </row>
    <row r="462" spans="1:8" ht="18.75">
      <c r="A462" s="488">
        <v>11446</v>
      </c>
      <c r="B462" s="478">
        <v>0.1</v>
      </c>
      <c r="C462" s="238">
        <v>12</v>
      </c>
      <c r="D462" s="136" t="s">
        <v>290</v>
      </c>
      <c r="E462" s="224"/>
      <c r="F462" s="143">
        <v>1000000</v>
      </c>
      <c r="G462" s="138"/>
      <c r="H462" s="139"/>
    </row>
    <row r="463" spans="1:8" ht="18.75">
      <c r="A463" s="346">
        <v>11510</v>
      </c>
      <c r="B463" s="478">
        <v>0.1</v>
      </c>
      <c r="C463" s="677">
        <v>12</v>
      </c>
      <c r="D463" s="136" t="s">
        <v>291</v>
      </c>
      <c r="E463" s="137"/>
      <c r="F463" s="1146">
        <v>1150000</v>
      </c>
      <c r="G463" s="138"/>
      <c r="H463" s="139"/>
    </row>
    <row r="464" spans="1:8" ht="18.75">
      <c r="A464" s="135">
        <v>11504</v>
      </c>
      <c r="B464" s="478">
        <v>0.1</v>
      </c>
      <c r="C464" s="677">
        <v>12</v>
      </c>
      <c r="D464" s="136" t="s">
        <v>295</v>
      </c>
      <c r="E464" s="137"/>
      <c r="F464" s="143">
        <v>650000</v>
      </c>
      <c r="G464" s="138"/>
      <c r="H464" s="139"/>
    </row>
    <row r="465" spans="1:8" ht="18.75">
      <c r="A465" s="135">
        <v>11515</v>
      </c>
      <c r="B465" s="240">
        <v>0.1</v>
      </c>
      <c r="C465" s="238">
        <v>12</v>
      </c>
      <c r="D465" s="136" t="s">
        <v>294</v>
      </c>
      <c r="E465" s="137"/>
      <c r="F465" s="143">
        <v>1200000</v>
      </c>
      <c r="G465" s="138"/>
      <c r="H465" s="139"/>
    </row>
    <row r="466" spans="1:8" ht="18.75">
      <c r="A466" s="135">
        <v>11516</v>
      </c>
      <c r="B466" s="240">
        <v>0.1</v>
      </c>
      <c r="C466" s="238">
        <v>12</v>
      </c>
      <c r="D466" s="136" t="s">
        <v>296</v>
      </c>
      <c r="E466" s="243"/>
      <c r="F466" s="143">
        <v>650000</v>
      </c>
      <c r="G466" s="138"/>
      <c r="H466" s="139"/>
    </row>
    <row r="467" spans="1:8" ht="18.75">
      <c r="A467" s="135">
        <v>11498</v>
      </c>
      <c r="B467" s="240">
        <v>0.1</v>
      </c>
      <c r="C467" s="238">
        <v>12</v>
      </c>
      <c r="D467" s="136" t="s">
        <v>292</v>
      </c>
      <c r="E467" s="243"/>
      <c r="F467" s="143">
        <v>650000</v>
      </c>
      <c r="G467" s="138"/>
      <c r="H467" s="139"/>
    </row>
    <row r="468" spans="1:8" ht="18.75">
      <c r="A468" s="135">
        <v>11378</v>
      </c>
      <c r="B468" s="240">
        <v>0.1</v>
      </c>
      <c r="C468" s="238">
        <v>12</v>
      </c>
      <c r="D468" s="259" t="s">
        <v>303</v>
      </c>
      <c r="E468" s="243"/>
      <c r="F468" s="1146">
        <v>1300000</v>
      </c>
      <c r="G468" s="138"/>
      <c r="H468" s="139"/>
    </row>
    <row r="469" spans="1:8" ht="18.75">
      <c r="A469" s="346">
        <v>11404</v>
      </c>
      <c r="B469" s="240">
        <v>0.1</v>
      </c>
      <c r="C469" s="238">
        <v>12</v>
      </c>
      <c r="D469" s="259" t="s">
        <v>304</v>
      </c>
      <c r="E469" s="243"/>
      <c r="F469" s="1146">
        <v>1200000</v>
      </c>
      <c r="G469" s="138"/>
      <c r="H469" s="139"/>
    </row>
    <row r="470" spans="1:8" ht="18.75">
      <c r="A470" s="346">
        <v>11389</v>
      </c>
      <c r="B470" s="1119">
        <v>0.1</v>
      </c>
      <c r="C470" s="677">
        <v>12</v>
      </c>
      <c r="D470" s="259" t="s">
        <v>283</v>
      </c>
      <c r="E470" s="143"/>
      <c r="F470" s="1146">
        <v>1400000</v>
      </c>
      <c r="G470" s="138"/>
      <c r="H470" s="139"/>
    </row>
    <row r="471" spans="1:8" ht="18.75">
      <c r="A471" s="488">
        <v>11437</v>
      </c>
      <c r="B471" s="478">
        <v>0.1</v>
      </c>
      <c r="C471" s="1179">
        <v>12</v>
      </c>
      <c r="D471" s="259" t="s">
        <v>308</v>
      </c>
      <c r="E471" s="143"/>
      <c r="F471" s="1146">
        <v>800000</v>
      </c>
      <c r="G471" s="138"/>
      <c r="H471" s="139"/>
    </row>
    <row r="472" spans="1:8" ht="18.75">
      <c r="A472" s="346">
        <v>11454</v>
      </c>
      <c r="B472" s="1208">
        <v>0.1</v>
      </c>
      <c r="C472" s="677">
        <v>12</v>
      </c>
      <c r="D472" s="259" t="s">
        <v>309</v>
      </c>
      <c r="E472" s="137"/>
      <c r="F472" s="1146">
        <v>1300000</v>
      </c>
      <c r="G472" s="138"/>
      <c r="H472" s="139"/>
    </row>
    <row r="473" spans="1:8" ht="18.75">
      <c r="A473" s="346">
        <v>11478</v>
      </c>
      <c r="B473" s="188">
        <v>0.1</v>
      </c>
      <c r="C473" s="677">
        <v>12</v>
      </c>
      <c r="D473" s="259" t="s">
        <v>312</v>
      </c>
      <c r="E473" s="581"/>
      <c r="F473" s="678">
        <v>1200000</v>
      </c>
      <c r="G473" s="138"/>
      <c r="H473" s="139"/>
    </row>
    <row r="474" spans="1:8" ht="18.75">
      <c r="A474" s="346">
        <v>11359</v>
      </c>
      <c r="B474" s="188">
        <v>0.1</v>
      </c>
      <c r="C474" s="677">
        <v>12</v>
      </c>
      <c r="D474" s="136" t="s">
        <v>313</v>
      </c>
      <c r="E474" s="581"/>
      <c r="F474" s="143">
        <v>680000</v>
      </c>
      <c r="G474" s="138"/>
      <c r="H474" s="139"/>
    </row>
    <row r="475" spans="1:8" ht="18.75">
      <c r="A475" s="135">
        <v>11400</v>
      </c>
      <c r="B475" s="188">
        <v>0.1</v>
      </c>
      <c r="C475" s="677">
        <v>12</v>
      </c>
      <c r="D475" s="136" t="s">
        <v>314</v>
      </c>
      <c r="E475" s="581"/>
      <c r="F475" s="143">
        <v>1200000</v>
      </c>
      <c r="G475" s="138"/>
      <c r="H475" s="139"/>
    </row>
    <row r="476" spans="1:8" ht="18.75">
      <c r="A476" s="135">
        <v>11382</v>
      </c>
      <c r="B476" s="188">
        <v>0.1</v>
      </c>
      <c r="C476" s="677">
        <v>12</v>
      </c>
      <c r="D476" s="136" t="s">
        <v>281</v>
      </c>
      <c r="E476" s="581"/>
      <c r="F476" s="143">
        <v>1350000</v>
      </c>
      <c r="G476" s="138"/>
      <c r="H476" s="139"/>
    </row>
    <row r="477" spans="1:8" ht="18.75">
      <c r="A477" s="135">
        <v>11482</v>
      </c>
      <c r="B477" s="188">
        <v>0.1</v>
      </c>
      <c r="C477" s="677">
        <v>12</v>
      </c>
      <c r="D477" s="136" t="s">
        <v>317</v>
      </c>
      <c r="E477" s="581"/>
      <c r="F477" s="143">
        <v>750000</v>
      </c>
      <c r="G477" s="138"/>
      <c r="H477" s="139"/>
    </row>
    <row r="478" spans="1:8" ht="18.75">
      <c r="A478" s="135">
        <v>11486</v>
      </c>
      <c r="B478" s="188">
        <v>0.1</v>
      </c>
      <c r="C478" s="677">
        <v>12</v>
      </c>
      <c r="D478" s="136" t="s">
        <v>1539</v>
      </c>
      <c r="E478" s="581"/>
      <c r="F478" s="678">
        <v>700000</v>
      </c>
      <c r="G478" s="138"/>
      <c r="H478" s="139"/>
    </row>
    <row r="479" spans="1:8" ht="18.75">
      <c r="A479" s="346">
        <v>11374</v>
      </c>
      <c r="B479" s="188">
        <v>0.1</v>
      </c>
      <c r="C479" s="677">
        <v>12</v>
      </c>
      <c r="D479" s="136" t="s">
        <v>324</v>
      </c>
      <c r="E479" s="581"/>
      <c r="F479" s="1149">
        <v>1060000</v>
      </c>
      <c r="G479" s="138"/>
      <c r="H479" s="139"/>
    </row>
    <row r="480" spans="1:8" ht="18.75">
      <c r="A480" s="135">
        <v>11349</v>
      </c>
      <c r="B480" s="188">
        <v>0.1</v>
      </c>
      <c r="C480" s="677">
        <v>12</v>
      </c>
      <c r="D480" s="136" t="s">
        <v>315</v>
      </c>
      <c r="E480" s="224"/>
      <c r="F480" s="146">
        <v>900000</v>
      </c>
      <c r="G480" s="138"/>
      <c r="H480" s="139"/>
    </row>
    <row r="481" spans="1:8" ht="18.75">
      <c r="A481" s="135">
        <v>11354</v>
      </c>
      <c r="B481" s="188">
        <v>0.08</v>
      </c>
      <c r="C481" s="677">
        <v>12</v>
      </c>
      <c r="D481" s="136" t="s">
        <v>284</v>
      </c>
      <c r="E481" s="224"/>
      <c r="F481" s="146">
        <v>870000</v>
      </c>
      <c r="G481" s="138"/>
      <c r="H481" s="139"/>
    </row>
    <row r="482" spans="1:8" ht="18.75">
      <c r="A482" s="135">
        <v>11408</v>
      </c>
      <c r="B482" s="188">
        <v>0.1</v>
      </c>
      <c r="C482" s="677">
        <v>12</v>
      </c>
      <c r="D482" s="136" t="s">
        <v>316</v>
      </c>
      <c r="E482" s="224"/>
      <c r="F482" s="146">
        <v>900000</v>
      </c>
      <c r="G482" s="138"/>
      <c r="H482" s="178"/>
    </row>
    <row r="483" spans="1:8" ht="18.75">
      <c r="A483" s="346">
        <v>11370</v>
      </c>
      <c r="B483" s="188">
        <v>0.1</v>
      </c>
      <c r="C483" s="677">
        <v>12</v>
      </c>
      <c r="D483" s="259" t="s">
        <v>306</v>
      </c>
      <c r="E483" s="224"/>
      <c r="F483" s="146">
        <v>1100000</v>
      </c>
      <c r="G483" s="138"/>
      <c r="H483" s="178"/>
    </row>
    <row r="484" spans="1:8" ht="18.75">
      <c r="A484" s="556">
        <v>11397</v>
      </c>
      <c r="B484" s="1206">
        <v>0.1</v>
      </c>
      <c r="C484" s="677">
        <v>12</v>
      </c>
      <c r="D484" s="136" t="s">
        <v>287</v>
      </c>
      <c r="E484" s="224"/>
      <c r="F484" s="146">
        <v>1050000</v>
      </c>
      <c r="G484" s="138"/>
      <c r="H484" s="178"/>
    </row>
    <row r="485" spans="1:8" ht="18.75">
      <c r="A485" s="346">
        <v>11455</v>
      </c>
      <c r="B485" s="478">
        <v>0.1</v>
      </c>
      <c r="C485" s="1179">
        <v>12</v>
      </c>
      <c r="D485" s="259" t="s">
        <v>310</v>
      </c>
      <c r="E485" s="224"/>
      <c r="F485" s="146">
        <v>1100000</v>
      </c>
      <c r="G485" s="138"/>
      <c r="H485" s="178"/>
    </row>
    <row r="486" spans="1:8" ht="18.75">
      <c r="A486" s="571"/>
      <c r="B486" s="1209"/>
      <c r="C486" s="1187"/>
      <c r="D486" s="292"/>
      <c r="E486" s="156"/>
      <c r="F486" s="1165"/>
      <c r="G486" s="510"/>
      <c r="H486" s="570"/>
    </row>
    <row r="487" spans="1:8" ht="18.75">
      <c r="A487" s="1192"/>
      <c r="B487" s="1192"/>
      <c r="C487" s="1192"/>
      <c r="D487" s="1192"/>
      <c r="E487" s="156" t="s">
        <v>34</v>
      </c>
      <c r="F487" s="1164">
        <f>SUM(F458:F486)</f>
        <v>29310000</v>
      </c>
      <c r="G487" s="14"/>
      <c r="H487" s="14"/>
    </row>
    <row r="491" spans="1:8" ht="26.25">
      <c r="A491" s="1643" t="s">
        <v>1546</v>
      </c>
      <c r="B491" s="1643"/>
      <c r="C491" s="1643"/>
      <c r="D491" s="1643"/>
      <c r="E491" s="1643"/>
      <c r="F491" s="1643"/>
      <c r="G491" s="1643"/>
      <c r="H491" s="1643"/>
    </row>
    <row r="493" spans="1:8" ht="26.25">
      <c r="A493" s="1640" t="s">
        <v>1547</v>
      </c>
      <c r="B493" s="1640"/>
      <c r="C493" s="1640"/>
      <c r="D493" s="1640"/>
      <c r="E493" s="1640"/>
      <c r="F493" s="1640"/>
      <c r="G493" s="1640"/>
      <c r="H493" s="1640"/>
    </row>
    <row r="494" spans="1:8" ht="30.75">
      <c r="A494" s="45" t="s">
        <v>1463</v>
      </c>
      <c r="B494" s="46" t="s">
        <v>1497</v>
      </c>
      <c r="C494" s="46" t="s">
        <v>1465</v>
      </c>
      <c r="D494" s="45" t="s">
        <v>5</v>
      </c>
      <c r="E494" s="47" t="s">
        <v>1466</v>
      </c>
      <c r="F494" s="48" t="s">
        <v>1467</v>
      </c>
      <c r="G494" s="48" t="s">
        <v>7</v>
      </c>
      <c r="H494" s="48" t="s">
        <v>1468</v>
      </c>
    </row>
    <row r="495" spans="1:8" ht="18.75">
      <c r="A495" s="135">
        <v>11531</v>
      </c>
      <c r="B495" s="188">
        <v>0.1</v>
      </c>
      <c r="C495" s="677">
        <v>12</v>
      </c>
      <c r="D495" s="350" t="s">
        <v>328</v>
      </c>
      <c r="E495" s="581"/>
      <c r="F495" s="143">
        <v>1070000</v>
      </c>
      <c r="G495" s="138">
        <v>0.02</v>
      </c>
      <c r="H495" s="139">
        <f>F495*G495</f>
        <v>21400</v>
      </c>
    </row>
    <row r="496" spans="1:8" ht="18.75">
      <c r="A496" s="135">
        <v>11543</v>
      </c>
      <c r="B496" s="188">
        <v>0.1</v>
      </c>
      <c r="C496" s="677">
        <v>12</v>
      </c>
      <c r="D496" s="136" t="s">
        <v>329</v>
      </c>
      <c r="E496" s="581"/>
      <c r="F496" s="143">
        <v>700000</v>
      </c>
      <c r="G496" s="138">
        <v>0.02</v>
      </c>
      <c r="H496" s="139">
        <f t="shared" ref="H496:H505" si="18">F496*G496</f>
        <v>14000</v>
      </c>
    </row>
    <row r="497" spans="1:8" ht="18.75">
      <c r="A497" s="135">
        <v>11612</v>
      </c>
      <c r="B497" s="188">
        <v>0.1</v>
      </c>
      <c r="C497" s="677">
        <v>12</v>
      </c>
      <c r="D497" s="136" t="s">
        <v>331</v>
      </c>
      <c r="E497" s="224"/>
      <c r="F497" s="143">
        <v>1600000</v>
      </c>
      <c r="G497" s="138">
        <v>0.02</v>
      </c>
      <c r="H497" s="139">
        <f t="shared" si="18"/>
        <v>32000</v>
      </c>
    </row>
    <row r="498" spans="1:8" ht="18.75">
      <c r="A498" s="135">
        <v>11593</v>
      </c>
      <c r="B498" s="231">
        <v>0.1</v>
      </c>
      <c r="C498" s="891">
        <v>12</v>
      </c>
      <c r="D498" s="136" t="s">
        <v>334</v>
      </c>
      <c r="E498" s="224"/>
      <c r="F498" s="143">
        <v>1000000</v>
      </c>
      <c r="G498" s="138">
        <v>0.02</v>
      </c>
      <c r="H498" s="139">
        <f t="shared" si="18"/>
        <v>20000</v>
      </c>
    </row>
    <row r="499" spans="1:8" ht="18.75">
      <c r="A499" s="135">
        <v>11671</v>
      </c>
      <c r="B499" s="478">
        <v>0.1</v>
      </c>
      <c r="C499" s="238">
        <v>12</v>
      </c>
      <c r="D499" s="136" t="s">
        <v>336</v>
      </c>
      <c r="E499" s="224"/>
      <c r="F499" s="143">
        <v>1200000</v>
      </c>
      <c r="G499" s="138">
        <v>0.02</v>
      </c>
      <c r="H499" s="139">
        <f t="shared" si="18"/>
        <v>24000</v>
      </c>
    </row>
    <row r="500" spans="1:8" ht="18.75">
      <c r="A500" s="135">
        <v>11662</v>
      </c>
      <c r="B500" s="478">
        <v>0.1</v>
      </c>
      <c r="C500" s="677">
        <v>12</v>
      </c>
      <c r="D500" s="136" t="s">
        <v>337</v>
      </c>
      <c r="E500" s="137"/>
      <c r="F500" s="143">
        <v>950000</v>
      </c>
      <c r="G500" s="138">
        <v>0.02</v>
      </c>
      <c r="H500" s="139">
        <f t="shared" si="18"/>
        <v>19000</v>
      </c>
    </row>
    <row r="501" spans="1:8" ht="18.75">
      <c r="A501" s="677">
        <v>11627</v>
      </c>
      <c r="B501" s="478">
        <v>0.1</v>
      </c>
      <c r="C501" s="677">
        <v>12</v>
      </c>
      <c r="D501" s="259" t="s">
        <v>357</v>
      </c>
      <c r="E501" s="137"/>
      <c r="F501" s="678">
        <v>700000</v>
      </c>
      <c r="G501" s="138">
        <v>0.02</v>
      </c>
      <c r="H501" s="139">
        <f t="shared" si="18"/>
        <v>14000</v>
      </c>
    </row>
    <row r="502" spans="1:8" ht="18.75">
      <c r="A502" s="677">
        <v>11673</v>
      </c>
      <c r="B502" s="478">
        <v>0.1</v>
      </c>
      <c r="C502" s="677">
        <v>12</v>
      </c>
      <c r="D502" s="259" t="s">
        <v>358</v>
      </c>
      <c r="E502" s="137"/>
      <c r="F502" s="678">
        <v>1150000</v>
      </c>
      <c r="G502" s="138">
        <v>0.02</v>
      </c>
      <c r="H502" s="139">
        <f t="shared" si="18"/>
        <v>23000</v>
      </c>
    </row>
    <row r="503" spans="1:8" ht="18.75">
      <c r="A503" s="135">
        <v>11547</v>
      </c>
      <c r="B503" s="240">
        <v>0.1</v>
      </c>
      <c r="C503" s="238">
        <v>12</v>
      </c>
      <c r="D503" s="136" t="s">
        <v>364</v>
      </c>
      <c r="E503" s="137"/>
      <c r="F503" s="143">
        <v>700000</v>
      </c>
      <c r="G503" s="138">
        <v>0.02</v>
      </c>
      <c r="H503" s="139">
        <f t="shared" si="18"/>
        <v>14000</v>
      </c>
    </row>
    <row r="504" spans="1:8" ht="18.75">
      <c r="A504" s="135">
        <v>11558</v>
      </c>
      <c r="B504" s="240">
        <v>0.08</v>
      </c>
      <c r="C504" s="238">
        <v>12</v>
      </c>
      <c r="D504" s="136" t="s">
        <v>365</v>
      </c>
      <c r="E504" s="243"/>
      <c r="F504" s="143">
        <v>1100000</v>
      </c>
      <c r="G504" s="140">
        <v>0.01</v>
      </c>
      <c r="H504" s="139">
        <f t="shared" si="18"/>
        <v>11000</v>
      </c>
    </row>
    <row r="505" spans="1:8" ht="18.75">
      <c r="A505" s="135">
        <v>11676</v>
      </c>
      <c r="B505" s="240">
        <v>0.1</v>
      </c>
      <c r="C505" s="238">
        <v>12</v>
      </c>
      <c r="D505" s="136" t="s">
        <v>370</v>
      </c>
      <c r="E505" s="243"/>
      <c r="F505" s="143">
        <v>950000</v>
      </c>
      <c r="G505" s="138">
        <v>0.02</v>
      </c>
      <c r="H505" s="139">
        <f t="shared" si="18"/>
        <v>19000</v>
      </c>
    </row>
    <row r="506" spans="1:8" ht="18.75">
      <c r="A506" s="211" t="s">
        <v>297</v>
      </c>
      <c r="B506" s="1205"/>
      <c r="C506" s="489"/>
      <c r="D506" s="277" t="s">
        <v>338</v>
      </c>
      <c r="E506" s="573" t="s">
        <v>339</v>
      </c>
      <c r="F506" s="756"/>
      <c r="G506" s="220"/>
      <c r="H506" s="221"/>
    </row>
    <row r="507" spans="1:8" ht="18.75">
      <c r="A507" s="211" t="s">
        <v>297</v>
      </c>
      <c r="B507" s="1205"/>
      <c r="C507" s="489"/>
      <c r="D507" s="277" t="s">
        <v>340</v>
      </c>
      <c r="E507" s="573" t="s">
        <v>341</v>
      </c>
      <c r="F507" s="756"/>
      <c r="G507" s="220"/>
      <c r="H507" s="221"/>
    </row>
    <row r="508" spans="1:8" ht="18.75">
      <c r="A508" s="211" t="s">
        <v>297</v>
      </c>
      <c r="B508" s="1205"/>
      <c r="C508" s="489"/>
      <c r="D508" s="277" t="s">
        <v>342</v>
      </c>
      <c r="E508" s="573" t="s">
        <v>343</v>
      </c>
      <c r="F508" s="756"/>
      <c r="G508" s="220"/>
      <c r="H508" s="221"/>
    </row>
    <row r="509" spans="1:8" ht="18.75">
      <c r="A509" s="211" t="s">
        <v>297</v>
      </c>
      <c r="B509" s="1205"/>
      <c r="C509" s="489"/>
      <c r="D509" s="277" t="s">
        <v>344</v>
      </c>
      <c r="E509" s="573" t="s">
        <v>345</v>
      </c>
      <c r="F509" s="756"/>
      <c r="G509" s="220"/>
      <c r="H509" s="221"/>
    </row>
    <row r="510" spans="1:8" ht="18.75">
      <c r="A510" s="593" t="s">
        <v>245</v>
      </c>
      <c r="B510" s="1205"/>
      <c r="C510" s="489"/>
      <c r="D510" s="757" t="s">
        <v>354</v>
      </c>
      <c r="E510" s="529" t="s">
        <v>355</v>
      </c>
      <c r="F510" s="756"/>
      <c r="G510" s="220"/>
      <c r="H510" s="221"/>
    </row>
    <row r="511" spans="1:8" ht="18.75">
      <c r="A511" s="593" t="s">
        <v>245</v>
      </c>
      <c r="B511" s="1205"/>
      <c r="C511" s="489"/>
      <c r="D511" s="757" t="s">
        <v>360</v>
      </c>
      <c r="E511" s="225" t="s">
        <v>361</v>
      </c>
      <c r="F511" s="756"/>
      <c r="G511" s="220"/>
      <c r="H511" s="221"/>
    </row>
    <row r="512" spans="1:8" ht="18.75">
      <c r="A512" s="593" t="s">
        <v>245</v>
      </c>
      <c r="B512" s="1205"/>
      <c r="C512" s="489"/>
      <c r="D512" s="277" t="s">
        <v>378</v>
      </c>
      <c r="E512" s="277" t="s">
        <v>379</v>
      </c>
      <c r="F512" s="756"/>
      <c r="G512" s="220"/>
      <c r="H512" s="221"/>
    </row>
    <row r="513" spans="1:8" ht="18.75">
      <c r="A513" s="593" t="s">
        <v>373</v>
      </c>
      <c r="B513" s="1205"/>
      <c r="C513" s="489"/>
      <c r="D513" s="277" t="s">
        <v>348</v>
      </c>
      <c r="E513" s="567" t="s">
        <v>347</v>
      </c>
      <c r="F513" s="756"/>
      <c r="G513" s="220"/>
      <c r="H513" s="221"/>
    </row>
    <row r="514" spans="1:8" ht="18.75">
      <c r="A514" s="1191"/>
      <c r="B514" s="1189"/>
      <c r="C514" s="18"/>
      <c r="D514" s="11"/>
      <c r="E514" s="27"/>
      <c r="F514" s="1166">
        <f>SUM(F495:F513)</f>
        <v>11120000</v>
      </c>
      <c r="G514" s="28"/>
      <c r="H514" s="631">
        <f>SUM(H495:H513)</f>
        <v>211400</v>
      </c>
    </row>
    <row r="518" spans="1:8" ht="26.25">
      <c r="A518" s="1640" t="s">
        <v>1548</v>
      </c>
      <c r="B518" s="1640"/>
      <c r="C518" s="1640"/>
      <c r="D518" s="1640"/>
      <c r="E518" s="1640"/>
      <c r="F518" s="1640"/>
      <c r="G518" s="1640"/>
      <c r="H518" s="1640"/>
    </row>
    <row r="519" spans="1:8" ht="30.75">
      <c r="A519" s="45" t="s">
        <v>1463</v>
      </c>
      <c r="B519" s="46" t="s">
        <v>1497</v>
      </c>
      <c r="C519" s="46" t="s">
        <v>1465</v>
      </c>
      <c r="D519" s="45" t="s">
        <v>5</v>
      </c>
      <c r="E519" s="47" t="s">
        <v>1466</v>
      </c>
      <c r="F519" s="48" t="s">
        <v>1467</v>
      </c>
      <c r="G519" s="48" t="s">
        <v>7</v>
      </c>
      <c r="H519" s="48" t="s">
        <v>1468</v>
      </c>
    </row>
    <row r="520" spans="1:8" ht="18.75">
      <c r="A520" s="346">
        <v>11603</v>
      </c>
      <c r="B520" s="478">
        <v>0.1</v>
      </c>
      <c r="C520" s="677">
        <v>12</v>
      </c>
      <c r="D520" s="259" t="s">
        <v>350</v>
      </c>
      <c r="E520" s="143"/>
      <c r="F520" s="1146">
        <v>1350000</v>
      </c>
      <c r="G520" s="138">
        <v>0.02</v>
      </c>
      <c r="H520" s="139">
        <f>F520*G520</f>
        <v>27000</v>
      </c>
    </row>
    <row r="521" spans="1:8" ht="18.75">
      <c r="A521" s="135">
        <v>11590</v>
      </c>
      <c r="B521" s="478">
        <v>0.1</v>
      </c>
      <c r="C521" s="677">
        <v>12</v>
      </c>
      <c r="D521" s="136" t="s">
        <v>367</v>
      </c>
      <c r="E521" s="143"/>
      <c r="F521" s="143">
        <v>750000</v>
      </c>
      <c r="G521" s="138">
        <v>0.02</v>
      </c>
      <c r="H521" s="139">
        <f t="shared" ref="H521:H528" si="19">F521*G521</f>
        <v>15000</v>
      </c>
    </row>
    <row r="522" spans="1:8" ht="18.75">
      <c r="A522" s="135">
        <v>11623</v>
      </c>
      <c r="B522" s="231">
        <v>0.1</v>
      </c>
      <c r="C522" s="677">
        <v>12</v>
      </c>
      <c r="D522" s="136" t="s">
        <v>368</v>
      </c>
      <c r="E522" s="224"/>
      <c r="F522" s="143">
        <v>620000</v>
      </c>
      <c r="G522" s="138">
        <v>0.02</v>
      </c>
      <c r="H522" s="139">
        <f t="shared" si="19"/>
        <v>12400</v>
      </c>
    </row>
    <row r="523" spans="1:8" ht="18.75">
      <c r="A523" s="135">
        <v>11656</v>
      </c>
      <c r="B523" s="231">
        <v>0.1</v>
      </c>
      <c r="C523" s="891">
        <v>12</v>
      </c>
      <c r="D523" s="136" t="s">
        <v>369</v>
      </c>
      <c r="E523" s="224"/>
      <c r="F523" s="143">
        <v>1250000</v>
      </c>
      <c r="G523" s="138">
        <v>0.02</v>
      </c>
      <c r="H523" s="139">
        <f t="shared" si="19"/>
        <v>25000</v>
      </c>
    </row>
    <row r="524" spans="1:8" ht="18.75">
      <c r="A524" s="135">
        <v>11697</v>
      </c>
      <c r="B524" s="478">
        <v>0.1</v>
      </c>
      <c r="C524" s="238">
        <v>12</v>
      </c>
      <c r="D524" s="136" t="s">
        <v>332</v>
      </c>
      <c r="E524" s="224"/>
      <c r="F524" s="143">
        <v>1400000</v>
      </c>
      <c r="G524" s="138">
        <v>0.02</v>
      </c>
      <c r="H524" s="139">
        <f t="shared" si="19"/>
        <v>28000</v>
      </c>
    </row>
    <row r="525" spans="1:8" ht="18.75">
      <c r="A525" s="135">
        <v>11695</v>
      </c>
      <c r="B525" s="478">
        <v>0.1</v>
      </c>
      <c r="C525" s="677">
        <v>12</v>
      </c>
      <c r="D525" s="136" t="s">
        <v>335</v>
      </c>
      <c r="E525" s="137"/>
      <c r="F525" s="1146">
        <v>1250000</v>
      </c>
      <c r="G525" s="138">
        <v>0.02</v>
      </c>
      <c r="H525" s="139">
        <f t="shared" si="19"/>
        <v>25000</v>
      </c>
    </row>
    <row r="526" spans="1:8" ht="18.75">
      <c r="A526" s="346">
        <v>11733</v>
      </c>
      <c r="B526" s="629">
        <v>0.1</v>
      </c>
      <c r="C526" s="238">
        <v>12</v>
      </c>
      <c r="D526" s="259" t="s">
        <v>351</v>
      </c>
      <c r="E526" s="243"/>
      <c r="F526" s="143">
        <v>1200000</v>
      </c>
      <c r="G526" s="138">
        <v>0.02</v>
      </c>
      <c r="H526" s="139">
        <f t="shared" si="19"/>
        <v>24000</v>
      </c>
    </row>
    <row r="527" spans="1:8" ht="18.75">
      <c r="A527" s="630">
        <v>11721</v>
      </c>
      <c r="B527" s="478">
        <v>0.1</v>
      </c>
      <c r="C527" s="1179">
        <v>12</v>
      </c>
      <c r="D527" s="136" t="s">
        <v>371</v>
      </c>
      <c r="E527" s="143"/>
      <c r="F527" s="1146">
        <v>700000</v>
      </c>
      <c r="G527" s="138">
        <v>0.02</v>
      </c>
      <c r="H527" s="139">
        <f t="shared" si="19"/>
        <v>14000</v>
      </c>
    </row>
    <row r="528" spans="1:8" ht="18.75">
      <c r="A528" s="135">
        <v>11722</v>
      </c>
      <c r="B528" s="1208">
        <v>0.1</v>
      </c>
      <c r="C528" s="677">
        <v>12</v>
      </c>
      <c r="D528" s="136" t="s">
        <v>372</v>
      </c>
      <c r="E528" s="137"/>
      <c r="F528" s="1146">
        <v>1200000</v>
      </c>
      <c r="G528" s="138">
        <v>0.02</v>
      </c>
      <c r="H528" s="139">
        <f t="shared" si="19"/>
        <v>24000</v>
      </c>
    </row>
    <row r="529" spans="1:8" ht="18.75">
      <c r="A529" s="362" t="s">
        <v>373</v>
      </c>
      <c r="B529" s="1205"/>
      <c r="C529" s="489"/>
      <c r="D529" s="277" t="s">
        <v>346</v>
      </c>
      <c r="E529" s="573" t="s">
        <v>347</v>
      </c>
      <c r="F529" s="756"/>
      <c r="G529" s="220"/>
      <c r="H529" s="221"/>
    </row>
    <row r="530" spans="1:8" ht="18.75">
      <c r="A530" s="362" t="s">
        <v>130</v>
      </c>
      <c r="B530" s="1205"/>
      <c r="C530" s="489"/>
      <c r="D530" s="757" t="s">
        <v>352</v>
      </c>
      <c r="E530" s="225" t="s">
        <v>362</v>
      </c>
      <c r="F530" s="308"/>
      <c r="G530" s="220"/>
      <c r="H530" s="221"/>
    </row>
    <row r="531" spans="1:8" ht="18.75">
      <c r="A531" s="211" t="s">
        <v>373</v>
      </c>
      <c r="B531" s="1205"/>
      <c r="C531" s="489"/>
      <c r="D531" s="277" t="s">
        <v>374</v>
      </c>
      <c r="E531" s="277" t="s">
        <v>349</v>
      </c>
      <c r="F531" s="308"/>
      <c r="G531" s="220"/>
      <c r="H531" s="221"/>
    </row>
    <row r="532" spans="1:8" ht="18.75">
      <c r="A532" s="211" t="s">
        <v>373</v>
      </c>
      <c r="B532" s="1205"/>
      <c r="C532" s="489"/>
      <c r="D532" s="277" t="s">
        <v>375</v>
      </c>
      <c r="E532" s="277" t="s">
        <v>349</v>
      </c>
      <c r="F532" s="308"/>
      <c r="G532" s="220"/>
      <c r="H532" s="221"/>
    </row>
    <row r="533" spans="1:8" ht="18.75">
      <c r="A533" s="211" t="s">
        <v>373</v>
      </c>
      <c r="B533" s="1205"/>
      <c r="C533" s="489"/>
      <c r="D533" s="277" t="s">
        <v>376</v>
      </c>
      <c r="E533" s="277" t="s">
        <v>349</v>
      </c>
      <c r="F533" s="308"/>
      <c r="G533" s="220"/>
      <c r="H533" s="221"/>
    </row>
    <row r="534" spans="1:8" ht="18.75">
      <c r="A534" s="362" t="s">
        <v>373</v>
      </c>
      <c r="B534" s="1205"/>
      <c r="C534" s="489"/>
      <c r="D534" s="277" t="s">
        <v>377</v>
      </c>
      <c r="E534" s="277" t="s">
        <v>349</v>
      </c>
      <c r="F534" s="756"/>
      <c r="G534" s="220"/>
      <c r="H534" s="221"/>
    </row>
    <row r="535" spans="1:8" ht="18.75">
      <c r="A535" s="585"/>
      <c r="B535" s="659"/>
      <c r="C535" s="1185"/>
      <c r="D535" s="266"/>
      <c r="E535" s="586"/>
      <c r="F535" s="589"/>
      <c r="G535" s="162"/>
      <c r="H535" s="588"/>
    </row>
    <row r="536" spans="1:8" ht="18.75">
      <c r="A536" s="1192"/>
      <c r="B536" s="1192"/>
      <c r="C536" s="1192"/>
      <c r="D536" s="1192"/>
      <c r="E536" s="156" t="s">
        <v>34</v>
      </c>
      <c r="F536" s="1164">
        <f>SUM(F520:F535)</f>
        <v>9720000</v>
      </c>
      <c r="G536" s="14"/>
      <c r="H536" s="533">
        <f>SUM(H520:H535)</f>
        <v>194400</v>
      </c>
    </row>
    <row r="539" spans="1:8" ht="26.25">
      <c r="A539" s="1640" t="s">
        <v>1549</v>
      </c>
      <c r="B539" s="1640"/>
      <c r="C539" s="1640"/>
      <c r="D539" s="1640"/>
      <c r="E539" s="1640"/>
      <c r="F539" s="1640"/>
      <c r="G539" s="1640"/>
      <c r="H539" s="1640"/>
    </row>
    <row r="540" spans="1:8" ht="30.75">
      <c r="A540" s="45" t="s">
        <v>1463</v>
      </c>
      <c r="B540" s="46" t="s">
        <v>1497</v>
      </c>
      <c r="C540" s="46" t="s">
        <v>1465</v>
      </c>
      <c r="D540" s="45" t="s">
        <v>5</v>
      </c>
      <c r="E540" s="47" t="s">
        <v>1466</v>
      </c>
      <c r="F540" s="48" t="s">
        <v>1467</v>
      </c>
      <c r="G540" s="48" t="s">
        <v>7</v>
      </c>
      <c r="H540" s="48" t="s">
        <v>1468</v>
      </c>
    </row>
    <row r="541" spans="1:8" ht="18.75">
      <c r="A541" s="135">
        <v>11540</v>
      </c>
      <c r="B541" s="188">
        <v>0.1</v>
      </c>
      <c r="C541" s="677">
        <v>12</v>
      </c>
      <c r="D541" s="136" t="s">
        <v>330</v>
      </c>
      <c r="E541" s="581"/>
      <c r="F541" s="143">
        <v>1200000</v>
      </c>
      <c r="G541" s="138"/>
      <c r="H541" s="139"/>
    </row>
    <row r="542" spans="1:8" ht="18.75">
      <c r="A542" s="512"/>
      <c r="B542" s="1210"/>
      <c r="C542" s="1187"/>
      <c r="D542" s="287"/>
      <c r="E542" s="584"/>
      <c r="F542" s="1165"/>
      <c r="G542" s="510"/>
      <c r="H542" s="154"/>
    </row>
    <row r="543" spans="1:8" ht="18.75">
      <c r="A543" s="1191"/>
      <c r="B543" s="1189"/>
      <c r="C543" s="18"/>
      <c r="D543" s="11"/>
      <c r="E543" s="27"/>
      <c r="F543" s="1166">
        <f>SUM(F541:F542)</f>
        <v>1200000</v>
      </c>
      <c r="G543" s="28"/>
      <c r="H543" s="265">
        <f>SUM(H541:H542)</f>
        <v>0</v>
      </c>
    </row>
    <row r="546" spans="1:8" ht="26.25">
      <c r="A546" s="1640" t="s">
        <v>1550</v>
      </c>
      <c r="B546" s="1640"/>
      <c r="C546" s="1640"/>
      <c r="D546" s="1640"/>
      <c r="E546" s="1640"/>
      <c r="F546" s="1640"/>
      <c r="G546" s="1640"/>
      <c r="H546" s="1640"/>
    </row>
    <row r="547" spans="1:8" ht="30.75">
      <c r="A547" s="45" t="s">
        <v>1463</v>
      </c>
      <c r="B547" s="46" t="s">
        <v>1497</v>
      </c>
      <c r="C547" s="46" t="s">
        <v>1465</v>
      </c>
      <c r="D547" s="45" t="s">
        <v>5</v>
      </c>
      <c r="E547" s="47" t="s">
        <v>1466</v>
      </c>
      <c r="F547" s="48" t="s">
        <v>1467</v>
      </c>
      <c r="G547" s="48" t="s">
        <v>7</v>
      </c>
      <c r="H547" s="48" t="s">
        <v>1468</v>
      </c>
    </row>
    <row r="548" spans="1:8" ht="18.75">
      <c r="A548" s="135">
        <v>11531</v>
      </c>
      <c r="B548" s="188">
        <v>0.1</v>
      </c>
      <c r="C548" s="677">
        <v>12</v>
      </c>
      <c r="D548" s="350" t="s">
        <v>328</v>
      </c>
      <c r="E548" s="581"/>
      <c r="F548" s="143">
        <v>1070000</v>
      </c>
      <c r="G548" s="138"/>
      <c r="H548" s="139"/>
    </row>
    <row r="549" spans="1:8" ht="18.75">
      <c r="A549" s="135">
        <v>11543</v>
      </c>
      <c r="B549" s="188">
        <v>0.1</v>
      </c>
      <c r="C549" s="677">
        <v>12</v>
      </c>
      <c r="D549" s="136" t="s">
        <v>329</v>
      </c>
      <c r="E549" s="581"/>
      <c r="F549" s="143">
        <v>700000</v>
      </c>
      <c r="G549" s="138"/>
      <c r="H549" s="139"/>
    </row>
    <row r="550" spans="1:8" ht="18.75">
      <c r="A550" s="135">
        <v>11612</v>
      </c>
      <c r="B550" s="188">
        <v>0.1</v>
      </c>
      <c r="C550" s="677">
        <v>12</v>
      </c>
      <c r="D550" s="136" t="s">
        <v>331</v>
      </c>
      <c r="E550" s="224"/>
      <c r="F550" s="143">
        <v>1600000</v>
      </c>
      <c r="G550" s="138"/>
      <c r="H550" s="139"/>
    </row>
    <row r="551" spans="1:8" ht="18.75">
      <c r="A551" s="135">
        <v>11593</v>
      </c>
      <c r="B551" s="231">
        <v>0.1</v>
      </c>
      <c r="C551" s="891">
        <v>12</v>
      </c>
      <c r="D551" s="136" t="s">
        <v>334</v>
      </c>
      <c r="E551" s="224"/>
      <c r="F551" s="143">
        <v>1000000</v>
      </c>
      <c r="G551" s="138"/>
      <c r="H551" s="139"/>
    </row>
    <row r="552" spans="1:8" ht="18.75">
      <c r="A552" s="135">
        <v>11671</v>
      </c>
      <c r="B552" s="478">
        <v>0.1</v>
      </c>
      <c r="C552" s="238">
        <v>12</v>
      </c>
      <c r="D552" s="136" t="s">
        <v>336</v>
      </c>
      <c r="E552" s="224"/>
      <c r="F552" s="143">
        <v>1200000</v>
      </c>
      <c r="G552" s="138"/>
      <c r="H552" s="139"/>
    </row>
    <row r="553" spans="1:8" ht="18.75">
      <c r="A553" s="135">
        <v>11662</v>
      </c>
      <c r="B553" s="478">
        <v>0.1</v>
      </c>
      <c r="C553" s="677">
        <v>12</v>
      </c>
      <c r="D553" s="136" t="s">
        <v>337</v>
      </c>
      <c r="E553" s="137"/>
      <c r="F553" s="143">
        <v>950000</v>
      </c>
      <c r="G553" s="138"/>
      <c r="H553" s="139"/>
    </row>
    <row r="554" spans="1:8" ht="18.75">
      <c r="A554" s="677">
        <v>11627</v>
      </c>
      <c r="B554" s="478">
        <v>0.1</v>
      </c>
      <c r="C554" s="677">
        <v>12</v>
      </c>
      <c r="D554" s="259" t="s">
        <v>357</v>
      </c>
      <c r="E554" s="137"/>
      <c r="F554" s="678">
        <v>700000</v>
      </c>
      <c r="G554" s="138"/>
      <c r="H554" s="139"/>
    </row>
    <row r="555" spans="1:8" ht="18.75">
      <c r="A555" s="677">
        <v>11673</v>
      </c>
      <c r="B555" s="478">
        <v>0.1</v>
      </c>
      <c r="C555" s="677">
        <v>12</v>
      </c>
      <c r="D555" s="259" t="s">
        <v>358</v>
      </c>
      <c r="E555" s="137"/>
      <c r="F555" s="678">
        <v>1150000</v>
      </c>
      <c r="G555" s="138"/>
      <c r="H555" s="139"/>
    </row>
    <row r="556" spans="1:8" ht="18.75">
      <c r="A556" s="135">
        <v>11547</v>
      </c>
      <c r="B556" s="240">
        <v>0.1</v>
      </c>
      <c r="C556" s="238">
        <v>12</v>
      </c>
      <c r="D556" s="136" t="s">
        <v>364</v>
      </c>
      <c r="E556" s="137"/>
      <c r="F556" s="143">
        <v>700000</v>
      </c>
      <c r="G556" s="138"/>
      <c r="H556" s="139"/>
    </row>
    <row r="557" spans="1:8" ht="18.75">
      <c r="A557" s="135">
        <v>11558</v>
      </c>
      <c r="B557" s="240">
        <v>0.08</v>
      </c>
      <c r="C557" s="238">
        <v>12</v>
      </c>
      <c r="D557" s="136" t="s">
        <v>365</v>
      </c>
      <c r="E557" s="243"/>
      <c r="F557" s="143">
        <v>1100000</v>
      </c>
      <c r="G557" s="138"/>
      <c r="H557" s="139"/>
    </row>
    <row r="558" spans="1:8" ht="18.75">
      <c r="A558" s="135">
        <v>11676</v>
      </c>
      <c r="B558" s="240">
        <v>0.1</v>
      </c>
      <c r="C558" s="238">
        <v>12</v>
      </c>
      <c r="D558" s="136" t="s">
        <v>370</v>
      </c>
      <c r="E558" s="243"/>
      <c r="F558" s="143">
        <v>950000</v>
      </c>
      <c r="G558" s="138"/>
      <c r="H558" s="139"/>
    </row>
    <row r="559" spans="1:8" ht="18.75">
      <c r="A559" s="346">
        <v>11603</v>
      </c>
      <c r="B559" s="478">
        <v>0.1</v>
      </c>
      <c r="C559" s="677">
        <v>12</v>
      </c>
      <c r="D559" s="259" t="s">
        <v>350</v>
      </c>
      <c r="E559" s="143"/>
      <c r="F559" s="1146">
        <v>1350000</v>
      </c>
      <c r="G559" s="138"/>
      <c r="H559" s="139"/>
    </row>
    <row r="560" spans="1:8" ht="18.75">
      <c r="A560" s="135">
        <v>11590</v>
      </c>
      <c r="B560" s="478">
        <v>0.1</v>
      </c>
      <c r="C560" s="677">
        <v>12</v>
      </c>
      <c r="D560" s="136" t="s">
        <v>367</v>
      </c>
      <c r="E560" s="143"/>
      <c r="F560" s="143">
        <v>750000</v>
      </c>
      <c r="G560" s="138"/>
      <c r="H560" s="139"/>
    </row>
    <row r="561" spans="1:8" ht="18.75">
      <c r="A561" s="135">
        <v>11623</v>
      </c>
      <c r="B561" s="231">
        <v>0.1</v>
      </c>
      <c r="C561" s="677">
        <v>12</v>
      </c>
      <c r="D561" s="136" t="s">
        <v>368</v>
      </c>
      <c r="E561" s="224"/>
      <c r="F561" s="143">
        <v>620000</v>
      </c>
      <c r="G561" s="138"/>
      <c r="H561" s="139"/>
    </row>
    <row r="562" spans="1:8" ht="18.75">
      <c r="A562" s="135">
        <v>11656</v>
      </c>
      <c r="B562" s="231">
        <v>0.1</v>
      </c>
      <c r="C562" s="891">
        <v>12</v>
      </c>
      <c r="D562" s="136" t="s">
        <v>369</v>
      </c>
      <c r="E562" s="224"/>
      <c r="F562" s="143">
        <v>1250000</v>
      </c>
      <c r="G562" s="138"/>
      <c r="H562" s="139"/>
    </row>
    <row r="563" spans="1:8" ht="18.75">
      <c r="A563" s="135">
        <v>11697</v>
      </c>
      <c r="B563" s="478">
        <v>0.1</v>
      </c>
      <c r="C563" s="238">
        <v>12</v>
      </c>
      <c r="D563" s="136" t="s">
        <v>332</v>
      </c>
      <c r="E563" s="224"/>
      <c r="F563" s="143">
        <v>1400000</v>
      </c>
      <c r="G563" s="138"/>
      <c r="H563" s="139"/>
    </row>
    <row r="564" spans="1:8" ht="18.75">
      <c r="A564" s="135">
        <v>11695</v>
      </c>
      <c r="B564" s="478">
        <v>0.1</v>
      </c>
      <c r="C564" s="677">
        <v>12</v>
      </c>
      <c r="D564" s="136" t="s">
        <v>335</v>
      </c>
      <c r="E564" s="137"/>
      <c r="F564" s="1146">
        <v>1250000</v>
      </c>
      <c r="G564" s="138"/>
      <c r="H564" s="139"/>
    </row>
    <row r="565" spans="1:8" ht="18.75">
      <c r="A565" s="346">
        <v>11733</v>
      </c>
      <c r="B565" s="240">
        <v>0.1</v>
      </c>
      <c r="C565" s="238">
        <v>12</v>
      </c>
      <c r="D565" s="259" t="s">
        <v>351</v>
      </c>
      <c r="E565" s="243"/>
      <c r="F565" s="143">
        <v>1200000</v>
      </c>
      <c r="G565" s="138"/>
      <c r="H565" s="139"/>
    </row>
    <row r="566" spans="1:8" ht="18.75">
      <c r="A566" s="630">
        <v>11721</v>
      </c>
      <c r="B566" s="1119">
        <v>0.1</v>
      </c>
      <c r="C566" s="677">
        <v>12</v>
      </c>
      <c r="D566" s="136" t="s">
        <v>371</v>
      </c>
      <c r="E566" s="143"/>
      <c r="F566" s="1146">
        <v>700000</v>
      </c>
      <c r="G566" s="138"/>
      <c r="H566" s="139"/>
    </row>
    <row r="567" spans="1:8" ht="18.75">
      <c r="A567" s="179">
        <v>11540</v>
      </c>
      <c r="B567" s="188">
        <v>0.1</v>
      </c>
      <c r="C567" s="677">
        <v>12</v>
      </c>
      <c r="D567" s="136" t="s">
        <v>330</v>
      </c>
      <c r="E567" s="581"/>
      <c r="F567" s="143">
        <v>1200000</v>
      </c>
      <c r="G567" s="138"/>
      <c r="H567" s="139"/>
    </row>
    <row r="568" spans="1:8" ht="18.75">
      <c r="A568" s="632">
        <v>11722</v>
      </c>
      <c r="B568" s="1208">
        <v>0.1</v>
      </c>
      <c r="C568" s="677">
        <v>12</v>
      </c>
      <c r="D568" s="136" t="s">
        <v>372</v>
      </c>
      <c r="E568" s="137"/>
      <c r="F568" s="1146">
        <v>1200000</v>
      </c>
      <c r="G568" s="138"/>
      <c r="H568" s="139"/>
    </row>
    <row r="569" spans="1:8" ht="18.75">
      <c r="A569" s="571"/>
      <c r="B569" s="1210"/>
      <c r="C569" s="1187"/>
      <c r="D569" s="287"/>
      <c r="E569" s="584"/>
      <c r="F569" s="1165"/>
      <c r="G569" s="510"/>
      <c r="H569" s="154"/>
    </row>
    <row r="570" spans="1:8" ht="18.75">
      <c r="A570" s="1191"/>
      <c r="B570" s="1189"/>
      <c r="C570" s="18"/>
      <c r="D570" s="11"/>
      <c r="E570" s="165" t="s">
        <v>34</v>
      </c>
      <c r="F570" s="1163">
        <f>SUM(F548:F569)</f>
        <v>22040000</v>
      </c>
      <c r="G570" s="28"/>
      <c r="H570" s="265">
        <f>SUM(H548:H566)</f>
        <v>0</v>
      </c>
    </row>
    <row r="575" spans="1:8" ht="26.25">
      <c r="A575" s="1643" t="s">
        <v>1551</v>
      </c>
      <c r="B575" s="1643"/>
      <c r="C575" s="1643"/>
      <c r="D575" s="1643"/>
      <c r="E575" s="1643"/>
      <c r="F575" s="1643"/>
      <c r="G575" s="1643"/>
      <c r="H575" s="1643"/>
    </row>
    <row r="577" spans="1:8" ht="26.25">
      <c r="A577" s="1640" t="s">
        <v>1552</v>
      </c>
      <c r="B577" s="1640"/>
      <c r="C577" s="1641"/>
      <c r="D577" s="1640"/>
      <c r="E577" s="1640"/>
      <c r="F577" s="1640"/>
      <c r="G577" s="1640"/>
      <c r="H577" s="1640"/>
    </row>
    <row r="578" spans="1:8" ht="30.75">
      <c r="A578" s="45" t="s">
        <v>1463</v>
      </c>
      <c r="B578" s="646" t="s">
        <v>1497</v>
      </c>
      <c r="C578" s="132" t="s">
        <v>1465</v>
      </c>
      <c r="D578" s="647" t="s">
        <v>5</v>
      </c>
      <c r="E578" s="47" t="s">
        <v>1466</v>
      </c>
      <c r="F578" s="48" t="s">
        <v>1467</v>
      </c>
      <c r="G578" s="48" t="s">
        <v>7</v>
      </c>
      <c r="H578" s="48" t="s">
        <v>1468</v>
      </c>
    </row>
    <row r="579" spans="1:8" ht="18.75">
      <c r="A579" s="135">
        <v>11750</v>
      </c>
      <c r="B579" s="233">
        <v>0.1</v>
      </c>
      <c r="C579" s="238">
        <v>12</v>
      </c>
      <c r="D579" s="136" t="s">
        <v>385</v>
      </c>
      <c r="E579" s="581"/>
      <c r="F579" s="143">
        <v>1300000</v>
      </c>
      <c r="G579" s="138">
        <v>0.05</v>
      </c>
      <c r="H579" s="139">
        <f>F579*G579</f>
        <v>65000</v>
      </c>
    </row>
    <row r="580" spans="1:8" ht="18.75">
      <c r="A580" s="135">
        <v>11837</v>
      </c>
      <c r="B580" s="233">
        <v>0.1</v>
      </c>
      <c r="C580" s="238">
        <v>12</v>
      </c>
      <c r="D580" s="136" t="s">
        <v>390</v>
      </c>
      <c r="E580" s="581"/>
      <c r="F580" s="143">
        <v>700000</v>
      </c>
      <c r="G580" s="138">
        <v>0.05</v>
      </c>
      <c r="H580" s="139">
        <f t="shared" ref="H580:H595" si="20">F580*G580</f>
        <v>35000</v>
      </c>
    </row>
    <row r="581" spans="1:8" ht="18.75">
      <c r="A581" s="135">
        <v>11865</v>
      </c>
      <c r="B581" s="233">
        <v>0.1</v>
      </c>
      <c r="C581" s="677">
        <v>12</v>
      </c>
      <c r="D581" s="136" t="s">
        <v>393</v>
      </c>
      <c r="E581" s="224"/>
      <c r="F581" s="143">
        <v>1500000</v>
      </c>
      <c r="G581" s="138">
        <v>0.05</v>
      </c>
      <c r="H581" s="139">
        <f t="shared" si="20"/>
        <v>75000</v>
      </c>
    </row>
    <row r="582" spans="1:8" ht="18.75">
      <c r="A582" s="135">
        <v>11869</v>
      </c>
      <c r="B582" s="233">
        <v>0.1</v>
      </c>
      <c r="C582" s="238">
        <v>12</v>
      </c>
      <c r="D582" s="136" t="s">
        <v>394</v>
      </c>
      <c r="E582" s="224"/>
      <c r="F582" s="143">
        <v>1200000</v>
      </c>
      <c r="G582" s="138">
        <v>0.05</v>
      </c>
      <c r="H582" s="139">
        <f t="shared" si="20"/>
        <v>60000</v>
      </c>
    </row>
    <row r="583" spans="1:8" ht="18.75">
      <c r="A583" s="135">
        <v>11875</v>
      </c>
      <c r="B583" s="233">
        <v>0.08</v>
      </c>
      <c r="C583" s="238">
        <v>12</v>
      </c>
      <c r="D583" s="136" t="s">
        <v>396</v>
      </c>
      <c r="E583" s="224"/>
      <c r="F583" s="143">
        <v>1450000</v>
      </c>
      <c r="G583" s="140">
        <v>0.04</v>
      </c>
      <c r="H583" s="139">
        <f t="shared" si="20"/>
        <v>58000</v>
      </c>
    </row>
    <row r="584" spans="1:8" ht="18.75">
      <c r="A584" s="135">
        <v>11883</v>
      </c>
      <c r="B584" s="233">
        <v>0.1</v>
      </c>
      <c r="C584" s="677">
        <v>12</v>
      </c>
      <c r="D584" s="136" t="s">
        <v>397</v>
      </c>
      <c r="E584" s="137"/>
      <c r="F584" s="143">
        <v>1300000</v>
      </c>
      <c r="G584" s="138">
        <v>0.05</v>
      </c>
      <c r="H584" s="139">
        <f t="shared" si="20"/>
        <v>65000</v>
      </c>
    </row>
    <row r="585" spans="1:8" ht="18.75">
      <c r="A585" s="346">
        <v>11774</v>
      </c>
      <c r="B585" s="478">
        <v>0.1</v>
      </c>
      <c r="C585" s="677">
        <v>12</v>
      </c>
      <c r="D585" s="259" t="s">
        <v>413</v>
      </c>
      <c r="E585" s="137"/>
      <c r="F585" s="1146">
        <v>1350000</v>
      </c>
      <c r="G585" s="138">
        <v>0.05</v>
      </c>
      <c r="H585" s="139">
        <f t="shared" si="20"/>
        <v>67500</v>
      </c>
    </row>
    <row r="586" spans="1:8" ht="18.75">
      <c r="A586" s="346">
        <v>11801</v>
      </c>
      <c r="B586" s="478">
        <v>0.1</v>
      </c>
      <c r="C586" s="677">
        <v>12</v>
      </c>
      <c r="D586" s="259" t="s">
        <v>414</v>
      </c>
      <c r="E586" s="137"/>
      <c r="F586" s="1146">
        <v>1200000</v>
      </c>
      <c r="G586" s="140">
        <v>0.02</v>
      </c>
      <c r="H586" s="139">
        <f t="shared" si="20"/>
        <v>24000</v>
      </c>
    </row>
    <row r="587" spans="1:8" ht="18.75">
      <c r="A587" s="346">
        <v>11827</v>
      </c>
      <c r="B587" s="478">
        <v>0.1</v>
      </c>
      <c r="C587" s="238">
        <v>12</v>
      </c>
      <c r="D587" s="259" t="s">
        <v>415</v>
      </c>
      <c r="E587" s="137"/>
      <c r="F587" s="1146">
        <v>850000</v>
      </c>
      <c r="G587" s="140">
        <v>0.02</v>
      </c>
      <c r="H587" s="139">
        <f t="shared" si="20"/>
        <v>17000</v>
      </c>
    </row>
    <row r="588" spans="1:8" ht="18.75">
      <c r="A588" s="346">
        <v>11878</v>
      </c>
      <c r="B588" s="478">
        <v>0.1</v>
      </c>
      <c r="C588" s="238">
        <v>12</v>
      </c>
      <c r="D588" s="259" t="s">
        <v>416</v>
      </c>
      <c r="E588" s="243"/>
      <c r="F588" s="1146">
        <v>800000</v>
      </c>
      <c r="G588" s="138">
        <v>0.05</v>
      </c>
      <c r="H588" s="139">
        <f t="shared" si="20"/>
        <v>40000</v>
      </c>
    </row>
    <row r="589" spans="1:8" ht="18.75">
      <c r="A589" s="135">
        <v>11787</v>
      </c>
      <c r="B589" s="233">
        <v>0.1</v>
      </c>
      <c r="C589" s="238">
        <v>12</v>
      </c>
      <c r="D589" s="136" t="s">
        <v>429</v>
      </c>
      <c r="E589" s="243"/>
      <c r="F589" s="678">
        <v>1050000</v>
      </c>
      <c r="G589" s="138">
        <v>0.05</v>
      </c>
      <c r="H589" s="139">
        <f t="shared" si="20"/>
        <v>52500</v>
      </c>
    </row>
    <row r="590" spans="1:8" ht="18.75">
      <c r="A590" s="135">
        <v>11850</v>
      </c>
      <c r="B590" s="233">
        <v>0.1</v>
      </c>
      <c r="C590" s="238">
        <v>12</v>
      </c>
      <c r="D590" s="136" t="s">
        <v>433</v>
      </c>
      <c r="E590" s="243"/>
      <c r="F590" s="678">
        <v>1300000</v>
      </c>
      <c r="G590" s="138">
        <v>0.05</v>
      </c>
      <c r="H590" s="139">
        <f t="shared" si="20"/>
        <v>65000</v>
      </c>
    </row>
    <row r="591" spans="1:8" ht="18.75">
      <c r="A591" s="135">
        <v>11741</v>
      </c>
      <c r="B591" s="233">
        <v>0.1</v>
      </c>
      <c r="C591" s="238">
        <v>12</v>
      </c>
      <c r="D591" s="136" t="s">
        <v>444</v>
      </c>
      <c r="E591" s="243"/>
      <c r="F591" s="143">
        <v>1200000</v>
      </c>
      <c r="G591" s="138">
        <v>0.05</v>
      </c>
      <c r="H591" s="139">
        <f t="shared" si="20"/>
        <v>60000</v>
      </c>
    </row>
    <row r="592" spans="1:8" ht="18.75">
      <c r="A592" s="135">
        <v>11807</v>
      </c>
      <c r="B592" s="233">
        <v>0.1</v>
      </c>
      <c r="C592" s="238">
        <v>12</v>
      </c>
      <c r="D592" s="136" t="s">
        <v>445</v>
      </c>
      <c r="E592" s="243"/>
      <c r="F592" s="143">
        <v>750000</v>
      </c>
      <c r="G592" s="138">
        <v>0.05</v>
      </c>
      <c r="H592" s="139">
        <f t="shared" si="20"/>
        <v>37500</v>
      </c>
    </row>
    <row r="593" spans="1:8" ht="18.75">
      <c r="A593" s="135">
        <v>11796</v>
      </c>
      <c r="B593" s="233">
        <v>0.08</v>
      </c>
      <c r="C593" s="677">
        <v>12</v>
      </c>
      <c r="D593" s="136" t="s">
        <v>446</v>
      </c>
      <c r="E593" s="581"/>
      <c r="F593" s="143">
        <v>1100000</v>
      </c>
      <c r="G593" s="140">
        <v>0.04</v>
      </c>
      <c r="H593" s="139">
        <f t="shared" si="20"/>
        <v>44000</v>
      </c>
    </row>
    <row r="594" spans="1:8" ht="18.75">
      <c r="A594" s="135">
        <v>11793</v>
      </c>
      <c r="B594" s="233">
        <v>0.1</v>
      </c>
      <c r="C594" s="677">
        <v>12</v>
      </c>
      <c r="D594" s="136" t="s">
        <v>447</v>
      </c>
      <c r="E594" s="581"/>
      <c r="F594" s="143">
        <v>1300000</v>
      </c>
      <c r="G594" s="138">
        <v>0.05</v>
      </c>
      <c r="H594" s="139">
        <f t="shared" si="20"/>
        <v>65000</v>
      </c>
    </row>
    <row r="595" spans="1:8" ht="18.75">
      <c r="A595" s="135">
        <v>11915</v>
      </c>
      <c r="B595" s="233">
        <v>0.1</v>
      </c>
      <c r="C595" s="677">
        <v>12</v>
      </c>
      <c r="D595" s="651" t="s">
        <v>1553</v>
      </c>
      <c r="E595" s="581"/>
      <c r="F595" s="143">
        <v>1300000</v>
      </c>
      <c r="G595" s="138">
        <v>0.05</v>
      </c>
      <c r="H595" s="139">
        <f t="shared" si="20"/>
        <v>65000</v>
      </c>
    </row>
    <row r="596" spans="1:8" ht="18.75">
      <c r="A596" s="209" t="s">
        <v>297</v>
      </c>
      <c r="B596" s="267"/>
      <c r="C596" s="489"/>
      <c r="D596" s="757" t="s">
        <v>422</v>
      </c>
      <c r="E596" s="529" t="s">
        <v>423</v>
      </c>
      <c r="F596" s="308"/>
      <c r="G596" s="220"/>
      <c r="H596" s="221"/>
    </row>
    <row r="597" spans="1:8" ht="18.75">
      <c r="A597" s="209" t="s">
        <v>257</v>
      </c>
      <c r="B597" s="267"/>
      <c r="C597" s="489"/>
      <c r="D597" s="757" t="s">
        <v>424</v>
      </c>
      <c r="E597" s="529" t="s">
        <v>425</v>
      </c>
      <c r="F597" s="308"/>
      <c r="G597" s="220"/>
      <c r="H597" s="221"/>
    </row>
    <row r="598" spans="1:8" ht="18.75">
      <c r="A598" s="489" t="s">
        <v>245</v>
      </c>
      <c r="B598" s="267"/>
      <c r="C598" s="489"/>
      <c r="D598" s="757" t="s">
        <v>435</v>
      </c>
      <c r="E598" s="225" t="s">
        <v>436</v>
      </c>
      <c r="F598" s="308"/>
      <c r="G598" s="220"/>
      <c r="H598" s="221"/>
    </row>
    <row r="599" spans="1:8" ht="18.75">
      <c r="A599" s="211" t="s">
        <v>245</v>
      </c>
      <c r="B599" s="267"/>
      <c r="C599" s="489"/>
      <c r="D599" s="277" t="s">
        <v>437</v>
      </c>
      <c r="E599" s="225" t="s">
        <v>257</v>
      </c>
      <c r="F599" s="308"/>
      <c r="G599" s="220"/>
      <c r="H599" s="221"/>
    </row>
    <row r="600" spans="1:8" ht="18.75">
      <c r="A600" s="489" t="s">
        <v>405</v>
      </c>
      <c r="B600" s="267"/>
      <c r="C600" s="489"/>
      <c r="D600" s="757" t="s">
        <v>438</v>
      </c>
      <c r="E600" s="225" t="s">
        <v>439</v>
      </c>
      <c r="F600" s="308"/>
      <c r="G600" s="220"/>
      <c r="H600" s="221"/>
    </row>
    <row r="601" spans="1:8" ht="18.75">
      <c r="A601" s="211" t="s">
        <v>245</v>
      </c>
      <c r="B601" s="267"/>
      <c r="C601" s="489"/>
      <c r="D601" s="277" t="s">
        <v>453</v>
      </c>
      <c r="E601" s="277" t="s">
        <v>454</v>
      </c>
      <c r="F601" s="308"/>
      <c r="G601" s="220"/>
      <c r="H601" s="221"/>
    </row>
    <row r="602" spans="1:8" ht="18.75">
      <c r="A602" s="211" t="s">
        <v>405</v>
      </c>
      <c r="B602" s="267"/>
      <c r="C602" s="489"/>
      <c r="D602" s="277" t="s">
        <v>455</v>
      </c>
      <c r="E602" s="277" t="s">
        <v>456</v>
      </c>
      <c r="F602" s="308"/>
      <c r="G602" s="220"/>
      <c r="H602" s="221"/>
    </row>
    <row r="603" spans="1:8" ht="18.75">
      <c r="A603" s="211" t="s">
        <v>245</v>
      </c>
      <c r="B603" s="267"/>
      <c r="C603" s="489"/>
      <c r="D603" s="277" t="s">
        <v>457</v>
      </c>
      <c r="E603" s="277" t="s">
        <v>419</v>
      </c>
      <c r="F603" s="308"/>
      <c r="G603" s="220"/>
      <c r="H603" s="221"/>
    </row>
    <row r="604" spans="1:8" ht="18.75">
      <c r="A604" s="1191"/>
      <c r="B604" s="1189"/>
      <c r="C604" s="18"/>
      <c r="D604" s="262"/>
      <c r="E604" s="27"/>
      <c r="F604" s="1163">
        <f>SUM(F579:F595)</f>
        <v>19650000</v>
      </c>
      <c r="G604" s="28"/>
      <c r="H604" s="265">
        <f>SUM(H579:H603)</f>
        <v>895500</v>
      </c>
    </row>
    <row r="608" spans="1:8" ht="26.25">
      <c r="A608" s="1640" t="s">
        <v>1554</v>
      </c>
      <c r="B608" s="1641"/>
      <c r="C608" s="1641"/>
      <c r="D608" s="1640"/>
      <c r="E608" s="1640"/>
      <c r="F608" s="1640"/>
      <c r="G608" s="1640"/>
      <c r="H608" s="1640"/>
    </row>
    <row r="609" spans="1:8" ht="30.75">
      <c r="A609" s="648" t="s">
        <v>1463</v>
      </c>
      <c r="B609" s="132" t="s">
        <v>1497</v>
      </c>
      <c r="C609" s="132" t="s">
        <v>1465</v>
      </c>
      <c r="D609" s="647" t="s">
        <v>5</v>
      </c>
      <c r="E609" s="47" t="s">
        <v>1466</v>
      </c>
      <c r="F609" s="48" t="s">
        <v>1467</v>
      </c>
      <c r="G609" s="48" t="s">
        <v>7</v>
      </c>
      <c r="H609" s="48" t="s">
        <v>1468</v>
      </c>
    </row>
    <row r="610" spans="1:8" ht="18.75">
      <c r="A610" s="135">
        <v>11751</v>
      </c>
      <c r="B610" s="233">
        <v>0.1</v>
      </c>
      <c r="C610" s="238">
        <v>12</v>
      </c>
      <c r="D610" s="136" t="s">
        <v>383</v>
      </c>
      <c r="E610" s="143"/>
      <c r="F610" s="143">
        <v>1200000</v>
      </c>
      <c r="G610" s="138">
        <v>0.06</v>
      </c>
      <c r="H610" s="139">
        <f>F610*G610</f>
        <v>72000</v>
      </c>
    </row>
    <row r="611" spans="1:8" ht="18.75">
      <c r="A611" s="135">
        <v>11764</v>
      </c>
      <c r="B611" s="233">
        <v>0.1</v>
      </c>
      <c r="C611" s="238">
        <v>12</v>
      </c>
      <c r="D611" s="136" t="s">
        <v>384</v>
      </c>
      <c r="E611" s="143"/>
      <c r="F611" s="143">
        <v>1200000</v>
      </c>
      <c r="G611" s="138">
        <v>0.06</v>
      </c>
      <c r="H611" s="139">
        <f t="shared" ref="H611:H633" si="21">F611*G611</f>
        <v>72000</v>
      </c>
    </row>
    <row r="612" spans="1:8" ht="18.75">
      <c r="A612" s="135">
        <v>11744</v>
      </c>
      <c r="B612" s="233">
        <v>0.1</v>
      </c>
      <c r="C612" s="238">
        <v>12</v>
      </c>
      <c r="D612" s="136" t="s">
        <v>386</v>
      </c>
      <c r="E612" s="224"/>
      <c r="F612" s="143">
        <v>1050000</v>
      </c>
      <c r="G612" s="138">
        <v>0.06</v>
      </c>
      <c r="H612" s="139">
        <f t="shared" si="21"/>
        <v>63000</v>
      </c>
    </row>
    <row r="613" spans="1:8" ht="18.75">
      <c r="A613" s="135">
        <v>11792</v>
      </c>
      <c r="B613" s="233">
        <v>0.1</v>
      </c>
      <c r="C613" s="238">
        <v>12</v>
      </c>
      <c r="D613" s="136" t="s">
        <v>387</v>
      </c>
      <c r="E613" s="224"/>
      <c r="F613" s="143">
        <v>1300000</v>
      </c>
      <c r="G613" s="138">
        <v>0.06</v>
      </c>
      <c r="H613" s="139">
        <f t="shared" si="21"/>
        <v>78000</v>
      </c>
    </row>
    <row r="614" spans="1:8" ht="18.75">
      <c r="A614" s="135">
        <v>11784</v>
      </c>
      <c r="B614" s="233">
        <v>0.1</v>
      </c>
      <c r="C614" s="238">
        <v>12</v>
      </c>
      <c r="D614" s="136" t="s">
        <v>388</v>
      </c>
      <c r="E614" s="224"/>
      <c r="F614" s="143">
        <v>1300000</v>
      </c>
      <c r="G614" s="138">
        <v>0.06</v>
      </c>
      <c r="H614" s="139">
        <f t="shared" si="21"/>
        <v>78000</v>
      </c>
    </row>
    <row r="615" spans="1:8" ht="18.75">
      <c r="A615" s="135">
        <v>11835</v>
      </c>
      <c r="B615" s="233">
        <v>0.1</v>
      </c>
      <c r="C615" s="677">
        <v>12</v>
      </c>
      <c r="D615" s="136" t="s">
        <v>389</v>
      </c>
      <c r="E615" s="137"/>
      <c r="F615" s="143">
        <v>1300000</v>
      </c>
      <c r="G615" s="138">
        <v>0.06</v>
      </c>
      <c r="H615" s="139">
        <f t="shared" si="21"/>
        <v>78000</v>
      </c>
    </row>
    <row r="616" spans="1:8" ht="18.75">
      <c r="A616" s="135">
        <v>11853</v>
      </c>
      <c r="B616" s="233">
        <v>0.1</v>
      </c>
      <c r="C616" s="677">
        <v>12</v>
      </c>
      <c r="D616" s="136" t="s">
        <v>391</v>
      </c>
      <c r="E616" s="137"/>
      <c r="F616" s="143">
        <v>900000</v>
      </c>
      <c r="G616" s="138">
        <v>0.06</v>
      </c>
      <c r="H616" s="139">
        <f t="shared" si="21"/>
        <v>54000</v>
      </c>
    </row>
    <row r="617" spans="1:8" ht="18.75">
      <c r="A617" s="135">
        <v>11852</v>
      </c>
      <c r="B617" s="233">
        <v>0.1</v>
      </c>
      <c r="C617" s="1179">
        <v>12</v>
      </c>
      <c r="D617" s="136" t="s">
        <v>392</v>
      </c>
      <c r="E617" s="137"/>
      <c r="F617" s="143">
        <v>1400000</v>
      </c>
      <c r="G617" s="138">
        <v>0.06</v>
      </c>
      <c r="H617" s="139">
        <f t="shared" si="21"/>
        <v>84000</v>
      </c>
    </row>
    <row r="618" spans="1:8" ht="18.75">
      <c r="A618" s="135">
        <v>11871</v>
      </c>
      <c r="B618" s="233">
        <v>0.08</v>
      </c>
      <c r="C618" s="238">
        <v>12</v>
      </c>
      <c r="D618" s="136" t="s">
        <v>395</v>
      </c>
      <c r="E618" s="137"/>
      <c r="F618" s="143">
        <v>1400000</v>
      </c>
      <c r="G618" s="140">
        <v>0.05</v>
      </c>
      <c r="H618" s="139">
        <f t="shared" si="21"/>
        <v>70000</v>
      </c>
    </row>
    <row r="619" spans="1:8" ht="18.75">
      <c r="A619" s="677">
        <v>11749</v>
      </c>
      <c r="B619" s="478">
        <v>0.1</v>
      </c>
      <c r="C619" s="238">
        <v>12</v>
      </c>
      <c r="D619" s="259" t="s">
        <v>427</v>
      </c>
      <c r="E619" s="243"/>
      <c r="F619" s="678">
        <v>1350000</v>
      </c>
      <c r="G619" s="138">
        <v>0.06</v>
      </c>
      <c r="H619" s="139">
        <f t="shared" si="21"/>
        <v>81000</v>
      </c>
    </row>
    <row r="620" spans="1:8" ht="18.75">
      <c r="A620" s="135">
        <v>11759</v>
      </c>
      <c r="B620" s="233">
        <v>0.1</v>
      </c>
      <c r="C620" s="238">
        <v>12</v>
      </c>
      <c r="D620" s="136" t="s">
        <v>441</v>
      </c>
      <c r="E620" s="243"/>
      <c r="F620" s="143">
        <v>720000</v>
      </c>
      <c r="G620" s="138">
        <v>0.06</v>
      </c>
      <c r="H620" s="139">
        <f t="shared" si="21"/>
        <v>43200</v>
      </c>
    </row>
    <row r="621" spans="1:8" ht="18.75">
      <c r="A621" s="135">
        <v>11798</v>
      </c>
      <c r="B621" s="233">
        <v>0.1</v>
      </c>
      <c r="C621" s="238">
        <v>12</v>
      </c>
      <c r="D621" s="136" t="s">
        <v>442</v>
      </c>
      <c r="E621" s="243"/>
      <c r="F621" s="143">
        <v>1400000</v>
      </c>
      <c r="G621" s="138">
        <v>0.06</v>
      </c>
      <c r="H621" s="139">
        <f t="shared" si="21"/>
        <v>84000</v>
      </c>
    </row>
    <row r="622" spans="1:8" ht="18.75">
      <c r="A622" s="135">
        <v>11758</v>
      </c>
      <c r="B622" s="233">
        <v>0.1</v>
      </c>
      <c r="C622" s="238">
        <v>12</v>
      </c>
      <c r="D622" s="136" t="s">
        <v>443</v>
      </c>
      <c r="E622" s="243"/>
      <c r="F622" s="143">
        <v>1100000</v>
      </c>
      <c r="G622" s="138">
        <v>0.06</v>
      </c>
      <c r="H622" s="139">
        <f t="shared" si="21"/>
        <v>66000</v>
      </c>
    </row>
    <row r="623" spans="1:8" ht="18.75">
      <c r="A623" s="135">
        <v>11866</v>
      </c>
      <c r="B623" s="233">
        <v>0.1</v>
      </c>
      <c r="C623" s="238">
        <v>12</v>
      </c>
      <c r="D623" s="136" t="s">
        <v>448</v>
      </c>
      <c r="E623" s="243"/>
      <c r="F623" s="143">
        <v>680000</v>
      </c>
      <c r="G623" s="138">
        <v>0.06</v>
      </c>
      <c r="H623" s="139">
        <f t="shared" si="21"/>
        <v>40800</v>
      </c>
    </row>
    <row r="624" spans="1:8" ht="18.75">
      <c r="A624" s="135">
        <v>11885</v>
      </c>
      <c r="B624" s="233">
        <v>0.1</v>
      </c>
      <c r="C624" s="677">
        <v>12</v>
      </c>
      <c r="D624" s="136" t="s">
        <v>1555</v>
      </c>
      <c r="E624" s="143"/>
      <c r="F624" s="143">
        <v>850000</v>
      </c>
      <c r="G624" s="140">
        <v>0.02</v>
      </c>
      <c r="H624" s="139">
        <f t="shared" si="21"/>
        <v>17000</v>
      </c>
    </row>
    <row r="625" spans="1:8" ht="18.75">
      <c r="A625" s="677">
        <v>11808</v>
      </c>
      <c r="B625" s="478">
        <v>0.1</v>
      </c>
      <c r="C625" s="238">
        <v>12</v>
      </c>
      <c r="D625" s="259" t="s">
        <v>428</v>
      </c>
      <c r="E625" s="243"/>
      <c r="F625" s="678">
        <v>1380000</v>
      </c>
      <c r="G625" s="138">
        <v>0.06</v>
      </c>
      <c r="H625" s="139">
        <f t="shared" si="21"/>
        <v>82800</v>
      </c>
    </row>
    <row r="626" spans="1:8" ht="18.75">
      <c r="A626" s="135">
        <v>11905</v>
      </c>
      <c r="B626" s="1208">
        <v>0.1</v>
      </c>
      <c r="C626" s="677">
        <v>12</v>
      </c>
      <c r="D626" s="136" t="s">
        <v>450</v>
      </c>
      <c r="E626" s="137"/>
      <c r="F626" s="1146">
        <v>1300000</v>
      </c>
      <c r="G626" s="138">
        <v>0.06</v>
      </c>
      <c r="H626" s="139">
        <f t="shared" si="21"/>
        <v>78000</v>
      </c>
    </row>
    <row r="627" spans="1:8" ht="18.75">
      <c r="A627" s="346">
        <v>11908</v>
      </c>
      <c r="B627" s="188">
        <v>0.1</v>
      </c>
      <c r="C627" s="677">
        <v>12</v>
      </c>
      <c r="D627" s="651" t="s">
        <v>398</v>
      </c>
      <c r="E627" s="581"/>
      <c r="F627" s="678">
        <v>1000000</v>
      </c>
      <c r="G627" s="138">
        <v>0.06</v>
      </c>
      <c r="H627" s="139">
        <f t="shared" si="21"/>
        <v>60000</v>
      </c>
    </row>
    <row r="628" spans="1:8" ht="18.75">
      <c r="A628" s="346">
        <v>11914</v>
      </c>
      <c r="B628" s="188">
        <v>0.1</v>
      </c>
      <c r="C628" s="677">
        <v>12</v>
      </c>
      <c r="D628" s="259" t="s">
        <v>1288</v>
      </c>
      <c r="E628" s="581"/>
      <c r="F628" s="143">
        <v>1050000</v>
      </c>
      <c r="G628" s="138">
        <v>0.06</v>
      </c>
      <c r="H628" s="139">
        <f t="shared" si="21"/>
        <v>63000</v>
      </c>
    </row>
    <row r="629" spans="1:8" ht="18.75">
      <c r="A629" s="135">
        <v>11929</v>
      </c>
      <c r="B629" s="188">
        <v>0.1</v>
      </c>
      <c r="C629" s="677">
        <v>12</v>
      </c>
      <c r="D629" s="136" t="s">
        <v>417</v>
      </c>
      <c r="E629" s="581"/>
      <c r="F629" s="143">
        <v>1200000</v>
      </c>
      <c r="G629" s="138">
        <v>0.06</v>
      </c>
      <c r="H629" s="139">
        <f t="shared" si="21"/>
        <v>72000</v>
      </c>
    </row>
    <row r="630" spans="1:8" ht="18.75">
      <c r="A630" s="135">
        <v>11921</v>
      </c>
      <c r="B630" s="188">
        <v>0.1</v>
      </c>
      <c r="C630" s="677">
        <v>12</v>
      </c>
      <c r="D630" s="136" t="s">
        <v>1556</v>
      </c>
      <c r="E630" s="581"/>
      <c r="F630" s="143">
        <v>1150000</v>
      </c>
      <c r="G630" s="138">
        <v>0.06</v>
      </c>
      <c r="H630" s="139">
        <f t="shared" si="21"/>
        <v>69000</v>
      </c>
    </row>
    <row r="631" spans="1:8" ht="18.75">
      <c r="A631" s="135">
        <v>11931</v>
      </c>
      <c r="B631" s="188">
        <v>0.1</v>
      </c>
      <c r="C631" s="677">
        <v>12</v>
      </c>
      <c r="D631" s="136" t="s">
        <v>1557</v>
      </c>
      <c r="E631" s="581"/>
      <c r="F631" s="143">
        <v>1300000</v>
      </c>
      <c r="G631" s="138">
        <v>0.06</v>
      </c>
      <c r="H631" s="139">
        <f t="shared" si="21"/>
        <v>78000</v>
      </c>
    </row>
    <row r="632" spans="1:8" ht="18.75">
      <c r="A632" s="135">
        <v>11938</v>
      </c>
      <c r="B632" s="188">
        <v>0.1</v>
      </c>
      <c r="C632" s="677">
        <v>9</v>
      </c>
      <c r="D632" s="242" t="s">
        <v>402</v>
      </c>
      <c r="E632" s="581"/>
      <c r="F632" s="143">
        <v>1100000</v>
      </c>
      <c r="G632" s="138">
        <v>0.06</v>
      </c>
      <c r="H632" s="139">
        <f t="shared" si="21"/>
        <v>66000</v>
      </c>
    </row>
    <row r="633" spans="1:8" ht="18.75">
      <c r="A633" s="135">
        <v>11939</v>
      </c>
      <c r="B633" s="188">
        <v>0.1</v>
      </c>
      <c r="C633" s="677">
        <v>12</v>
      </c>
      <c r="D633" s="242" t="s">
        <v>403</v>
      </c>
      <c r="E633" s="581"/>
      <c r="F633" s="143">
        <v>950000</v>
      </c>
      <c r="G633" s="138">
        <v>0.06</v>
      </c>
      <c r="H633" s="139">
        <f t="shared" si="21"/>
        <v>57000</v>
      </c>
    </row>
    <row r="634" spans="1:8" ht="18.75">
      <c r="A634" s="362" t="s">
        <v>245</v>
      </c>
      <c r="B634" s="1205"/>
      <c r="C634" s="489"/>
      <c r="D634" s="277" t="s">
        <v>418</v>
      </c>
      <c r="E634" s="573" t="s">
        <v>407</v>
      </c>
      <c r="F634" s="308"/>
      <c r="G634" s="220"/>
      <c r="H634" s="221"/>
    </row>
    <row r="635" spans="1:8" ht="18.75">
      <c r="A635" s="362" t="s">
        <v>373</v>
      </c>
      <c r="B635" s="1205"/>
      <c r="C635" s="489"/>
      <c r="D635" s="757" t="s">
        <v>420</v>
      </c>
      <c r="E635" s="573" t="s">
        <v>349</v>
      </c>
      <c r="F635" s="308"/>
      <c r="G635" s="220"/>
      <c r="H635" s="221"/>
    </row>
    <row r="636" spans="1:8" ht="18.75">
      <c r="A636" s="362" t="s">
        <v>257</v>
      </c>
      <c r="B636" s="1205"/>
      <c r="C636" s="489"/>
      <c r="D636" s="757" t="s">
        <v>421</v>
      </c>
      <c r="E636" s="573" t="s">
        <v>349</v>
      </c>
      <c r="F636" s="756"/>
      <c r="G636" s="220"/>
      <c r="H636" s="221"/>
    </row>
    <row r="637" spans="1:8" ht="18.75">
      <c r="A637" s="489" t="s">
        <v>245</v>
      </c>
      <c r="B637" s="348"/>
      <c r="C637" s="1217"/>
      <c r="D637" s="757" t="s">
        <v>434</v>
      </c>
      <c r="E637" s="573" t="s">
        <v>301</v>
      </c>
      <c r="F637" s="496"/>
      <c r="G637" s="220"/>
      <c r="H637" s="665"/>
    </row>
    <row r="638" spans="1:8" ht="18.75">
      <c r="A638" s="211" t="s">
        <v>257</v>
      </c>
      <c r="B638" s="1211"/>
      <c r="C638" s="1217"/>
      <c r="D638" s="277" t="s">
        <v>458</v>
      </c>
      <c r="E638" s="688" t="s">
        <v>349</v>
      </c>
      <c r="F638" s="496"/>
      <c r="G638" s="220"/>
      <c r="H638" s="665"/>
    </row>
    <row r="639" spans="1:8" ht="18.75">
      <c r="A639" s="211" t="s">
        <v>257</v>
      </c>
      <c r="B639" s="1211"/>
      <c r="C639" s="1217"/>
      <c r="D639" s="277" t="s">
        <v>459</v>
      </c>
      <c r="E639" s="688" t="s">
        <v>349</v>
      </c>
      <c r="F639" s="496"/>
      <c r="G639" s="220"/>
      <c r="H639" s="665"/>
    </row>
    <row r="640" spans="1:8" ht="18.75">
      <c r="A640" s="211" t="s">
        <v>245</v>
      </c>
      <c r="B640" s="1211"/>
      <c r="C640" s="1217"/>
      <c r="D640" s="277" t="s">
        <v>460</v>
      </c>
      <c r="E640" s="277" t="s">
        <v>461</v>
      </c>
      <c r="F640" s="496"/>
      <c r="G640" s="220"/>
      <c r="H640" s="665"/>
    </row>
    <row r="641" spans="1:8" ht="18.75">
      <c r="A641" s="211" t="s">
        <v>245</v>
      </c>
      <c r="B641" s="1211"/>
      <c r="C641" s="1217"/>
      <c r="D641" s="277" t="s">
        <v>462</v>
      </c>
      <c r="E641" s="277" t="s">
        <v>463</v>
      </c>
      <c r="F641" s="496"/>
      <c r="G641" s="220"/>
      <c r="H641" s="665"/>
    </row>
    <row r="642" spans="1:8" ht="18.75">
      <c r="A642" s="211" t="s">
        <v>257</v>
      </c>
      <c r="B642" s="1211"/>
      <c r="C642" s="489"/>
      <c r="D642" s="277" t="s">
        <v>464</v>
      </c>
      <c r="E642" s="225" t="s">
        <v>349</v>
      </c>
      <c r="F642" s="756"/>
      <c r="G642" s="220"/>
      <c r="H642" s="665"/>
    </row>
    <row r="643" spans="1:8" ht="18.75">
      <c r="A643" s="1192"/>
      <c r="B643" s="1192"/>
      <c r="C643" s="1192"/>
      <c r="D643" s="1192"/>
      <c r="E643" s="156" t="s">
        <v>34</v>
      </c>
      <c r="F643" s="1164">
        <f>SUM(F610:F642)</f>
        <v>27580000</v>
      </c>
      <c r="G643" s="14"/>
      <c r="H643" s="674">
        <f>SUM(H610:H642)</f>
        <v>1606800</v>
      </c>
    </row>
    <row r="646" spans="1:8" ht="26.25">
      <c r="A646" s="1640" t="s">
        <v>1558</v>
      </c>
      <c r="B646" s="1640"/>
      <c r="C646" s="1640"/>
      <c r="D646" s="1640"/>
      <c r="E646" s="1640"/>
      <c r="F646" s="1640"/>
      <c r="G646" s="1640"/>
      <c r="H646" s="1640"/>
    </row>
    <row r="647" spans="1:8" ht="30.75">
      <c r="A647" s="45" t="s">
        <v>1463</v>
      </c>
      <c r="B647" s="46" t="s">
        <v>1497</v>
      </c>
      <c r="C647" s="46" t="s">
        <v>1465</v>
      </c>
      <c r="D647" s="45" t="s">
        <v>5</v>
      </c>
      <c r="E647" s="47" t="s">
        <v>1466</v>
      </c>
      <c r="F647" s="48" t="s">
        <v>1467</v>
      </c>
      <c r="G647" s="48" t="s">
        <v>7</v>
      </c>
      <c r="H647" s="48" t="s">
        <v>1468</v>
      </c>
    </row>
    <row r="648" spans="1:8" ht="18.75">
      <c r="A648" s="135">
        <v>11849</v>
      </c>
      <c r="B648" s="188">
        <v>0.1</v>
      </c>
      <c r="C648" s="677">
        <v>12</v>
      </c>
      <c r="D648" s="136" t="s">
        <v>1559</v>
      </c>
      <c r="E648" s="581"/>
      <c r="F648" s="143">
        <v>950000</v>
      </c>
      <c r="G648" s="138"/>
      <c r="H648" s="139"/>
    </row>
    <row r="649" spans="1:8" ht="18.75">
      <c r="A649" s="241">
        <v>11937</v>
      </c>
      <c r="B649" s="188">
        <v>0.1</v>
      </c>
      <c r="C649" s="677">
        <v>12</v>
      </c>
      <c r="D649" s="136" t="s">
        <v>452</v>
      </c>
      <c r="E649" s="581"/>
      <c r="F649" s="143">
        <v>1250000</v>
      </c>
      <c r="G649" s="138"/>
      <c r="H649" s="139"/>
    </row>
    <row r="650" spans="1:8" ht="18.75">
      <c r="A650" s="241">
        <v>11935</v>
      </c>
      <c r="B650" s="188">
        <v>0.08</v>
      </c>
      <c r="C650" s="677">
        <v>12</v>
      </c>
      <c r="D650" s="136" t="s">
        <v>467</v>
      </c>
      <c r="E650" s="581"/>
      <c r="F650" s="143">
        <v>1200000</v>
      </c>
      <c r="G650" s="138"/>
      <c r="H650" s="139"/>
    </row>
    <row r="651" spans="1:8" ht="18.75">
      <c r="A651" s="1191"/>
      <c r="B651" s="1189"/>
      <c r="C651" s="18"/>
      <c r="D651" s="11"/>
      <c r="E651" s="165" t="s">
        <v>34</v>
      </c>
      <c r="F651" s="1166">
        <f>SUM(F648:F650)</f>
        <v>3400000</v>
      </c>
      <c r="G651" s="28"/>
      <c r="H651" s="265">
        <f>SUM(H648:H648)</f>
        <v>0</v>
      </c>
    </row>
    <row r="654" spans="1:8" ht="26.25">
      <c r="A654" s="1640" t="s">
        <v>1560</v>
      </c>
      <c r="B654" s="1640"/>
      <c r="C654" s="1641"/>
      <c r="D654" s="1640"/>
      <c r="E654" s="1640"/>
      <c r="F654" s="1640"/>
      <c r="G654" s="1640"/>
      <c r="H654" s="1640"/>
    </row>
    <row r="655" spans="1:8" ht="30.75">
      <c r="A655" s="45" t="s">
        <v>1463</v>
      </c>
      <c r="B655" s="646" t="s">
        <v>1497</v>
      </c>
      <c r="C655" s="132" t="s">
        <v>1465</v>
      </c>
      <c r="D655" s="647" t="s">
        <v>5</v>
      </c>
      <c r="E655" s="47" t="s">
        <v>1466</v>
      </c>
      <c r="F655" s="48" t="s">
        <v>1467</v>
      </c>
      <c r="G655" s="48" t="s">
        <v>7</v>
      </c>
      <c r="H655" s="48" t="s">
        <v>1468</v>
      </c>
    </row>
    <row r="656" spans="1:8" ht="18.75">
      <c r="A656" s="135">
        <v>11750</v>
      </c>
      <c r="B656" s="233">
        <v>0.1</v>
      </c>
      <c r="C656" s="238">
        <v>12</v>
      </c>
      <c r="D656" s="136" t="s">
        <v>385</v>
      </c>
      <c r="E656" s="581"/>
      <c r="F656" s="143">
        <v>1300000</v>
      </c>
      <c r="G656" s="138">
        <v>0.03</v>
      </c>
      <c r="H656" s="139">
        <f>F656*G656</f>
        <v>39000</v>
      </c>
    </row>
    <row r="657" spans="1:8" ht="18.75">
      <c r="A657" s="135">
        <v>11837</v>
      </c>
      <c r="B657" s="233">
        <v>0.1</v>
      </c>
      <c r="C657" s="238">
        <v>12</v>
      </c>
      <c r="D657" s="136" t="s">
        <v>390</v>
      </c>
      <c r="E657" s="581"/>
      <c r="F657" s="143">
        <v>700000</v>
      </c>
      <c r="G657" s="138">
        <v>0.03</v>
      </c>
      <c r="H657" s="139">
        <f t="shared" ref="H657:H699" si="22">F657*G657</f>
        <v>21000</v>
      </c>
    </row>
    <row r="658" spans="1:8" ht="18.75">
      <c r="A658" s="135">
        <v>11865</v>
      </c>
      <c r="B658" s="233">
        <v>0.1</v>
      </c>
      <c r="C658" s="677">
        <v>12</v>
      </c>
      <c r="D658" s="136" t="s">
        <v>393</v>
      </c>
      <c r="E658" s="690"/>
      <c r="F658" s="143">
        <v>1500000</v>
      </c>
      <c r="G658" s="138">
        <v>0.03</v>
      </c>
      <c r="H658" s="139">
        <f t="shared" si="22"/>
        <v>45000</v>
      </c>
    </row>
    <row r="659" spans="1:8" ht="18.75">
      <c r="A659" s="135">
        <v>11869</v>
      </c>
      <c r="B659" s="233">
        <v>0.1</v>
      </c>
      <c r="C659" s="238">
        <v>12</v>
      </c>
      <c r="D659" s="136" t="s">
        <v>394</v>
      </c>
      <c r="E659" s="690"/>
      <c r="F659" s="143">
        <v>1200000</v>
      </c>
      <c r="G659" s="138">
        <v>0.03</v>
      </c>
      <c r="H659" s="139">
        <f t="shared" si="22"/>
        <v>36000</v>
      </c>
    </row>
    <row r="660" spans="1:8" ht="18.75">
      <c r="A660" s="135">
        <v>11875</v>
      </c>
      <c r="B660" s="233">
        <v>0.08</v>
      </c>
      <c r="C660" s="238">
        <v>12</v>
      </c>
      <c r="D660" s="136" t="s">
        <v>396</v>
      </c>
      <c r="E660" s="690"/>
      <c r="F660" s="143">
        <v>1450000</v>
      </c>
      <c r="G660" s="140">
        <v>0.02</v>
      </c>
      <c r="H660" s="139">
        <f t="shared" si="22"/>
        <v>29000</v>
      </c>
    </row>
    <row r="661" spans="1:8" ht="18.75">
      <c r="A661" s="135">
        <v>11883</v>
      </c>
      <c r="B661" s="233">
        <v>0.1</v>
      </c>
      <c r="C661" s="677">
        <v>12</v>
      </c>
      <c r="D661" s="136" t="s">
        <v>397</v>
      </c>
      <c r="E661" s="137"/>
      <c r="F661" s="143">
        <v>1300000</v>
      </c>
      <c r="G661" s="138">
        <v>0.03</v>
      </c>
      <c r="H661" s="139">
        <f t="shared" si="22"/>
        <v>39000</v>
      </c>
    </row>
    <row r="662" spans="1:8" ht="18.75">
      <c r="A662" s="346">
        <v>11774</v>
      </c>
      <c r="B662" s="478">
        <v>0.1</v>
      </c>
      <c r="C662" s="677">
        <v>12</v>
      </c>
      <c r="D662" s="259" t="s">
        <v>413</v>
      </c>
      <c r="E662" s="137"/>
      <c r="F662" s="1146">
        <v>1350000</v>
      </c>
      <c r="G662" s="138">
        <v>0.03</v>
      </c>
      <c r="H662" s="139">
        <f t="shared" si="22"/>
        <v>40500</v>
      </c>
    </row>
    <row r="663" spans="1:8" ht="18.75">
      <c r="A663" s="346">
        <v>11801</v>
      </c>
      <c r="B663" s="478">
        <v>0.1</v>
      </c>
      <c r="C663" s="677">
        <v>12</v>
      </c>
      <c r="D663" s="259" t="s">
        <v>1561</v>
      </c>
      <c r="E663" s="137"/>
      <c r="F663" s="1146">
        <v>1200000</v>
      </c>
      <c r="G663" s="138">
        <v>0.03</v>
      </c>
      <c r="H663" s="139">
        <f t="shared" si="22"/>
        <v>36000</v>
      </c>
    </row>
    <row r="664" spans="1:8" ht="18.75">
      <c r="A664" s="346">
        <v>11827</v>
      </c>
      <c r="B664" s="478">
        <v>0.1</v>
      </c>
      <c r="C664" s="238">
        <v>12</v>
      </c>
      <c r="D664" s="259" t="s">
        <v>84</v>
      </c>
      <c r="E664" s="137"/>
      <c r="F664" s="1146">
        <v>850000</v>
      </c>
      <c r="G664" s="138">
        <v>0.03</v>
      </c>
      <c r="H664" s="139">
        <f t="shared" si="22"/>
        <v>25500</v>
      </c>
    </row>
    <row r="665" spans="1:8" ht="18.75">
      <c r="A665" s="346">
        <v>11878</v>
      </c>
      <c r="B665" s="478">
        <v>0.1</v>
      </c>
      <c r="C665" s="238">
        <v>12</v>
      </c>
      <c r="D665" s="259" t="s">
        <v>416</v>
      </c>
      <c r="E665" s="243"/>
      <c r="F665" s="1146">
        <v>800000</v>
      </c>
      <c r="G665" s="138">
        <v>0.03</v>
      </c>
      <c r="H665" s="139">
        <f t="shared" si="22"/>
        <v>24000</v>
      </c>
    </row>
    <row r="666" spans="1:8" ht="18.75">
      <c r="A666" s="135">
        <v>11787</v>
      </c>
      <c r="B666" s="233">
        <v>0.1</v>
      </c>
      <c r="C666" s="238">
        <v>12</v>
      </c>
      <c r="D666" s="136" t="s">
        <v>429</v>
      </c>
      <c r="E666" s="243"/>
      <c r="F666" s="678">
        <v>1050000</v>
      </c>
      <c r="G666" s="138">
        <v>0.03</v>
      </c>
      <c r="H666" s="139">
        <f t="shared" si="22"/>
        <v>31500</v>
      </c>
    </row>
    <row r="667" spans="1:8" ht="18.75">
      <c r="A667" s="135">
        <v>11850</v>
      </c>
      <c r="B667" s="233">
        <v>0.1</v>
      </c>
      <c r="C667" s="238">
        <v>12</v>
      </c>
      <c r="D667" s="136" t="s">
        <v>433</v>
      </c>
      <c r="E667" s="243"/>
      <c r="F667" s="678">
        <v>1300000</v>
      </c>
      <c r="G667" s="138">
        <v>0.03</v>
      </c>
      <c r="H667" s="139">
        <f t="shared" si="22"/>
        <v>39000</v>
      </c>
    </row>
    <row r="668" spans="1:8" ht="18.75">
      <c r="A668" s="135">
        <v>11741</v>
      </c>
      <c r="B668" s="233">
        <v>0.1</v>
      </c>
      <c r="C668" s="238">
        <v>12</v>
      </c>
      <c r="D668" s="136" t="s">
        <v>444</v>
      </c>
      <c r="E668" s="243"/>
      <c r="F668" s="143">
        <v>1200000</v>
      </c>
      <c r="G668" s="138">
        <v>0.03</v>
      </c>
      <c r="H668" s="139">
        <f t="shared" si="22"/>
        <v>36000</v>
      </c>
    </row>
    <row r="669" spans="1:8" ht="18.75">
      <c r="A669" s="135">
        <v>11807</v>
      </c>
      <c r="B669" s="233">
        <v>0.1</v>
      </c>
      <c r="C669" s="238">
        <v>12</v>
      </c>
      <c r="D669" s="136" t="s">
        <v>445</v>
      </c>
      <c r="E669" s="243"/>
      <c r="F669" s="143">
        <v>750000</v>
      </c>
      <c r="G669" s="138">
        <v>0.03</v>
      </c>
      <c r="H669" s="139">
        <f t="shared" si="22"/>
        <v>22500</v>
      </c>
    </row>
    <row r="670" spans="1:8" ht="18.75">
      <c r="A670" s="135">
        <v>11796</v>
      </c>
      <c r="B670" s="233">
        <v>0.08</v>
      </c>
      <c r="C670" s="677">
        <v>12</v>
      </c>
      <c r="D670" s="136" t="s">
        <v>446</v>
      </c>
      <c r="E670" s="581"/>
      <c r="F670" s="143">
        <v>1100000</v>
      </c>
      <c r="G670" s="140">
        <v>0.02</v>
      </c>
      <c r="H670" s="139">
        <f t="shared" si="22"/>
        <v>22000</v>
      </c>
    </row>
    <row r="671" spans="1:8" ht="18.75">
      <c r="A671" s="135">
        <v>11793</v>
      </c>
      <c r="B671" s="233">
        <v>0.1</v>
      </c>
      <c r="C671" s="677">
        <v>12</v>
      </c>
      <c r="D671" s="136" t="s">
        <v>447</v>
      </c>
      <c r="E671" s="581"/>
      <c r="F671" s="143">
        <v>1300000</v>
      </c>
      <c r="G671" s="138">
        <v>0.03</v>
      </c>
      <c r="H671" s="139">
        <f t="shared" si="22"/>
        <v>39000</v>
      </c>
    </row>
    <row r="672" spans="1:8" ht="18.75">
      <c r="A672" s="135">
        <v>11915</v>
      </c>
      <c r="B672" s="233">
        <v>0.1</v>
      </c>
      <c r="C672" s="677">
        <v>12</v>
      </c>
      <c r="D672" s="651" t="s">
        <v>1553</v>
      </c>
      <c r="E672" s="581"/>
      <c r="F672" s="143">
        <v>1300000</v>
      </c>
      <c r="G672" s="138">
        <v>0.03</v>
      </c>
      <c r="H672" s="139">
        <f t="shared" si="22"/>
        <v>39000</v>
      </c>
    </row>
    <row r="673" spans="1:8" ht="18.75">
      <c r="A673" s="135">
        <v>11751</v>
      </c>
      <c r="B673" s="233">
        <v>0.1</v>
      </c>
      <c r="C673" s="238">
        <v>12</v>
      </c>
      <c r="D673" s="136" t="s">
        <v>383</v>
      </c>
      <c r="E673" s="691"/>
      <c r="F673" s="143">
        <v>1200000</v>
      </c>
      <c r="G673" s="138">
        <v>0.03</v>
      </c>
      <c r="H673" s="139">
        <f t="shared" si="22"/>
        <v>36000</v>
      </c>
    </row>
    <row r="674" spans="1:8" ht="18.75">
      <c r="A674" s="135">
        <v>11764</v>
      </c>
      <c r="B674" s="233">
        <v>0.1</v>
      </c>
      <c r="C674" s="238">
        <v>12</v>
      </c>
      <c r="D674" s="136" t="s">
        <v>384</v>
      </c>
      <c r="E674" s="691"/>
      <c r="F674" s="143">
        <v>1200000</v>
      </c>
      <c r="G674" s="138">
        <v>0.03</v>
      </c>
      <c r="H674" s="139">
        <f t="shared" si="22"/>
        <v>36000</v>
      </c>
    </row>
    <row r="675" spans="1:8" ht="18.75">
      <c r="A675" s="135">
        <v>11744</v>
      </c>
      <c r="B675" s="233">
        <v>0.1</v>
      </c>
      <c r="C675" s="238">
        <v>12</v>
      </c>
      <c r="D675" s="136" t="s">
        <v>386</v>
      </c>
      <c r="E675" s="690"/>
      <c r="F675" s="143">
        <v>1050000</v>
      </c>
      <c r="G675" s="138">
        <v>0.03</v>
      </c>
      <c r="H675" s="139">
        <f t="shared" si="22"/>
        <v>31500</v>
      </c>
    </row>
    <row r="676" spans="1:8" ht="18.75">
      <c r="A676" s="135">
        <v>11792</v>
      </c>
      <c r="B676" s="233">
        <v>0.1</v>
      </c>
      <c r="C676" s="238">
        <v>12</v>
      </c>
      <c r="D676" s="136" t="s">
        <v>387</v>
      </c>
      <c r="E676" s="690"/>
      <c r="F676" s="143">
        <v>1300000</v>
      </c>
      <c r="G676" s="138">
        <v>0.03</v>
      </c>
      <c r="H676" s="139">
        <f t="shared" si="22"/>
        <v>39000</v>
      </c>
    </row>
    <row r="677" spans="1:8" ht="18.75">
      <c r="A677" s="135">
        <v>11784</v>
      </c>
      <c r="B677" s="233">
        <v>0.1</v>
      </c>
      <c r="C677" s="238">
        <v>12</v>
      </c>
      <c r="D677" s="136" t="s">
        <v>388</v>
      </c>
      <c r="E677" s="690"/>
      <c r="F677" s="143">
        <v>1300000</v>
      </c>
      <c r="G677" s="138">
        <v>0.03</v>
      </c>
      <c r="H677" s="139">
        <f t="shared" si="22"/>
        <v>39000</v>
      </c>
    </row>
    <row r="678" spans="1:8" ht="18.75">
      <c r="A678" s="135">
        <v>11835</v>
      </c>
      <c r="B678" s="233">
        <v>0.1</v>
      </c>
      <c r="C678" s="677">
        <v>12</v>
      </c>
      <c r="D678" s="136" t="s">
        <v>389</v>
      </c>
      <c r="E678" s="137"/>
      <c r="F678" s="143">
        <v>1300000</v>
      </c>
      <c r="G678" s="138">
        <v>0.03</v>
      </c>
      <c r="H678" s="139">
        <f t="shared" si="22"/>
        <v>39000</v>
      </c>
    </row>
    <row r="679" spans="1:8" ht="18.75">
      <c r="A679" s="135">
        <v>11853</v>
      </c>
      <c r="B679" s="233">
        <v>0.1</v>
      </c>
      <c r="C679" s="677">
        <v>12</v>
      </c>
      <c r="D679" s="136" t="s">
        <v>391</v>
      </c>
      <c r="E679" s="137"/>
      <c r="F679" s="143">
        <v>900000</v>
      </c>
      <c r="G679" s="138">
        <v>0.03</v>
      </c>
      <c r="H679" s="139">
        <f t="shared" si="22"/>
        <v>27000</v>
      </c>
    </row>
    <row r="680" spans="1:8" ht="18.75">
      <c r="A680" s="135">
        <v>11852</v>
      </c>
      <c r="B680" s="233">
        <v>0.1</v>
      </c>
      <c r="C680" s="1179">
        <v>12</v>
      </c>
      <c r="D680" s="136" t="s">
        <v>392</v>
      </c>
      <c r="E680" s="137"/>
      <c r="F680" s="143">
        <v>1400000</v>
      </c>
      <c r="G680" s="138">
        <v>0.03</v>
      </c>
      <c r="H680" s="139">
        <f t="shared" si="22"/>
        <v>42000</v>
      </c>
    </row>
    <row r="681" spans="1:8" ht="18.75">
      <c r="A681" s="135">
        <v>11871</v>
      </c>
      <c r="B681" s="233">
        <v>0.08</v>
      </c>
      <c r="C681" s="238">
        <v>12</v>
      </c>
      <c r="D681" s="136" t="s">
        <v>395</v>
      </c>
      <c r="E681" s="137"/>
      <c r="F681" s="143">
        <v>1400000</v>
      </c>
      <c r="G681" s="140">
        <v>0.02</v>
      </c>
      <c r="H681" s="139">
        <f t="shared" si="22"/>
        <v>28000</v>
      </c>
    </row>
    <row r="682" spans="1:8" ht="18.75">
      <c r="A682" s="677">
        <v>11749</v>
      </c>
      <c r="B682" s="478">
        <v>0.1</v>
      </c>
      <c r="C682" s="238">
        <v>12</v>
      </c>
      <c r="D682" s="259" t="s">
        <v>427</v>
      </c>
      <c r="E682" s="243"/>
      <c r="F682" s="678">
        <v>1350000</v>
      </c>
      <c r="G682" s="138">
        <v>0.03</v>
      </c>
      <c r="H682" s="139">
        <f t="shared" si="22"/>
        <v>40500</v>
      </c>
    </row>
    <row r="683" spans="1:8" ht="18.75">
      <c r="A683" s="135">
        <v>11759</v>
      </c>
      <c r="B683" s="233">
        <v>0.1</v>
      </c>
      <c r="C683" s="238">
        <v>12</v>
      </c>
      <c r="D683" s="136" t="s">
        <v>441</v>
      </c>
      <c r="E683" s="243"/>
      <c r="F683" s="143">
        <v>720000</v>
      </c>
      <c r="G683" s="138">
        <v>0.03</v>
      </c>
      <c r="H683" s="139">
        <f t="shared" si="22"/>
        <v>21600</v>
      </c>
    </row>
    <row r="684" spans="1:8" ht="18.75">
      <c r="A684" s="135">
        <v>11798</v>
      </c>
      <c r="B684" s="233">
        <v>0.1</v>
      </c>
      <c r="C684" s="238">
        <v>12</v>
      </c>
      <c r="D684" s="136" t="s">
        <v>442</v>
      </c>
      <c r="E684" s="243"/>
      <c r="F684" s="143">
        <v>1400000</v>
      </c>
      <c r="G684" s="138">
        <v>0.03</v>
      </c>
      <c r="H684" s="139">
        <f t="shared" si="22"/>
        <v>42000</v>
      </c>
    </row>
    <row r="685" spans="1:8" ht="18.75">
      <c r="A685" s="135">
        <v>11758</v>
      </c>
      <c r="B685" s="233">
        <v>0.1</v>
      </c>
      <c r="C685" s="238">
        <v>12</v>
      </c>
      <c r="D685" s="136" t="s">
        <v>443</v>
      </c>
      <c r="E685" s="243"/>
      <c r="F685" s="143">
        <v>1100000</v>
      </c>
      <c r="G685" s="138">
        <v>0.03</v>
      </c>
      <c r="H685" s="139">
        <f t="shared" si="22"/>
        <v>33000</v>
      </c>
    </row>
    <row r="686" spans="1:8" ht="18.75">
      <c r="A686" s="135">
        <v>11866</v>
      </c>
      <c r="B686" s="233">
        <v>0.1</v>
      </c>
      <c r="C686" s="238">
        <v>12</v>
      </c>
      <c r="D686" s="136" t="s">
        <v>448</v>
      </c>
      <c r="E686" s="243"/>
      <c r="F686" s="143">
        <v>680000</v>
      </c>
      <c r="G686" s="138">
        <v>0.03</v>
      </c>
      <c r="H686" s="139">
        <f t="shared" si="22"/>
        <v>20400</v>
      </c>
    </row>
    <row r="687" spans="1:8" ht="18.75">
      <c r="A687" s="135">
        <v>11885</v>
      </c>
      <c r="B687" s="233">
        <v>0.1</v>
      </c>
      <c r="C687" s="677">
        <v>12</v>
      </c>
      <c r="D687" s="136" t="s">
        <v>1373</v>
      </c>
      <c r="E687" s="691"/>
      <c r="F687" s="143">
        <v>850000</v>
      </c>
      <c r="G687" s="138">
        <v>0.03</v>
      </c>
      <c r="H687" s="139">
        <f t="shared" si="22"/>
        <v>25500</v>
      </c>
    </row>
    <row r="688" spans="1:8" ht="18.75">
      <c r="A688" s="677">
        <v>11808</v>
      </c>
      <c r="B688" s="478">
        <v>0.1</v>
      </c>
      <c r="C688" s="238">
        <v>12</v>
      </c>
      <c r="D688" s="259" t="s">
        <v>428</v>
      </c>
      <c r="E688" s="243"/>
      <c r="F688" s="678">
        <v>1380000</v>
      </c>
      <c r="G688" s="138">
        <v>0.03</v>
      </c>
      <c r="H688" s="139">
        <f t="shared" si="22"/>
        <v>41400</v>
      </c>
    </row>
    <row r="689" spans="1:8" ht="18.75">
      <c r="A689" s="135">
        <v>11905</v>
      </c>
      <c r="B689" s="1208">
        <v>0.1</v>
      </c>
      <c r="C689" s="677">
        <v>12</v>
      </c>
      <c r="D689" s="136" t="s">
        <v>450</v>
      </c>
      <c r="E689" s="137"/>
      <c r="F689" s="1146">
        <v>1300000</v>
      </c>
      <c r="G689" s="138">
        <v>0.03</v>
      </c>
      <c r="H689" s="139">
        <f t="shared" si="22"/>
        <v>39000</v>
      </c>
    </row>
    <row r="690" spans="1:8" ht="18.75">
      <c r="A690" s="346">
        <v>11908</v>
      </c>
      <c r="B690" s="188">
        <v>0.1</v>
      </c>
      <c r="C690" s="677">
        <v>12</v>
      </c>
      <c r="D690" s="651" t="s">
        <v>398</v>
      </c>
      <c r="E690" s="581"/>
      <c r="F690" s="678">
        <v>1000000</v>
      </c>
      <c r="G690" s="138">
        <v>0.03</v>
      </c>
      <c r="H690" s="139">
        <f t="shared" si="22"/>
        <v>30000</v>
      </c>
    </row>
    <row r="691" spans="1:8" ht="18.75">
      <c r="A691" s="346">
        <v>11914</v>
      </c>
      <c r="B691" s="188">
        <v>0.1</v>
      </c>
      <c r="C691" s="677">
        <v>12</v>
      </c>
      <c r="D691" s="259" t="s">
        <v>1288</v>
      </c>
      <c r="E691" s="581"/>
      <c r="F691" s="143">
        <v>1050000</v>
      </c>
      <c r="G691" s="138">
        <v>0.03</v>
      </c>
      <c r="H691" s="139">
        <f t="shared" si="22"/>
        <v>31500</v>
      </c>
    </row>
    <row r="692" spans="1:8" ht="18.75">
      <c r="A692" s="135">
        <v>11929</v>
      </c>
      <c r="B692" s="188">
        <v>0.1</v>
      </c>
      <c r="C692" s="677">
        <v>12</v>
      </c>
      <c r="D692" s="136" t="s">
        <v>417</v>
      </c>
      <c r="E692" s="581"/>
      <c r="F692" s="143">
        <v>1200000</v>
      </c>
      <c r="G692" s="138">
        <v>0.03</v>
      </c>
      <c r="H692" s="139">
        <f t="shared" si="22"/>
        <v>36000</v>
      </c>
    </row>
    <row r="693" spans="1:8" ht="18.75">
      <c r="A693" s="135">
        <v>11921</v>
      </c>
      <c r="B693" s="188">
        <v>0.1</v>
      </c>
      <c r="C693" s="677">
        <v>12</v>
      </c>
      <c r="D693" s="136" t="s">
        <v>1556</v>
      </c>
      <c r="E693" s="581"/>
      <c r="F693" s="143">
        <v>1150000</v>
      </c>
      <c r="G693" s="138">
        <v>0.03</v>
      </c>
      <c r="H693" s="139">
        <f t="shared" si="22"/>
        <v>34500</v>
      </c>
    </row>
    <row r="694" spans="1:8" ht="18.75">
      <c r="A694" s="135">
        <v>11931</v>
      </c>
      <c r="B694" s="1206">
        <v>0.1</v>
      </c>
      <c r="C694" s="1218">
        <v>12</v>
      </c>
      <c r="D694" s="661" t="s">
        <v>1557</v>
      </c>
      <c r="E694" s="662"/>
      <c r="F694" s="146">
        <v>1300000</v>
      </c>
      <c r="G694" s="138">
        <v>0.03</v>
      </c>
      <c r="H694" s="139">
        <f t="shared" si="22"/>
        <v>39000</v>
      </c>
    </row>
    <row r="695" spans="1:8" ht="18.75">
      <c r="A695" s="179">
        <v>11849</v>
      </c>
      <c r="B695" s="188">
        <v>0.1</v>
      </c>
      <c r="C695" s="677">
        <v>12</v>
      </c>
      <c r="D695" s="136" t="s">
        <v>1559</v>
      </c>
      <c r="E695" s="581"/>
      <c r="F695" s="143">
        <v>950000</v>
      </c>
      <c r="G695" s="138">
        <v>0.03</v>
      </c>
      <c r="H695" s="139">
        <f t="shared" si="22"/>
        <v>28500</v>
      </c>
    </row>
    <row r="696" spans="1:8" ht="18.75">
      <c r="A696" s="135">
        <v>11938</v>
      </c>
      <c r="B696" s="188">
        <v>0.1</v>
      </c>
      <c r="C696" s="677">
        <v>9</v>
      </c>
      <c r="D696" s="242" t="s">
        <v>402</v>
      </c>
      <c r="E696" s="581"/>
      <c r="F696" s="143">
        <v>1100000</v>
      </c>
      <c r="G696" s="138">
        <v>0.03</v>
      </c>
      <c r="H696" s="139">
        <f t="shared" si="22"/>
        <v>33000</v>
      </c>
    </row>
    <row r="697" spans="1:8" ht="18.75">
      <c r="A697" s="241">
        <v>11937</v>
      </c>
      <c r="B697" s="188">
        <v>0.1</v>
      </c>
      <c r="C697" s="677">
        <v>12</v>
      </c>
      <c r="D697" s="136" t="s">
        <v>452</v>
      </c>
      <c r="E697" s="581"/>
      <c r="F697" s="143">
        <v>1250000</v>
      </c>
      <c r="G697" s="138">
        <v>0.03</v>
      </c>
      <c r="H697" s="139">
        <f t="shared" si="22"/>
        <v>37500</v>
      </c>
    </row>
    <row r="698" spans="1:8" ht="18.75">
      <c r="A698" s="241">
        <v>11935</v>
      </c>
      <c r="B698" s="188">
        <v>0.08</v>
      </c>
      <c r="C698" s="677">
        <v>12</v>
      </c>
      <c r="D698" s="136" t="s">
        <v>467</v>
      </c>
      <c r="E698" s="581"/>
      <c r="F698" s="143">
        <v>1200000</v>
      </c>
      <c r="G698" s="140">
        <v>0.02</v>
      </c>
      <c r="H698" s="139">
        <f t="shared" si="22"/>
        <v>24000</v>
      </c>
    </row>
    <row r="699" spans="1:8" ht="18.75">
      <c r="A699" s="241">
        <v>11939</v>
      </c>
      <c r="B699" s="188">
        <v>0.1</v>
      </c>
      <c r="C699" s="677">
        <v>12</v>
      </c>
      <c r="D699" s="136" t="s">
        <v>1562</v>
      </c>
      <c r="E699" s="581"/>
      <c r="F699" s="143">
        <v>950000</v>
      </c>
      <c r="G699" s="138">
        <v>0.03</v>
      </c>
      <c r="H699" s="139">
        <f t="shared" si="22"/>
        <v>28500</v>
      </c>
    </row>
    <row r="700" spans="1:8" ht="18.75">
      <c r="A700" s="1192"/>
      <c r="B700" s="1212"/>
      <c r="C700" s="1192"/>
      <c r="D700" s="1192"/>
      <c r="E700" s="663" t="s">
        <v>34</v>
      </c>
      <c r="F700" s="1164">
        <f>SUM(F656:F699)</f>
        <v>50630000</v>
      </c>
      <c r="G700" s="14"/>
      <c r="H700" s="533">
        <f>SUM(H656:H699)</f>
        <v>1467400</v>
      </c>
    </row>
    <row r="705" spans="1:8" ht="26.25">
      <c r="A705" s="1643" t="s">
        <v>1563</v>
      </c>
      <c r="B705" s="1643"/>
      <c r="C705" s="1643"/>
      <c r="D705" s="1643"/>
      <c r="E705" s="1643"/>
      <c r="F705" s="1643"/>
      <c r="G705" s="1643"/>
      <c r="H705" s="1643"/>
    </row>
    <row r="707" spans="1:8" ht="26.25">
      <c r="A707" s="1640" t="s">
        <v>1564</v>
      </c>
      <c r="B707" s="1640"/>
      <c r="C707" s="1641"/>
      <c r="D707" s="1640"/>
      <c r="E707" s="1640"/>
      <c r="F707" s="1640"/>
      <c r="G707" s="1640"/>
      <c r="H707" s="1640"/>
    </row>
    <row r="708" spans="1:8" ht="30.75">
      <c r="A708" s="45" t="s">
        <v>1463</v>
      </c>
      <c r="B708" s="646" t="s">
        <v>1497</v>
      </c>
      <c r="C708" s="132" t="s">
        <v>1465</v>
      </c>
      <c r="D708" s="647" t="s">
        <v>5</v>
      </c>
      <c r="E708" s="47" t="s">
        <v>1466</v>
      </c>
      <c r="F708" s="48" t="s">
        <v>1467</v>
      </c>
      <c r="G708" s="48" t="s">
        <v>7</v>
      </c>
      <c r="H708" s="48" t="s">
        <v>1468</v>
      </c>
    </row>
    <row r="709" spans="1:8" ht="18.75">
      <c r="A709" s="346">
        <v>11960</v>
      </c>
      <c r="B709" s="233">
        <v>0.1</v>
      </c>
      <c r="C709" s="238">
        <v>12</v>
      </c>
      <c r="D709" s="136" t="s">
        <v>472</v>
      </c>
      <c r="E709" s="581"/>
      <c r="F709" s="1146">
        <v>780000</v>
      </c>
      <c r="G709" s="138">
        <v>0.04</v>
      </c>
      <c r="H709" s="139">
        <f>F709*G709</f>
        <v>31200</v>
      </c>
    </row>
    <row r="710" spans="1:8" ht="18.75">
      <c r="A710" s="346">
        <v>11968</v>
      </c>
      <c r="B710" s="233">
        <v>0.1</v>
      </c>
      <c r="C710" s="238">
        <v>12</v>
      </c>
      <c r="D710" s="136" t="s">
        <v>474</v>
      </c>
      <c r="E710" s="581"/>
      <c r="F710" s="1146">
        <v>1250000</v>
      </c>
      <c r="G710" s="138">
        <v>0.04</v>
      </c>
      <c r="H710" s="139">
        <f t="shared" ref="H710:H723" si="23">F710*G710</f>
        <v>50000</v>
      </c>
    </row>
    <row r="711" spans="1:8" ht="18.75">
      <c r="A711" s="346">
        <v>12020</v>
      </c>
      <c r="B711" s="233">
        <v>0.1</v>
      </c>
      <c r="C711" s="677">
        <v>12</v>
      </c>
      <c r="D711" s="700" t="s">
        <v>479</v>
      </c>
      <c r="E711" s="224"/>
      <c r="F711" s="1054">
        <v>1100000</v>
      </c>
      <c r="G711" s="138">
        <v>0.04</v>
      </c>
      <c r="H711" s="139">
        <f t="shared" si="23"/>
        <v>44000</v>
      </c>
    </row>
    <row r="712" spans="1:8" ht="18.75">
      <c r="A712" s="701">
        <v>12024</v>
      </c>
      <c r="B712" s="233">
        <v>0.1</v>
      </c>
      <c r="C712" s="238">
        <v>12</v>
      </c>
      <c r="D712" s="702" t="s">
        <v>480</v>
      </c>
      <c r="E712" s="224"/>
      <c r="F712" s="1054">
        <v>1300000</v>
      </c>
      <c r="G712" s="138">
        <v>0.04</v>
      </c>
      <c r="H712" s="139">
        <f t="shared" si="23"/>
        <v>52000</v>
      </c>
    </row>
    <row r="713" spans="1:8" ht="18.75">
      <c r="A713" s="701">
        <v>12028</v>
      </c>
      <c r="B713" s="233">
        <v>0.1</v>
      </c>
      <c r="C713" s="238">
        <v>12</v>
      </c>
      <c r="D713" s="705" t="s">
        <v>481</v>
      </c>
      <c r="E713" s="224"/>
      <c r="F713" s="1054">
        <v>820000</v>
      </c>
      <c r="G713" s="138">
        <v>0.04</v>
      </c>
      <c r="H713" s="139">
        <f t="shared" si="23"/>
        <v>32800</v>
      </c>
    </row>
    <row r="714" spans="1:8" ht="18.75">
      <c r="A714" s="346">
        <v>12087</v>
      </c>
      <c r="B714" s="233">
        <v>0.1</v>
      </c>
      <c r="C714" s="677">
        <v>12</v>
      </c>
      <c r="D714" s="1232" t="s">
        <v>484</v>
      </c>
      <c r="E714" s="137"/>
      <c r="F714" s="1146">
        <v>900000</v>
      </c>
      <c r="G714" s="138">
        <v>0.04</v>
      </c>
      <c r="H714" s="139">
        <f t="shared" si="23"/>
        <v>36000</v>
      </c>
    </row>
    <row r="715" spans="1:8" ht="18.75">
      <c r="A715" s="346">
        <v>12105</v>
      </c>
      <c r="B715" s="478">
        <v>0.1</v>
      </c>
      <c r="C715" s="677">
        <v>12</v>
      </c>
      <c r="D715" s="136" t="s">
        <v>475</v>
      </c>
      <c r="E715" s="137"/>
      <c r="F715" s="1146">
        <v>1000000</v>
      </c>
      <c r="G715" s="138">
        <v>0.04</v>
      </c>
      <c r="H715" s="139">
        <f t="shared" si="23"/>
        <v>40000</v>
      </c>
    </row>
    <row r="716" spans="1:8" ht="18.75">
      <c r="A716" s="346">
        <v>12100</v>
      </c>
      <c r="B716" s="478">
        <v>0.1</v>
      </c>
      <c r="C716" s="677">
        <v>12</v>
      </c>
      <c r="D716" s="242" t="s">
        <v>1565</v>
      </c>
      <c r="E716" s="137"/>
      <c r="F716" s="1146">
        <v>1250000</v>
      </c>
      <c r="G716" s="140">
        <v>0.02</v>
      </c>
      <c r="H716" s="139">
        <f t="shared" si="23"/>
        <v>25000</v>
      </c>
    </row>
    <row r="717" spans="1:8" ht="18.75">
      <c r="A717" s="346">
        <v>12143</v>
      </c>
      <c r="B717" s="478">
        <v>0.1</v>
      </c>
      <c r="C717" s="238">
        <v>12</v>
      </c>
      <c r="D717" s="242" t="s">
        <v>487</v>
      </c>
      <c r="E717" s="137"/>
      <c r="F717" s="1146">
        <v>1700000</v>
      </c>
      <c r="G717" s="138">
        <v>0.04</v>
      </c>
      <c r="H717" s="139">
        <f t="shared" si="23"/>
        <v>68000</v>
      </c>
    </row>
    <row r="718" spans="1:8" ht="18.75">
      <c r="A718" s="135">
        <v>12063</v>
      </c>
      <c r="B718" s="478">
        <v>0.1</v>
      </c>
      <c r="C718" s="238">
        <v>12</v>
      </c>
      <c r="D718" s="651" t="s">
        <v>493</v>
      </c>
      <c r="E718" s="243"/>
      <c r="F718" s="143">
        <v>1300000</v>
      </c>
      <c r="G718" s="138">
        <v>0.04</v>
      </c>
      <c r="H718" s="139">
        <f t="shared" si="23"/>
        <v>52000</v>
      </c>
    </row>
    <row r="719" spans="1:8" ht="18.75">
      <c r="A719" s="135">
        <v>12118</v>
      </c>
      <c r="B719" s="233">
        <v>0.1</v>
      </c>
      <c r="C719" s="238">
        <v>12</v>
      </c>
      <c r="D719" s="136" t="s">
        <v>496</v>
      </c>
      <c r="E719" s="243"/>
      <c r="F719" s="143">
        <v>1000000</v>
      </c>
      <c r="G719" s="138">
        <v>0.04</v>
      </c>
      <c r="H719" s="139">
        <f t="shared" si="23"/>
        <v>40000</v>
      </c>
    </row>
    <row r="720" spans="1:8" ht="18.75">
      <c r="A720" s="677">
        <v>12031</v>
      </c>
      <c r="B720" s="233">
        <v>0.1</v>
      </c>
      <c r="C720" s="238">
        <v>12</v>
      </c>
      <c r="D720" s="259" t="s">
        <v>503</v>
      </c>
      <c r="E720" s="243"/>
      <c r="F720" s="678">
        <v>1300000</v>
      </c>
      <c r="G720" s="138">
        <v>0.04</v>
      </c>
      <c r="H720" s="139">
        <f t="shared" si="23"/>
        <v>52000</v>
      </c>
    </row>
    <row r="721" spans="1:8" ht="18.75">
      <c r="A721" s="677">
        <v>12029</v>
      </c>
      <c r="B721" s="233">
        <v>0.1</v>
      </c>
      <c r="C721" s="238">
        <v>12</v>
      </c>
      <c r="D721" s="259" t="s">
        <v>505</v>
      </c>
      <c r="E721" s="243"/>
      <c r="F721" s="678">
        <v>1200000</v>
      </c>
      <c r="G721" s="138">
        <v>0.04</v>
      </c>
      <c r="H721" s="139">
        <f t="shared" si="23"/>
        <v>48000</v>
      </c>
    </row>
    <row r="722" spans="1:8" ht="18.75">
      <c r="A722" s="677">
        <v>12034</v>
      </c>
      <c r="B722" s="233">
        <v>0.1</v>
      </c>
      <c r="C722" s="238">
        <v>12</v>
      </c>
      <c r="D722" s="259" t="s">
        <v>507</v>
      </c>
      <c r="E722" s="243"/>
      <c r="F722" s="678">
        <v>1200000</v>
      </c>
      <c r="G722" s="138">
        <v>0.04</v>
      </c>
      <c r="H722" s="139">
        <f t="shared" si="23"/>
        <v>48000</v>
      </c>
    </row>
    <row r="723" spans="1:8" ht="18.75">
      <c r="A723" s="135">
        <v>12178</v>
      </c>
      <c r="B723" s="233">
        <v>0.1</v>
      </c>
      <c r="C723" s="677">
        <v>12</v>
      </c>
      <c r="D723" s="259" t="s">
        <v>509</v>
      </c>
      <c r="E723" s="581"/>
      <c r="F723" s="143">
        <v>1300000</v>
      </c>
      <c r="G723" s="138">
        <v>0.04</v>
      </c>
      <c r="H723" s="139">
        <f t="shared" si="23"/>
        <v>52000</v>
      </c>
    </row>
    <row r="724" spans="1:8" ht="18.75">
      <c r="A724" s="211" t="s">
        <v>297</v>
      </c>
      <c r="B724" s="267"/>
      <c r="C724" s="489"/>
      <c r="D724" s="277" t="s">
        <v>500</v>
      </c>
      <c r="E724" s="567" t="s">
        <v>501</v>
      </c>
      <c r="F724" s="308"/>
      <c r="G724" s="220"/>
      <c r="H724" s="221"/>
    </row>
    <row r="725" spans="1:8" ht="18.75">
      <c r="A725" s="211" t="s">
        <v>297</v>
      </c>
      <c r="B725" s="267"/>
      <c r="C725" s="489"/>
      <c r="D725" s="757" t="s">
        <v>510</v>
      </c>
      <c r="E725" s="529" t="s">
        <v>511</v>
      </c>
      <c r="F725" s="308"/>
      <c r="G725" s="220"/>
      <c r="H725" s="221"/>
    </row>
    <row r="726" spans="1:8" ht="18.75">
      <c r="A726" s="1191"/>
      <c r="B726" s="1189"/>
      <c r="C726" s="18"/>
      <c r="D726" s="262"/>
      <c r="E726" s="27"/>
      <c r="F726" s="1166">
        <f>SUM(F709:F724)</f>
        <v>17400000</v>
      </c>
      <c r="G726" s="28"/>
      <c r="H726" s="631">
        <f>SUM(H709:H725)</f>
        <v>671000</v>
      </c>
    </row>
    <row r="730" spans="1:8" ht="26.25">
      <c r="A730" s="1640" t="s">
        <v>1566</v>
      </c>
      <c r="B730" s="1641"/>
      <c r="C730" s="1641"/>
      <c r="D730" s="1640"/>
      <c r="E730" s="1640"/>
      <c r="F730" s="1640"/>
      <c r="G730" s="1640"/>
      <c r="H730" s="1640"/>
    </row>
    <row r="731" spans="1:8" ht="30.75">
      <c r="A731" s="648" t="s">
        <v>1463</v>
      </c>
      <c r="B731" s="132" t="s">
        <v>1497</v>
      </c>
      <c r="C731" s="132" t="s">
        <v>1465</v>
      </c>
      <c r="D731" s="647" t="s">
        <v>5</v>
      </c>
      <c r="E731" s="47" t="s">
        <v>1466</v>
      </c>
      <c r="F731" s="48" t="s">
        <v>1467</v>
      </c>
      <c r="G731" s="48" t="s">
        <v>7</v>
      </c>
      <c r="H731" s="48" t="s">
        <v>1468</v>
      </c>
    </row>
    <row r="732" spans="1:8" ht="18.75">
      <c r="A732" s="135">
        <v>11955</v>
      </c>
      <c r="B732" s="233">
        <v>0.08</v>
      </c>
      <c r="C732" s="238">
        <v>12</v>
      </c>
      <c r="D732" s="136" t="s">
        <v>471</v>
      </c>
      <c r="E732" s="143"/>
      <c r="F732" s="143">
        <v>1300000</v>
      </c>
      <c r="G732" s="140">
        <v>0.05</v>
      </c>
      <c r="H732" s="139">
        <f>F732*G732</f>
        <v>65000</v>
      </c>
    </row>
    <row r="733" spans="1:8" ht="18.75">
      <c r="A733" s="135">
        <v>12138</v>
      </c>
      <c r="B733" s="233">
        <v>0.1</v>
      </c>
      <c r="C733" s="238">
        <v>12</v>
      </c>
      <c r="D733" s="136" t="s">
        <v>473</v>
      </c>
      <c r="E733" s="143"/>
      <c r="F733" s="558">
        <v>850000</v>
      </c>
      <c r="G733" s="138">
        <v>0.06</v>
      </c>
      <c r="H733" s="139">
        <f t="shared" ref="H733:H749" si="24">F733*G733</f>
        <v>51000</v>
      </c>
    </row>
    <row r="734" spans="1:8" ht="18.75">
      <c r="A734" s="346">
        <v>11972</v>
      </c>
      <c r="B734" s="233">
        <v>0.1</v>
      </c>
      <c r="C734" s="238">
        <v>12</v>
      </c>
      <c r="D734" s="661" t="s">
        <v>476</v>
      </c>
      <c r="E734" s="224"/>
      <c r="F734" s="1146">
        <v>900000</v>
      </c>
      <c r="G734" s="138">
        <v>0.06</v>
      </c>
      <c r="H734" s="139">
        <f t="shared" si="24"/>
        <v>54000</v>
      </c>
    </row>
    <row r="735" spans="1:8" ht="18.75">
      <c r="A735" s="346">
        <v>11984</v>
      </c>
      <c r="B735" s="233">
        <v>0.1</v>
      </c>
      <c r="C735" s="238">
        <v>12</v>
      </c>
      <c r="D735" s="652" t="s">
        <v>477</v>
      </c>
      <c r="E735" s="224"/>
      <c r="F735" s="1054">
        <v>900000</v>
      </c>
      <c r="G735" s="138">
        <v>0.06</v>
      </c>
      <c r="H735" s="139">
        <f t="shared" si="24"/>
        <v>54000</v>
      </c>
    </row>
    <row r="736" spans="1:8" ht="18.75">
      <c r="A736" s="346">
        <v>12079</v>
      </c>
      <c r="B736" s="233">
        <v>0.1</v>
      </c>
      <c r="C736" s="238">
        <v>12</v>
      </c>
      <c r="D736" s="652" t="s">
        <v>478</v>
      </c>
      <c r="E736" s="224"/>
      <c r="F736" s="1054">
        <v>1200000</v>
      </c>
      <c r="G736" s="138">
        <v>0.06</v>
      </c>
      <c r="H736" s="139">
        <f t="shared" si="24"/>
        <v>72000</v>
      </c>
    </row>
    <row r="737" spans="1:8" ht="18.75">
      <c r="A737" s="701">
        <v>12048</v>
      </c>
      <c r="B737" s="233">
        <v>0.1</v>
      </c>
      <c r="C737" s="677">
        <v>12</v>
      </c>
      <c r="D737" s="705" t="s">
        <v>483</v>
      </c>
      <c r="E737" s="137"/>
      <c r="F737" s="1054">
        <v>950000</v>
      </c>
      <c r="G737" s="138">
        <v>0.06</v>
      </c>
      <c r="H737" s="139">
        <f t="shared" si="24"/>
        <v>57000</v>
      </c>
    </row>
    <row r="738" spans="1:8" ht="18.75">
      <c r="A738" s="346">
        <v>12132</v>
      </c>
      <c r="B738" s="233">
        <v>0.1</v>
      </c>
      <c r="C738" s="677">
        <v>12</v>
      </c>
      <c r="D738" s="136" t="s">
        <v>486</v>
      </c>
      <c r="E738" s="137"/>
      <c r="F738" s="1146">
        <v>1250000</v>
      </c>
      <c r="G738" s="138">
        <v>0.06</v>
      </c>
      <c r="H738" s="139">
        <f t="shared" si="24"/>
        <v>75000</v>
      </c>
    </row>
    <row r="739" spans="1:8" ht="18.75">
      <c r="A739" s="135">
        <v>11993</v>
      </c>
      <c r="B739" s="233">
        <v>0.1</v>
      </c>
      <c r="C739" s="1179">
        <v>12</v>
      </c>
      <c r="D739" s="136" t="s">
        <v>489</v>
      </c>
      <c r="E739" s="137"/>
      <c r="F739" s="143">
        <v>1380000</v>
      </c>
      <c r="G739" s="138">
        <v>0.06</v>
      </c>
      <c r="H739" s="139">
        <f t="shared" si="24"/>
        <v>82800</v>
      </c>
    </row>
    <row r="740" spans="1:8" ht="18.75">
      <c r="A740" s="135">
        <v>11963</v>
      </c>
      <c r="B740" s="233">
        <v>0.1</v>
      </c>
      <c r="C740" s="238">
        <v>12</v>
      </c>
      <c r="D740" s="136" t="s">
        <v>491</v>
      </c>
      <c r="E740" s="137"/>
      <c r="F740" s="143">
        <v>900000</v>
      </c>
      <c r="G740" s="138">
        <v>0.06</v>
      </c>
      <c r="H740" s="139">
        <f t="shared" si="24"/>
        <v>54000</v>
      </c>
    </row>
    <row r="741" spans="1:8" ht="18.75">
      <c r="A741" s="135">
        <v>11991</v>
      </c>
      <c r="B741" s="478">
        <v>0.1</v>
      </c>
      <c r="C741" s="238">
        <v>12</v>
      </c>
      <c r="D741" s="136" t="s">
        <v>492</v>
      </c>
      <c r="E741" s="243"/>
      <c r="F741" s="143">
        <v>1300000</v>
      </c>
      <c r="G741" s="138">
        <v>0.06</v>
      </c>
      <c r="H741" s="139">
        <f t="shared" si="24"/>
        <v>78000</v>
      </c>
    </row>
    <row r="742" spans="1:8" ht="18.75">
      <c r="A742" s="135">
        <v>12067</v>
      </c>
      <c r="B742" s="233">
        <v>0.1</v>
      </c>
      <c r="C742" s="238">
        <v>12</v>
      </c>
      <c r="D742" s="136" t="s">
        <v>494</v>
      </c>
      <c r="E742" s="243"/>
      <c r="F742" s="143">
        <v>900000</v>
      </c>
      <c r="G742" s="138">
        <v>0.06</v>
      </c>
      <c r="H742" s="139">
        <f t="shared" si="24"/>
        <v>54000</v>
      </c>
    </row>
    <row r="743" spans="1:8" ht="18.75">
      <c r="A743" s="135">
        <v>12109</v>
      </c>
      <c r="B743" s="233">
        <v>0.1</v>
      </c>
      <c r="C743" s="238">
        <v>12</v>
      </c>
      <c r="D743" s="136" t="s">
        <v>495</v>
      </c>
      <c r="E743" s="243"/>
      <c r="F743" s="143">
        <v>800000</v>
      </c>
      <c r="G743" s="138">
        <v>0.06</v>
      </c>
      <c r="H743" s="139">
        <f t="shared" si="24"/>
        <v>48000</v>
      </c>
    </row>
    <row r="744" spans="1:8" ht="18.75">
      <c r="A744" s="135">
        <v>12134</v>
      </c>
      <c r="B744" s="233">
        <v>0.1</v>
      </c>
      <c r="C744" s="238">
        <v>12</v>
      </c>
      <c r="D744" s="136" t="s">
        <v>497</v>
      </c>
      <c r="E744" s="243"/>
      <c r="F744" s="143">
        <v>1250000</v>
      </c>
      <c r="G744" s="138">
        <v>0.06</v>
      </c>
      <c r="H744" s="139">
        <f t="shared" si="24"/>
        <v>75000</v>
      </c>
    </row>
    <row r="745" spans="1:8" ht="18.75">
      <c r="A745" s="677">
        <v>12006</v>
      </c>
      <c r="B745" s="233">
        <v>0.1</v>
      </c>
      <c r="C745" s="238">
        <v>12</v>
      </c>
      <c r="D745" s="259" t="s">
        <v>504</v>
      </c>
      <c r="E745" s="243"/>
      <c r="F745" s="678">
        <v>950000</v>
      </c>
      <c r="G745" s="138">
        <v>0.06</v>
      </c>
      <c r="H745" s="139">
        <f t="shared" si="24"/>
        <v>57000</v>
      </c>
    </row>
    <row r="746" spans="1:8" ht="18.75">
      <c r="A746" s="677">
        <v>12012</v>
      </c>
      <c r="B746" s="233">
        <v>0.08</v>
      </c>
      <c r="C746" s="677">
        <v>12</v>
      </c>
      <c r="D746" s="259" t="s">
        <v>1567</v>
      </c>
      <c r="E746" s="143"/>
      <c r="F746" s="678">
        <v>1400000</v>
      </c>
      <c r="G746" s="140">
        <v>0.05</v>
      </c>
      <c r="H746" s="139">
        <f t="shared" si="24"/>
        <v>70000</v>
      </c>
    </row>
    <row r="747" spans="1:8" ht="18.75">
      <c r="A747" s="677">
        <v>12124</v>
      </c>
      <c r="B747" s="478">
        <v>0.1</v>
      </c>
      <c r="C747" s="238">
        <v>12</v>
      </c>
      <c r="D747" s="259" t="s">
        <v>508</v>
      </c>
      <c r="E747" s="243"/>
      <c r="F747" s="678">
        <v>2500000</v>
      </c>
      <c r="G747" s="138">
        <v>0.06</v>
      </c>
      <c r="H747" s="139">
        <f t="shared" si="24"/>
        <v>150000</v>
      </c>
    </row>
    <row r="748" spans="1:8" ht="18.75">
      <c r="A748" s="135">
        <v>11990</v>
      </c>
      <c r="B748" s="1208">
        <v>0.1</v>
      </c>
      <c r="C748" s="677">
        <v>12</v>
      </c>
      <c r="D748" s="136" t="s">
        <v>490</v>
      </c>
      <c r="E748" s="137"/>
      <c r="F748" s="143">
        <v>1100000</v>
      </c>
      <c r="G748" s="138">
        <v>0.06</v>
      </c>
      <c r="H748" s="139">
        <f t="shared" si="24"/>
        <v>66000</v>
      </c>
    </row>
    <row r="749" spans="1:8" ht="18.75">
      <c r="A749" s="346">
        <v>12188</v>
      </c>
      <c r="B749" s="188">
        <v>0.1</v>
      </c>
      <c r="C749" s="677">
        <v>12</v>
      </c>
      <c r="D749" s="1232" t="s">
        <v>488</v>
      </c>
      <c r="E749" s="581"/>
      <c r="F749" s="678">
        <v>800000</v>
      </c>
      <c r="G749" s="138">
        <v>0.06</v>
      </c>
      <c r="H749" s="139">
        <f t="shared" si="24"/>
        <v>48000</v>
      </c>
    </row>
    <row r="750" spans="1:8" ht="18.75">
      <c r="A750" s="362" t="s">
        <v>257</v>
      </c>
      <c r="B750" s="1205"/>
      <c r="C750" s="489"/>
      <c r="D750" s="277" t="s">
        <v>499</v>
      </c>
      <c r="E750" s="567" t="s">
        <v>373</v>
      </c>
      <c r="F750" s="308"/>
      <c r="G750" s="220"/>
      <c r="H750" s="221"/>
    </row>
    <row r="751" spans="1:8" ht="18.75">
      <c r="A751" s="211" t="s">
        <v>297</v>
      </c>
      <c r="B751" s="1205"/>
      <c r="C751" s="489"/>
      <c r="D751" s="277" t="s">
        <v>502</v>
      </c>
      <c r="E751" s="567" t="s">
        <v>501</v>
      </c>
      <c r="F751" s="308"/>
      <c r="G751" s="220"/>
      <c r="H751" s="221"/>
    </row>
    <row r="752" spans="1:8" ht="18.75">
      <c r="A752" s="211" t="s">
        <v>257</v>
      </c>
      <c r="B752" s="1205"/>
      <c r="C752" s="489"/>
      <c r="D752" s="277" t="s">
        <v>512</v>
      </c>
      <c r="E752" s="567" t="s">
        <v>373</v>
      </c>
      <c r="F752" s="308"/>
      <c r="G752" s="220"/>
      <c r="H752" s="221"/>
    </row>
    <row r="753" spans="1:8" ht="18.75">
      <c r="A753" s="1192"/>
      <c r="B753" s="1192"/>
      <c r="C753" s="1192"/>
      <c r="D753" s="1192"/>
      <c r="E753" s="156" t="s">
        <v>34</v>
      </c>
      <c r="F753" s="1164">
        <f>SUM(F732:F751)</f>
        <v>20630000</v>
      </c>
      <c r="G753" s="14"/>
      <c r="H753" s="533">
        <f>SUM(H732:H751)</f>
        <v>1210800</v>
      </c>
    </row>
    <row r="757" spans="1:8" ht="26.25">
      <c r="A757" s="1640" t="s">
        <v>1568</v>
      </c>
      <c r="B757" s="1640"/>
      <c r="C757" s="1641"/>
      <c r="D757" s="1640"/>
      <c r="E757" s="1640"/>
      <c r="F757" s="1640"/>
      <c r="G757" s="1640"/>
      <c r="H757" s="1640"/>
    </row>
    <row r="758" spans="1:8" ht="30.75">
      <c r="A758" s="45" t="s">
        <v>1463</v>
      </c>
      <c r="B758" s="646" t="s">
        <v>1497</v>
      </c>
      <c r="C758" s="132" t="s">
        <v>1465</v>
      </c>
      <c r="D758" s="647" t="s">
        <v>5</v>
      </c>
      <c r="E758" s="47" t="s">
        <v>1466</v>
      </c>
      <c r="F758" s="48" t="s">
        <v>1467</v>
      </c>
      <c r="G758" s="48" t="s">
        <v>7</v>
      </c>
      <c r="H758" s="48" t="s">
        <v>1468</v>
      </c>
    </row>
    <row r="759" spans="1:8" ht="18.75">
      <c r="A759" s="346">
        <v>11960</v>
      </c>
      <c r="B759" s="233">
        <v>0.1</v>
      </c>
      <c r="C759" s="238">
        <v>12</v>
      </c>
      <c r="D759" s="136" t="s">
        <v>472</v>
      </c>
      <c r="E759" s="581"/>
      <c r="F759" s="1146">
        <v>780000</v>
      </c>
      <c r="G759" s="138"/>
      <c r="H759" s="139"/>
    </row>
    <row r="760" spans="1:8" ht="18.75">
      <c r="A760" s="346">
        <v>11968</v>
      </c>
      <c r="B760" s="233">
        <v>0.1</v>
      </c>
      <c r="C760" s="238">
        <v>12</v>
      </c>
      <c r="D760" s="136" t="s">
        <v>474</v>
      </c>
      <c r="E760" s="581"/>
      <c r="F760" s="1146">
        <v>1250000</v>
      </c>
      <c r="G760" s="138"/>
      <c r="H760" s="139"/>
    </row>
    <row r="761" spans="1:8" ht="18.75">
      <c r="A761" s="346">
        <v>12020</v>
      </c>
      <c r="B761" s="233">
        <v>0.1</v>
      </c>
      <c r="C761" s="677">
        <v>12</v>
      </c>
      <c r="D761" s="700" t="s">
        <v>479</v>
      </c>
      <c r="E761" s="224"/>
      <c r="F761" s="1054">
        <v>1100000</v>
      </c>
      <c r="G761" s="138"/>
      <c r="H761" s="139"/>
    </row>
    <row r="762" spans="1:8" ht="18.75">
      <c r="A762" s="701">
        <v>12024</v>
      </c>
      <c r="B762" s="233">
        <v>0.1</v>
      </c>
      <c r="C762" s="238">
        <v>12</v>
      </c>
      <c r="D762" s="702" t="s">
        <v>480</v>
      </c>
      <c r="E762" s="224"/>
      <c r="F762" s="1054">
        <v>1300000</v>
      </c>
      <c r="G762" s="138"/>
      <c r="H762" s="139"/>
    </row>
    <row r="763" spans="1:8" ht="18.75">
      <c r="A763" s="701">
        <v>12028</v>
      </c>
      <c r="B763" s="233">
        <v>0.1</v>
      </c>
      <c r="C763" s="238">
        <v>12</v>
      </c>
      <c r="D763" s="705" t="s">
        <v>481</v>
      </c>
      <c r="E763" s="224"/>
      <c r="F763" s="1054">
        <v>820000</v>
      </c>
      <c r="G763" s="140"/>
      <c r="H763" s="139"/>
    </row>
    <row r="764" spans="1:8" ht="18.75">
      <c r="A764" s="346">
        <v>12087</v>
      </c>
      <c r="B764" s="233">
        <v>0.1</v>
      </c>
      <c r="C764" s="677">
        <v>12</v>
      </c>
      <c r="D764" s="1232" t="s">
        <v>484</v>
      </c>
      <c r="E764" s="137"/>
      <c r="F764" s="1146">
        <v>900000</v>
      </c>
      <c r="G764" s="138"/>
      <c r="H764" s="139"/>
    </row>
    <row r="765" spans="1:8" ht="18.75">
      <c r="A765" s="346">
        <v>12105</v>
      </c>
      <c r="B765" s="478">
        <v>0.1</v>
      </c>
      <c r="C765" s="677">
        <v>12</v>
      </c>
      <c r="D765" s="136" t="s">
        <v>475</v>
      </c>
      <c r="E765" s="137"/>
      <c r="F765" s="1146">
        <v>1000000</v>
      </c>
      <c r="G765" s="138"/>
      <c r="H765" s="139"/>
    </row>
    <row r="766" spans="1:8" ht="18.75">
      <c r="A766" s="346">
        <v>12100</v>
      </c>
      <c r="B766" s="478">
        <v>0.1</v>
      </c>
      <c r="C766" s="677">
        <v>12</v>
      </c>
      <c r="D766" s="242" t="s">
        <v>1565</v>
      </c>
      <c r="E766" s="137"/>
      <c r="F766" s="1146">
        <v>1250000</v>
      </c>
      <c r="G766" s="138"/>
      <c r="H766" s="139"/>
    </row>
    <row r="767" spans="1:8" ht="18.75">
      <c r="A767" s="346">
        <v>12143</v>
      </c>
      <c r="B767" s="478">
        <v>0.1</v>
      </c>
      <c r="C767" s="238">
        <v>12</v>
      </c>
      <c r="D767" s="242" t="s">
        <v>487</v>
      </c>
      <c r="E767" s="137"/>
      <c r="F767" s="1146">
        <v>1700000</v>
      </c>
      <c r="G767" s="138"/>
      <c r="H767" s="139"/>
    </row>
    <row r="768" spans="1:8" ht="18.75">
      <c r="A768" s="135">
        <v>12063</v>
      </c>
      <c r="B768" s="478">
        <v>0.1</v>
      </c>
      <c r="C768" s="238">
        <v>12</v>
      </c>
      <c r="D768" s="651" t="s">
        <v>493</v>
      </c>
      <c r="E768" s="243"/>
      <c r="F768" s="143">
        <v>1300000</v>
      </c>
      <c r="G768" s="138"/>
      <c r="H768" s="139"/>
    </row>
    <row r="769" spans="1:8" ht="18.75">
      <c r="A769" s="135">
        <v>12118</v>
      </c>
      <c r="B769" s="233">
        <v>0.1</v>
      </c>
      <c r="C769" s="238">
        <v>12</v>
      </c>
      <c r="D769" s="136" t="s">
        <v>496</v>
      </c>
      <c r="E769" s="243"/>
      <c r="F769" s="143">
        <v>1000000</v>
      </c>
      <c r="G769" s="138"/>
      <c r="H769" s="139"/>
    </row>
    <row r="770" spans="1:8" ht="18.75">
      <c r="A770" s="677">
        <v>12031</v>
      </c>
      <c r="B770" s="233">
        <v>0.1</v>
      </c>
      <c r="C770" s="238">
        <v>12</v>
      </c>
      <c r="D770" s="259" t="s">
        <v>503</v>
      </c>
      <c r="E770" s="243"/>
      <c r="F770" s="678">
        <v>1300000</v>
      </c>
      <c r="G770" s="138"/>
      <c r="H770" s="139"/>
    </row>
    <row r="771" spans="1:8" ht="18.75">
      <c r="A771" s="677">
        <v>12029</v>
      </c>
      <c r="B771" s="233">
        <v>0.1</v>
      </c>
      <c r="C771" s="238">
        <v>12</v>
      </c>
      <c r="D771" s="259" t="s">
        <v>505</v>
      </c>
      <c r="E771" s="243"/>
      <c r="F771" s="678">
        <v>1200000</v>
      </c>
      <c r="G771" s="138"/>
      <c r="H771" s="139"/>
    </row>
    <row r="772" spans="1:8" ht="18.75">
      <c r="A772" s="677">
        <v>12034</v>
      </c>
      <c r="B772" s="233">
        <v>0.1</v>
      </c>
      <c r="C772" s="238">
        <v>12</v>
      </c>
      <c r="D772" s="259" t="s">
        <v>507</v>
      </c>
      <c r="E772" s="243"/>
      <c r="F772" s="678">
        <v>1200000</v>
      </c>
      <c r="G772" s="138"/>
      <c r="H772" s="139"/>
    </row>
    <row r="773" spans="1:8" ht="18.75">
      <c r="A773" s="135">
        <v>12178</v>
      </c>
      <c r="B773" s="233">
        <v>0.1</v>
      </c>
      <c r="C773" s="677">
        <v>12</v>
      </c>
      <c r="D773" s="259" t="s">
        <v>509</v>
      </c>
      <c r="E773" s="581"/>
      <c r="F773" s="143">
        <v>1300000</v>
      </c>
      <c r="G773" s="140"/>
      <c r="H773" s="139"/>
    </row>
    <row r="774" spans="1:8" ht="18.75">
      <c r="A774" s="135">
        <v>11955</v>
      </c>
      <c r="B774" s="233">
        <v>0.08</v>
      </c>
      <c r="C774" s="238">
        <v>12</v>
      </c>
      <c r="D774" s="136" t="s">
        <v>471</v>
      </c>
      <c r="E774" s="143"/>
      <c r="F774" s="143">
        <v>1300000</v>
      </c>
      <c r="G774" s="138"/>
      <c r="H774" s="139"/>
    </row>
    <row r="775" spans="1:8" ht="18.75">
      <c r="A775" s="135">
        <v>12138</v>
      </c>
      <c r="B775" s="233">
        <v>0.1</v>
      </c>
      <c r="C775" s="238">
        <v>12</v>
      </c>
      <c r="D775" s="136" t="s">
        <v>473</v>
      </c>
      <c r="E775" s="143"/>
      <c r="F775" s="558">
        <v>850000</v>
      </c>
      <c r="G775" s="138"/>
      <c r="H775" s="139"/>
    </row>
    <row r="776" spans="1:8" ht="18.75">
      <c r="A776" s="346">
        <v>11972</v>
      </c>
      <c r="B776" s="233">
        <v>0.1</v>
      </c>
      <c r="C776" s="238">
        <v>12</v>
      </c>
      <c r="D776" s="661" t="s">
        <v>476</v>
      </c>
      <c r="E776" s="224"/>
      <c r="F776" s="1146">
        <v>900000</v>
      </c>
      <c r="G776" s="138"/>
      <c r="H776" s="139"/>
    </row>
    <row r="777" spans="1:8" ht="18.75">
      <c r="A777" s="346">
        <v>11984</v>
      </c>
      <c r="B777" s="233">
        <v>0.1</v>
      </c>
      <c r="C777" s="238">
        <v>12</v>
      </c>
      <c r="D777" s="652" t="s">
        <v>477</v>
      </c>
      <c r="E777" s="224"/>
      <c r="F777" s="1054">
        <v>900000</v>
      </c>
      <c r="G777" s="138"/>
      <c r="H777" s="139"/>
    </row>
    <row r="778" spans="1:8" ht="18.75">
      <c r="A778" s="346">
        <v>12079</v>
      </c>
      <c r="B778" s="233">
        <v>0.1</v>
      </c>
      <c r="C778" s="238">
        <v>12</v>
      </c>
      <c r="D778" s="652" t="s">
        <v>478</v>
      </c>
      <c r="E778" s="224"/>
      <c r="F778" s="1054">
        <v>1200000</v>
      </c>
      <c r="G778" s="138"/>
      <c r="H778" s="139"/>
    </row>
    <row r="779" spans="1:8" ht="18.75">
      <c r="A779" s="701">
        <v>12048</v>
      </c>
      <c r="B779" s="233">
        <v>0.1</v>
      </c>
      <c r="C779" s="677">
        <v>12</v>
      </c>
      <c r="D779" s="705" t="s">
        <v>483</v>
      </c>
      <c r="E779" s="137"/>
      <c r="F779" s="1054">
        <v>950000</v>
      </c>
      <c r="G779" s="138"/>
      <c r="H779" s="139"/>
    </row>
    <row r="780" spans="1:8" ht="18.75">
      <c r="A780" s="346">
        <v>12132</v>
      </c>
      <c r="B780" s="233">
        <v>0.1</v>
      </c>
      <c r="C780" s="677">
        <v>12</v>
      </c>
      <c r="D780" s="136" t="s">
        <v>486</v>
      </c>
      <c r="E780" s="137"/>
      <c r="F780" s="1146">
        <v>1250000</v>
      </c>
      <c r="G780" s="138"/>
      <c r="H780" s="139"/>
    </row>
    <row r="781" spans="1:8" ht="18.75">
      <c r="A781" s="135">
        <v>11993</v>
      </c>
      <c r="B781" s="233">
        <v>0.1</v>
      </c>
      <c r="C781" s="1179">
        <v>12</v>
      </c>
      <c r="D781" s="136" t="s">
        <v>489</v>
      </c>
      <c r="E781" s="137"/>
      <c r="F781" s="143">
        <v>1380000</v>
      </c>
      <c r="G781" s="138"/>
      <c r="H781" s="139"/>
    </row>
    <row r="782" spans="1:8" ht="18.75">
      <c r="A782" s="135">
        <v>11963</v>
      </c>
      <c r="B782" s="233">
        <v>0.1</v>
      </c>
      <c r="C782" s="238">
        <v>12</v>
      </c>
      <c r="D782" s="136" t="s">
        <v>491</v>
      </c>
      <c r="E782" s="137"/>
      <c r="F782" s="143">
        <v>900000</v>
      </c>
      <c r="G782" s="138"/>
      <c r="H782" s="139"/>
    </row>
    <row r="783" spans="1:8" ht="18.75">
      <c r="A783" s="135">
        <v>11991</v>
      </c>
      <c r="B783" s="478">
        <v>0.1</v>
      </c>
      <c r="C783" s="238">
        <v>12</v>
      </c>
      <c r="D783" s="136" t="s">
        <v>492</v>
      </c>
      <c r="E783" s="243"/>
      <c r="F783" s="143">
        <v>1300000</v>
      </c>
      <c r="G783" s="138"/>
      <c r="H783" s="139"/>
    </row>
    <row r="784" spans="1:8" ht="18.75">
      <c r="A784" s="135">
        <v>12067</v>
      </c>
      <c r="B784" s="233">
        <v>0.1</v>
      </c>
      <c r="C784" s="238">
        <v>12</v>
      </c>
      <c r="D784" s="136" t="s">
        <v>494</v>
      </c>
      <c r="E784" s="243"/>
      <c r="F784" s="143">
        <v>900000</v>
      </c>
      <c r="G784" s="140"/>
      <c r="H784" s="139"/>
    </row>
    <row r="785" spans="1:8" ht="18.75">
      <c r="A785" s="135">
        <v>12109</v>
      </c>
      <c r="B785" s="233">
        <v>0.1</v>
      </c>
      <c r="C785" s="238">
        <v>12</v>
      </c>
      <c r="D785" s="136" t="s">
        <v>495</v>
      </c>
      <c r="E785" s="243"/>
      <c r="F785" s="143">
        <v>800000</v>
      </c>
      <c r="G785" s="138"/>
      <c r="H785" s="139"/>
    </row>
    <row r="786" spans="1:8" ht="18.75">
      <c r="A786" s="135">
        <v>12134</v>
      </c>
      <c r="B786" s="233">
        <v>0.1</v>
      </c>
      <c r="C786" s="238">
        <v>12</v>
      </c>
      <c r="D786" s="136" t="s">
        <v>497</v>
      </c>
      <c r="E786" s="243"/>
      <c r="F786" s="143">
        <v>1250000</v>
      </c>
      <c r="G786" s="138"/>
      <c r="H786" s="139"/>
    </row>
    <row r="787" spans="1:8" ht="18.75">
      <c r="A787" s="677">
        <v>12006</v>
      </c>
      <c r="B787" s="233">
        <v>0.1</v>
      </c>
      <c r="C787" s="238">
        <v>12</v>
      </c>
      <c r="D787" s="259" t="s">
        <v>504</v>
      </c>
      <c r="E787" s="243"/>
      <c r="F787" s="678">
        <v>950000</v>
      </c>
      <c r="G787" s="138"/>
      <c r="H787" s="139"/>
    </row>
    <row r="788" spans="1:8" ht="18.75">
      <c r="A788" s="677">
        <v>12012</v>
      </c>
      <c r="B788" s="233">
        <v>0.08</v>
      </c>
      <c r="C788" s="677">
        <v>12</v>
      </c>
      <c r="D788" s="259" t="s">
        <v>1567</v>
      </c>
      <c r="E788" s="143"/>
      <c r="F788" s="678">
        <v>1400000</v>
      </c>
      <c r="G788" s="138"/>
      <c r="H788" s="139"/>
    </row>
    <row r="789" spans="1:8" ht="18.75">
      <c r="A789" s="677">
        <v>12124</v>
      </c>
      <c r="B789" s="478">
        <v>0.1</v>
      </c>
      <c r="C789" s="238">
        <v>12</v>
      </c>
      <c r="D789" s="259" t="s">
        <v>508</v>
      </c>
      <c r="E789" s="243"/>
      <c r="F789" s="678">
        <v>2500000</v>
      </c>
      <c r="G789" s="138"/>
      <c r="H789" s="139"/>
    </row>
    <row r="790" spans="1:8" ht="18.75">
      <c r="A790" s="135">
        <v>11990</v>
      </c>
      <c r="B790" s="1208">
        <v>0.1</v>
      </c>
      <c r="C790" s="677">
        <v>12</v>
      </c>
      <c r="D790" s="136" t="s">
        <v>490</v>
      </c>
      <c r="E790" s="137"/>
      <c r="F790" s="143">
        <v>1100000</v>
      </c>
      <c r="G790" s="138"/>
      <c r="H790" s="139"/>
    </row>
    <row r="791" spans="1:8" ht="18.75">
      <c r="A791" s="677">
        <v>12188</v>
      </c>
      <c r="B791" s="478">
        <v>0.1</v>
      </c>
      <c r="C791" s="238">
        <v>12</v>
      </c>
      <c r="D791" s="1232" t="s">
        <v>488</v>
      </c>
      <c r="E791" s="243"/>
      <c r="F791" s="678">
        <v>800000</v>
      </c>
      <c r="G791" s="138"/>
      <c r="H791" s="139"/>
    </row>
    <row r="792" spans="1:8" ht="18.75">
      <c r="A792" s="1192"/>
      <c r="B792" s="1212"/>
      <c r="C792" s="1192"/>
      <c r="D792" s="1192"/>
      <c r="E792" s="663" t="s">
        <v>34</v>
      </c>
      <c r="F792" s="1164">
        <f>SUM(F759:F791)</f>
        <v>38030000</v>
      </c>
      <c r="G792" s="14"/>
      <c r="H792" s="533">
        <f>SUM(H759:H791)</f>
        <v>0</v>
      </c>
    </row>
    <row r="796" spans="1:8" ht="26.25">
      <c r="A796" s="1643" t="s">
        <v>1569</v>
      </c>
      <c r="B796" s="1643"/>
      <c r="C796" s="1643"/>
      <c r="D796" s="1643"/>
      <c r="E796" s="1643"/>
      <c r="F796" s="1643"/>
      <c r="G796" s="1643"/>
      <c r="H796" s="1643"/>
    </row>
    <row r="798" spans="1:8" ht="26.25">
      <c r="A798" s="1640" t="s">
        <v>1570</v>
      </c>
      <c r="B798" s="1640"/>
      <c r="C798" s="1641"/>
      <c r="D798" s="1640"/>
      <c r="E798" s="1640"/>
      <c r="F798" s="1640"/>
      <c r="G798" s="1640"/>
      <c r="H798" s="1640"/>
    </row>
    <row r="799" spans="1:8" ht="30.75">
      <c r="A799" s="45" t="s">
        <v>1463</v>
      </c>
      <c r="B799" s="646" t="s">
        <v>1497</v>
      </c>
      <c r="C799" s="132" t="s">
        <v>1465</v>
      </c>
      <c r="D799" s="647" t="s">
        <v>5</v>
      </c>
      <c r="E799" s="47" t="s">
        <v>1466</v>
      </c>
      <c r="F799" s="48" t="s">
        <v>1467</v>
      </c>
      <c r="G799" s="48" t="s">
        <v>7</v>
      </c>
      <c r="H799" s="48" t="s">
        <v>1468</v>
      </c>
    </row>
    <row r="800" spans="1:8" ht="18.75">
      <c r="A800" s="135">
        <v>12209</v>
      </c>
      <c r="B800" s="233">
        <v>0.1</v>
      </c>
      <c r="C800" s="238">
        <v>12</v>
      </c>
      <c r="D800" s="259" t="s">
        <v>517</v>
      </c>
      <c r="E800" s="581"/>
      <c r="F800" s="558">
        <v>1300000</v>
      </c>
      <c r="G800" s="138">
        <v>0.06</v>
      </c>
      <c r="H800" s="139">
        <f>F800*G800</f>
        <v>78000</v>
      </c>
    </row>
    <row r="801" spans="1:8" ht="18.75">
      <c r="A801" s="135">
        <v>12197</v>
      </c>
      <c r="B801" s="233">
        <v>0.1</v>
      </c>
      <c r="C801" s="238">
        <v>12</v>
      </c>
      <c r="D801" s="136" t="s">
        <v>558</v>
      </c>
      <c r="E801" s="581"/>
      <c r="F801" s="143">
        <v>900000</v>
      </c>
      <c r="G801" s="138">
        <v>0.06</v>
      </c>
      <c r="H801" s="139">
        <f t="shared" ref="H801:H818" si="25">F801*G801</f>
        <v>54000</v>
      </c>
    </row>
    <row r="802" spans="1:8" ht="18.75">
      <c r="A802" s="135">
        <v>12179</v>
      </c>
      <c r="B802" s="233">
        <v>0.1</v>
      </c>
      <c r="C802" s="677">
        <v>12</v>
      </c>
      <c r="D802" s="136" t="s">
        <v>560</v>
      </c>
      <c r="E802" s="224"/>
      <c r="F802" s="143">
        <v>1350000</v>
      </c>
      <c r="G802" s="138">
        <v>0.06</v>
      </c>
      <c r="H802" s="139">
        <f t="shared" si="25"/>
        <v>81000</v>
      </c>
    </row>
    <row r="803" spans="1:8" ht="18.75">
      <c r="A803" s="135">
        <v>12225</v>
      </c>
      <c r="B803" s="233">
        <v>0.1</v>
      </c>
      <c r="C803" s="238">
        <v>12</v>
      </c>
      <c r="D803" s="136" t="s">
        <v>562</v>
      </c>
      <c r="E803" s="224"/>
      <c r="F803" s="143">
        <v>1350000</v>
      </c>
      <c r="G803" s="138">
        <v>0.06</v>
      </c>
      <c r="H803" s="139">
        <f t="shared" si="25"/>
        <v>81000</v>
      </c>
    </row>
    <row r="804" spans="1:8" ht="18.75">
      <c r="A804" s="135">
        <v>12227</v>
      </c>
      <c r="B804" s="233">
        <v>0.1</v>
      </c>
      <c r="C804" s="238">
        <v>12</v>
      </c>
      <c r="D804" s="136" t="s">
        <v>546</v>
      </c>
      <c r="E804" s="224"/>
      <c r="F804" s="143">
        <v>1280000</v>
      </c>
      <c r="G804" s="478">
        <v>0.06</v>
      </c>
      <c r="H804" s="139">
        <f t="shared" si="25"/>
        <v>76800</v>
      </c>
    </row>
    <row r="805" spans="1:8" ht="18.75">
      <c r="A805" s="135">
        <v>12232</v>
      </c>
      <c r="B805" s="233">
        <v>0.1</v>
      </c>
      <c r="C805" s="677">
        <v>12</v>
      </c>
      <c r="D805" s="136" t="s">
        <v>563</v>
      </c>
      <c r="E805" s="137"/>
      <c r="F805" s="143">
        <v>750000</v>
      </c>
      <c r="G805" s="478">
        <v>0.06</v>
      </c>
      <c r="H805" s="139">
        <f t="shared" si="25"/>
        <v>45000</v>
      </c>
    </row>
    <row r="806" spans="1:8" ht="18.75">
      <c r="A806" s="135">
        <v>12248</v>
      </c>
      <c r="B806" s="478">
        <v>0.1</v>
      </c>
      <c r="C806" s="677">
        <v>12</v>
      </c>
      <c r="D806" s="136" t="s">
        <v>564</v>
      </c>
      <c r="E806" s="137"/>
      <c r="F806" s="143">
        <v>1100000</v>
      </c>
      <c r="G806" s="478">
        <v>0.06</v>
      </c>
      <c r="H806" s="139">
        <f t="shared" si="25"/>
        <v>66000</v>
      </c>
    </row>
    <row r="807" spans="1:8" ht="18.75">
      <c r="A807" s="135">
        <v>12257</v>
      </c>
      <c r="B807" s="478">
        <v>0.1</v>
      </c>
      <c r="C807" s="677">
        <v>12</v>
      </c>
      <c r="D807" s="136" t="s">
        <v>567</v>
      </c>
      <c r="E807" s="137"/>
      <c r="F807" s="143">
        <v>1250000</v>
      </c>
      <c r="G807" s="478">
        <v>0.06</v>
      </c>
      <c r="H807" s="139">
        <f t="shared" si="25"/>
        <v>75000</v>
      </c>
    </row>
    <row r="808" spans="1:8" ht="18.75">
      <c r="A808" s="135">
        <v>12260</v>
      </c>
      <c r="B808" s="478">
        <v>0.1</v>
      </c>
      <c r="C808" s="238">
        <v>12</v>
      </c>
      <c r="D808" s="136" t="s">
        <v>569</v>
      </c>
      <c r="E808" s="137"/>
      <c r="F808" s="143">
        <v>1400000</v>
      </c>
      <c r="G808" s="478">
        <v>0.06</v>
      </c>
      <c r="H808" s="139">
        <f t="shared" si="25"/>
        <v>84000</v>
      </c>
    </row>
    <row r="809" spans="1:8" ht="18.75">
      <c r="A809" s="346">
        <v>12279</v>
      </c>
      <c r="B809" s="478">
        <v>0.1</v>
      </c>
      <c r="C809" s="238">
        <v>12</v>
      </c>
      <c r="D809" s="136" t="s">
        <v>545</v>
      </c>
      <c r="E809" s="243"/>
      <c r="F809" s="143">
        <v>1700000</v>
      </c>
      <c r="G809" s="478">
        <v>0.06</v>
      </c>
      <c r="H809" s="139">
        <f t="shared" si="25"/>
        <v>102000</v>
      </c>
    </row>
    <row r="810" spans="1:8" ht="18.75">
      <c r="A810" s="346">
        <v>12295</v>
      </c>
      <c r="B810" s="478">
        <v>0.1</v>
      </c>
      <c r="C810" s="238">
        <v>12</v>
      </c>
      <c r="D810" s="136" t="s">
        <v>547</v>
      </c>
      <c r="E810" s="243"/>
      <c r="F810" s="143">
        <v>950000</v>
      </c>
      <c r="G810" s="478">
        <v>0.06</v>
      </c>
      <c r="H810" s="139">
        <f t="shared" si="25"/>
        <v>57000</v>
      </c>
    </row>
    <row r="811" spans="1:8" ht="18.75">
      <c r="A811" s="346">
        <v>12299</v>
      </c>
      <c r="B811" s="478">
        <v>0.1</v>
      </c>
      <c r="C811" s="238">
        <v>12</v>
      </c>
      <c r="D811" s="136" t="s">
        <v>529</v>
      </c>
      <c r="E811" s="243"/>
      <c r="F811" s="1146">
        <v>950000</v>
      </c>
      <c r="G811" s="478">
        <v>0.06</v>
      </c>
      <c r="H811" s="139">
        <f t="shared" si="25"/>
        <v>57000</v>
      </c>
    </row>
    <row r="812" spans="1:8" ht="18.75">
      <c r="A812" s="346">
        <v>12335</v>
      </c>
      <c r="B812" s="478">
        <v>0.1</v>
      </c>
      <c r="C812" s="238">
        <v>12</v>
      </c>
      <c r="D812" s="136" t="s">
        <v>1571</v>
      </c>
      <c r="E812" s="243"/>
      <c r="F812" s="1146">
        <v>1500000</v>
      </c>
      <c r="G812" s="478">
        <v>0.06</v>
      </c>
      <c r="H812" s="139">
        <f t="shared" si="25"/>
        <v>90000</v>
      </c>
    </row>
    <row r="813" spans="1:8" ht="18.75">
      <c r="A813" s="346">
        <v>12345</v>
      </c>
      <c r="B813" s="233">
        <v>0.1</v>
      </c>
      <c r="C813" s="238">
        <v>12</v>
      </c>
      <c r="D813" s="136" t="s">
        <v>571</v>
      </c>
      <c r="E813" s="243"/>
      <c r="F813" s="678">
        <v>1350000</v>
      </c>
      <c r="G813" s="138">
        <v>0.06</v>
      </c>
      <c r="H813" s="139">
        <f t="shared" si="25"/>
        <v>81000</v>
      </c>
    </row>
    <row r="814" spans="1:8" ht="18.75">
      <c r="A814" s="135">
        <v>12346</v>
      </c>
      <c r="B814" s="233">
        <v>0.1</v>
      </c>
      <c r="C814" s="238">
        <v>12</v>
      </c>
      <c r="D814" s="136" t="s">
        <v>588</v>
      </c>
      <c r="E814" s="243"/>
      <c r="F814" s="143">
        <v>1750000</v>
      </c>
      <c r="G814" s="138">
        <v>0.06</v>
      </c>
      <c r="H814" s="139">
        <f t="shared" si="25"/>
        <v>105000</v>
      </c>
    </row>
    <row r="815" spans="1:8" ht="18.75">
      <c r="A815" s="135">
        <v>12374</v>
      </c>
      <c r="B815" s="233">
        <v>0.1</v>
      </c>
      <c r="C815" s="238">
        <v>12</v>
      </c>
      <c r="D815" s="136" t="s">
        <v>1572</v>
      </c>
      <c r="E815" s="243"/>
      <c r="F815" s="143">
        <v>700000</v>
      </c>
      <c r="G815" s="138">
        <v>0.06</v>
      </c>
      <c r="H815" s="139">
        <f t="shared" si="25"/>
        <v>42000</v>
      </c>
    </row>
    <row r="816" spans="1:8" ht="18.75">
      <c r="A816" s="135">
        <v>12404</v>
      </c>
      <c r="B816" s="233">
        <v>0.1</v>
      </c>
      <c r="C816" s="238">
        <v>12</v>
      </c>
      <c r="D816" s="661" t="s">
        <v>1573</v>
      </c>
      <c r="E816" s="243"/>
      <c r="F816" s="143">
        <v>1400000</v>
      </c>
      <c r="G816" s="138">
        <v>0.06</v>
      </c>
      <c r="H816" s="139">
        <f t="shared" si="25"/>
        <v>84000</v>
      </c>
    </row>
    <row r="817" spans="1:8" ht="18.75">
      <c r="A817" s="135">
        <v>12388</v>
      </c>
      <c r="B817" s="233">
        <v>0.1</v>
      </c>
      <c r="C817" s="677">
        <v>12</v>
      </c>
      <c r="D817" s="661" t="s">
        <v>518</v>
      </c>
      <c r="E817" s="581"/>
      <c r="F817" s="143">
        <v>1500000</v>
      </c>
      <c r="G817" s="478">
        <v>0.06</v>
      </c>
      <c r="H817" s="139">
        <f t="shared" si="25"/>
        <v>90000</v>
      </c>
    </row>
    <row r="818" spans="1:8" ht="18.75">
      <c r="A818" s="346">
        <v>12431</v>
      </c>
      <c r="B818" s="233">
        <v>0.1</v>
      </c>
      <c r="C818" s="1215">
        <v>12</v>
      </c>
      <c r="D818" s="652" t="s">
        <v>1574</v>
      </c>
      <c r="E818" s="754"/>
      <c r="F818" s="143">
        <v>1070000</v>
      </c>
      <c r="G818" s="478">
        <v>0.06</v>
      </c>
      <c r="H818" s="139">
        <f t="shared" si="25"/>
        <v>64200</v>
      </c>
    </row>
    <row r="819" spans="1:8" ht="18.75">
      <c r="A819" s="209" t="s">
        <v>538</v>
      </c>
      <c r="B819" s="267"/>
      <c r="C819" s="1219"/>
      <c r="D819" s="277" t="s">
        <v>537</v>
      </c>
      <c r="E819" s="760" t="s">
        <v>538</v>
      </c>
      <c r="F819" s="308"/>
      <c r="G819" s="785"/>
      <c r="H819" s="221"/>
    </row>
    <row r="820" spans="1:8" ht="18.75">
      <c r="A820" s="209" t="s">
        <v>538</v>
      </c>
      <c r="B820" s="267"/>
      <c r="C820" s="1219"/>
      <c r="D820" s="757" t="s">
        <v>595</v>
      </c>
      <c r="E820" s="760" t="s">
        <v>538</v>
      </c>
      <c r="F820" s="308"/>
      <c r="G820" s="785"/>
      <c r="H820" s="221"/>
    </row>
    <row r="821" spans="1:8" ht="18.75">
      <c r="A821" s="209" t="s">
        <v>538</v>
      </c>
      <c r="B821" s="267"/>
      <c r="C821" s="1219"/>
      <c r="D821" s="757" t="s">
        <v>596</v>
      </c>
      <c r="E821" s="760" t="s">
        <v>538</v>
      </c>
      <c r="F821" s="308"/>
      <c r="G821" s="785"/>
      <c r="H821" s="221"/>
    </row>
    <row r="822" spans="1:8" ht="18.75">
      <c r="A822" s="235"/>
      <c r="B822" s="318"/>
      <c r="C822" s="1220"/>
      <c r="D822" s="752"/>
      <c r="E822" s="787"/>
      <c r="F822" s="261"/>
      <c r="G822" s="788"/>
      <c r="H822" s="550"/>
    </row>
    <row r="823" spans="1:8" ht="18.75">
      <c r="A823" s="1191"/>
      <c r="B823" s="1189"/>
      <c r="C823" s="18"/>
      <c r="D823" s="752"/>
      <c r="E823" s="27"/>
      <c r="F823" s="1166">
        <f>SUM(F800:F822)</f>
        <v>23550000</v>
      </c>
      <c r="G823" s="28"/>
      <c r="H823" s="631">
        <f>SUM(H800:H822)</f>
        <v>1413000</v>
      </c>
    </row>
    <row r="827" spans="1:8" ht="26.25">
      <c r="A827" s="1640" t="s">
        <v>1575</v>
      </c>
      <c r="B827" s="1641"/>
      <c r="C827" s="1641"/>
      <c r="D827" s="1641"/>
      <c r="E827" s="1640"/>
      <c r="F827" s="1640"/>
      <c r="G827" s="1640"/>
      <c r="H827" s="1640"/>
    </row>
    <row r="828" spans="1:8" ht="30.75">
      <c r="A828" s="648" t="s">
        <v>1463</v>
      </c>
      <c r="B828" s="132" t="s">
        <v>1497</v>
      </c>
      <c r="C828" s="731" t="s">
        <v>1465</v>
      </c>
      <c r="D828" s="87" t="s">
        <v>5</v>
      </c>
      <c r="E828" s="732" t="s">
        <v>1466</v>
      </c>
      <c r="F828" s="48" t="s">
        <v>1467</v>
      </c>
      <c r="G828" s="48" t="s">
        <v>7</v>
      </c>
      <c r="H828" s="48" t="s">
        <v>1468</v>
      </c>
    </row>
    <row r="829" spans="1:8" ht="18.75">
      <c r="A829" s="135">
        <v>12203</v>
      </c>
      <c r="B829" s="233">
        <v>0.1</v>
      </c>
      <c r="C829" s="238">
        <v>12</v>
      </c>
      <c r="D829" s="1233" t="s">
        <v>515</v>
      </c>
      <c r="E829" s="143"/>
      <c r="F829" s="143">
        <v>1450000</v>
      </c>
      <c r="G829" s="138">
        <v>0.06</v>
      </c>
      <c r="H829" s="139">
        <f>F829*G829</f>
        <v>87000</v>
      </c>
    </row>
    <row r="830" spans="1:8" ht="18.75">
      <c r="A830" s="135">
        <v>12223</v>
      </c>
      <c r="B830" s="233">
        <v>0.1</v>
      </c>
      <c r="C830" s="238">
        <v>12</v>
      </c>
      <c r="D830" s="242" t="s">
        <v>519</v>
      </c>
      <c r="E830" s="143"/>
      <c r="F830" s="143">
        <v>1300000</v>
      </c>
      <c r="G830" s="138">
        <v>0.06</v>
      </c>
      <c r="H830" s="139">
        <f t="shared" ref="H830:H845" si="26">F830*G830</f>
        <v>78000</v>
      </c>
    </row>
    <row r="831" spans="1:8" ht="18.75">
      <c r="A831" s="135">
        <v>12235</v>
      </c>
      <c r="B831" s="233">
        <v>0.1</v>
      </c>
      <c r="C831" s="238">
        <v>12</v>
      </c>
      <c r="D831" s="136" t="s">
        <v>522</v>
      </c>
      <c r="E831" s="224"/>
      <c r="F831" s="143">
        <v>1400000</v>
      </c>
      <c r="G831" s="138">
        <v>0.06</v>
      </c>
      <c r="H831" s="139">
        <f t="shared" si="26"/>
        <v>84000</v>
      </c>
    </row>
    <row r="832" spans="1:8" ht="18.75">
      <c r="A832" s="135">
        <v>12245</v>
      </c>
      <c r="B832" s="233">
        <v>0.1</v>
      </c>
      <c r="C832" s="238">
        <v>12</v>
      </c>
      <c r="D832" s="136" t="s">
        <v>523</v>
      </c>
      <c r="E832" s="224"/>
      <c r="F832" s="143">
        <v>1250000</v>
      </c>
      <c r="G832" s="138">
        <v>0.06</v>
      </c>
      <c r="H832" s="139">
        <f t="shared" si="26"/>
        <v>75000</v>
      </c>
    </row>
    <row r="833" spans="1:8" ht="18.75">
      <c r="A833" s="135" t="s">
        <v>525</v>
      </c>
      <c r="B833" s="233">
        <v>0.1</v>
      </c>
      <c r="C833" s="238">
        <v>12</v>
      </c>
      <c r="D833" s="136" t="s">
        <v>526</v>
      </c>
      <c r="E833" s="224"/>
      <c r="F833" s="143">
        <v>1600000</v>
      </c>
      <c r="G833" s="138">
        <v>0.06</v>
      </c>
      <c r="H833" s="139">
        <f t="shared" si="26"/>
        <v>96000</v>
      </c>
    </row>
    <row r="834" spans="1:8" ht="18.75">
      <c r="A834" s="346">
        <v>12238</v>
      </c>
      <c r="B834" s="233">
        <v>0.1</v>
      </c>
      <c r="C834" s="677">
        <v>12</v>
      </c>
      <c r="D834" s="136" t="s">
        <v>544</v>
      </c>
      <c r="E834" s="137"/>
      <c r="F834" s="1146">
        <v>1300000</v>
      </c>
      <c r="G834" s="138">
        <v>0.06</v>
      </c>
      <c r="H834" s="139">
        <f t="shared" si="26"/>
        <v>78000</v>
      </c>
    </row>
    <row r="835" spans="1:8" ht="18.75">
      <c r="A835" s="135">
        <v>12200</v>
      </c>
      <c r="B835" s="233">
        <v>0.1</v>
      </c>
      <c r="C835" s="677">
        <v>12</v>
      </c>
      <c r="D835" s="136" t="s">
        <v>559</v>
      </c>
      <c r="E835" s="137"/>
      <c r="F835" s="143">
        <v>1300000</v>
      </c>
      <c r="G835" s="138">
        <v>0.06</v>
      </c>
      <c r="H835" s="139">
        <f t="shared" si="26"/>
        <v>78000</v>
      </c>
    </row>
    <row r="836" spans="1:8" ht="18.75">
      <c r="A836" s="135">
        <v>12255</v>
      </c>
      <c r="B836" s="233">
        <v>0.1</v>
      </c>
      <c r="C836" s="1179">
        <v>12</v>
      </c>
      <c r="D836" s="136" t="s">
        <v>565</v>
      </c>
      <c r="E836" s="137"/>
      <c r="F836" s="143">
        <v>1400000</v>
      </c>
      <c r="G836" s="138">
        <v>0.06</v>
      </c>
      <c r="H836" s="139">
        <f t="shared" si="26"/>
        <v>84000</v>
      </c>
    </row>
    <row r="837" spans="1:8" ht="18.75">
      <c r="A837" s="135">
        <v>12254</v>
      </c>
      <c r="B837" s="233">
        <v>0.1</v>
      </c>
      <c r="C837" s="238">
        <v>12</v>
      </c>
      <c r="D837" s="136" t="s">
        <v>566</v>
      </c>
      <c r="E837" s="137"/>
      <c r="F837" s="143">
        <v>1350000</v>
      </c>
      <c r="G837" s="138">
        <v>0.06</v>
      </c>
      <c r="H837" s="139">
        <f t="shared" si="26"/>
        <v>81000</v>
      </c>
    </row>
    <row r="838" spans="1:8" ht="18.75">
      <c r="A838" s="135">
        <v>12261</v>
      </c>
      <c r="B838" s="188">
        <v>0.1</v>
      </c>
      <c r="C838" s="677">
        <v>12</v>
      </c>
      <c r="D838" s="136" t="s">
        <v>570</v>
      </c>
      <c r="E838" s="541"/>
      <c r="F838" s="143">
        <v>900000</v>
      </c>
      <c r="G838" s="138">
        <v>0.06</v>
      </c>
      <c r="H838" s="139">
        <f t="shared" si="26"/>
        <v>54000</v>
      </c>
    </row>
    <row r="839" spans="1:8" ht="18.75">
      <c r="A839" s="677">
        <v>12199</v>
      </c>
      <c r="B839" s="188">
        <v>0.1</v>
      </c>
      <c r="C839" s="677">
        <v>12</v>
      </c>
      <c r="D839" s="259" t="s">
        <v>586</v>
      </c>
      <c r="E839" s="541"/>
      <c r="F839" s="678">
        <v>1350000</v>
      </c>
      <c r="G839" s="138">
        <v>0.06</v>
      </c>
      <c r="H839" s="139">
        <f t="shared" si="26"/>
        <v>81000</v>
      </c>
    </row>
    <row r="840" spans="1:8" ht="18.75">
      <c r="A840" s="677">
        <v>12231</v>
      </c>
      <c r="B840" s="188">
        <v>0.1</v>
      </c>
      <c r="C840" s="677">
        <v>12</v>
      </c>
      <c r="D840" s="259" t="s">
        <v>587</v>
      </c>
      <c r="E840" s="541"/>
      <c r="F840" s="678">
        <v>1400000</v>
      </c>
      <c r="G840" s="138">
        <v>0.06</v>
      </c>
      <c r="H840" s="139">
        <f t="shared" si="26"/>
        <v>84000</v>
      </c>
    </row>
    <row r="841" spans="1:8" ht="18.75">
      <c r="A841" s="677">
        <v>12344</v>
      </c>
      <c r="B841" s="188">
        <v>0.1</v>
      </c>
      <c r="C841" s="1179">
        <v>12</v>
      </c>
      <c r="D841" s="259" t="s">
        <v>1576</v>
      </c>
      <c r="E841" s="541"/>
      <c r="F841" s="1149">
        <v>1550000</v>
      </c>
      <c r="G841" s="138">
        <v>0.06</v>
      </c>
      <c r="H841" s="139">
        <f t="shared" si="26"/>
        <v>93000</v>
      </c>
    </row>
    <row r="842" spans="1:8" ht="18.75">
      <c r="A842" s="677">
        <v>12357</v>
      </c>
      <c r="B842" s="188">
        <v>0.1</v>
      </c>
      <c r="C842" s="1179">
        <v>12</v>
      </c>
      <c r="D842" s="259" t="s">
        <v>573</v>
      </c>
      <c r="E842" s="541"/>
      <c r="F842" s="1149">
        <v>750000</v>
      </c>
      <c r="G842" s="138">
        <v>0.06</v>
      </c>
      <c r="H842" s="139">
        <f t="shared" si="26"/>
        <v>45000</v>
      </c>
    </row>
    <row r="843" spans="1:8" ht="18.75">
      <c r="A843" s="677">
        <v>12356</v>
      </c>
      <c r="B843" s="188">
        <v>0.1</v>
      </c>
      <c r="C843" s="1179">
        <v>12</v>
      </c>
      <c r="D843" s="259" t="s">
        <v>530</v>
      </c>
      <c r="E843" s="541"/>
      <c r="F843" s="1149">
        <v>950000</v>
      </c>
      <c r="G843" s="138">
        <v>0.06</v>
      </c>
      <c r="H843" s="139">
        <f t="shared" si="26"/>
        <v>57000</v>
      </c>
    </row>
    <row r="844" spans="1:8" ht="18.75">
      <c r="A844" s="677">
        <v>12368</v>
      </c>
      <c r="B844" s="188">
        <v>0.1</v>
      </c>
      <c r="C844" s="1179">
        <v>12</v>
      </c>
      <c r="D844" s="259" t="s">
        <v>589</v>
      </c>
      <c r="E844" s="541"/>
      <c r="F844" s="1149">
        <v>1300000</v>
      </c>
      <c r="G844" s="138">
        <v>0.06</v>
      </c>
      <c r="H844" s="139">
        <f t="shared" si="26"/>
        <v>78000</v>
      </c>
    </row>
    <row r="845" spans="1:8" ht="18.75">
      <c r="A845" s="677">
        <v>12408</v>
      </c>
      <c r="B845" s="1208">
        <v>0.08</v>
      </c>
      <c r="C845" s="1179">
        <v>6</v>
      </c>
      <c r="D845" s="259" t="s">
        <v>594</v>
      </c>
      <c r="E845" s="541"/>
      <c r="F845" s="1149">
        <v>2200000</v>
      </c>
      <c r="G845" s="140">
        <v>0.05</v>
      </c>
      <c r="H845" s="139">
        <f t="shared" si="26"/>
        <v>110000</v>
      </c>
    </row>
    <row r="846" spans="1:8" ht="18.75">
      <c r="A846" s="211" t="s">
        <v>297</v>
      </c>
      <c r="B846" s="1211"/>
      <c r="C846" s="1217"/>
      <c r="D846" s="277" t="s">
        <v>597</v>
      </c>
      <c r="E846" s="757" t="s">
        <v>584</v>
      </c>
      <c r="F846" s="496"/>
      <c r="G846" s="220"/>
      <c r="H846" s="665"/>
    </row>
    <row r="847" spans="1:8" ht="18.75">
      <c r="A847" s="211" t="s">
        <v>297</v>
      </c>
      <c r="B847" s="1211"/>
      <c r="C847" s="489"/>
      <c r="D847" s="277" t="s">
        <v>1577</v>
      </c>
      <c r="E847" s="573" t="s">
        <v>541</v>
      </c>
      <c r="F847" s="756"/>
      <c r="G847" s="220"/>
      <c r="H847" s="665"/>
    </row>
    <row r="848" spans="1:8" ht="18.75">
      <c r="A848" s="211" t="s">
        <v>538</v>
      </c>
      <c r="B848" s="1211"/>
      <c r="C848" s="489"/>
      <c r="D848" s="751" t="s">
        <v>577</v>
      </c>
      <c r="E848" s="225" t="s">
        <v>538</v>
      </c>
      <c r="F848" s="756"/>
      <c r="G848" s="220"/>
      <c r="H848" s="665"/>
    </row>
    <row r="849" spans="1:8" ht="18.75">
      <c r="A849" s="211" t="s">
        <v>297</v>
      </c>
      <c r="B849" s="1211"/>
      <c r="C849" s="489"/>
      <c r="D849" s="277" t="s">
        <v>542</v>
      </c>
      <c r="E849" s="529" t="s">
        <v>543</v>
      </c>
      <c r="F849" s="756"/>
      <c r="G849" s="220"/>
      <c r="H849" s="665"/>
    </row>
    <row r="850" spans="1:8" ht="18.75">
      <c r="A850" s="211" t="s">
        <v>297</v>
      </c>
      <c r="B850" s="1211"/>
      <c r="C850" s="489"/>
      <c r="D850" s="277" t="s">
        <v>1578</v>
      </c>
      <c r="E850" s="783" t="s">
        <v>582</v>
      </c>
      <c r="F850" s="756"/>
      <c r="G850" s="220"/>
      <c r="H850" s="665"/>
    </row>
    <row r="851" spans="1:8" ht="18.75">
      <c r="A851" s="211" t="s">
        <v>297</v>
      </c>
      <c r="B851" s="1211"/>
      <c r="C851" s="489"/>
      <c r="D851" s="277" t="s">
        <v>1579</v>
      </c>
      <c r="E851" s="277" t="s">
        <v>584</v>
      </c>
      <c r="F851" s="756"/>
      <c r="G851" s="220"/>
      <c r="H851" s="665"/>
    </row>
    <row r="852" spans="1:8" ht="18.75">
      <c r="A852" s="1192"/>
      <c r="B852" s="1192"/>
      <c r="C852" s="1192"/>
      <c r="D852" s="1192"/>
      <c r="E852" s="156" t="s">
        <v>34</v>
      </c>
      <c r="F852" s="1164">
        <f>SUM(F829:F851)</f>
        <v>22750000</v>
      </c>
      <c r="G852" s="14"/>
      <c r="H852" s="533">
        <f>SUM(H829:H851)</f>
        <v>1343000</v>
      </c>
    </row>
    <row r="855" spans="1:8" ht="26.25">
      <c r="A855" s="1640" t="s">
        <v>1580</v>
      </c>
      <c r="B855" s="1640"/>
      <c r="C855" s="1640"/>
      <c r="D855" s="1640"/>
      <c r="E855" s="1640"/>
      <c r="F855" s="1640"/>
      <c r="G855" s="1640"/>
      <c r="H855" s="1640"/>
    </row>
    <row r="856" spans="1:8" ht="30.75">
      <c r="A856" s="45" t="s">
        <v>1463</v>
      </c>
      <c r="B856" s="46" t="s">
        <v>1497</v>
      </c>
      <c r="C856" s="46" t="s">
        <v>1465</v>
      </c>
      <c r="D856" s="45" t="s">
        <v>5</v>
      </c>
      <c r="E856" s="47" t="s">
        <v>1466</v>
      </c>
      <c r="F856" s="48" t="s">
        <v>1467</v>
      </c>
      <c r="G856" s="48" t="s">
        <v>7</v>
      </c>
      <c r="H856" s="48" t="s">
        <v>1468</v>
      </c>
    </row>
    <row r="857" spans="1:8" ht="18.75">
      <c r="A857" s="135">
        <v>12217</v>
      </c>
      <c r="B857" s="188">
        <v>0.1</v>
      </c>
      <c r="C857" s="677">
        <v>12</v>
      </c>
      <c r="D857" s="136" t="s">
        <v>521</v>
      </c>
      <c r="E857" s="581"/>
      <c r="F857" s="143">
        <v>800000</v>
      </c>
      <c r="G857" s="138">
        <v>0.04</v>
      </c>
      <c r="H857" s="139">
        <f>F857*G857</f>
        <v>32000</v>
      </c>
    </row>
    <row r="858" spans="1:8" ht="18.75">
      <c r="A858" s="135">
        <v>12263</v>
      </c>
      <c r="B858" s="188">
        <v>0.1</v>
      </c>
      <c r="C858" s="677">
        <v>12</v>
      </c>
      <c r="D858" s="136" t="s">
        <v>527</v>
      </c>
      <c r="E858" s="581"/>
      <c r="F858" s="143">
        <v>1250000</v>
      </c>
      <c r="G858" s="138">
        <v>0.04</v>
      </c>
      <c r="H858" s="139">
        <f t="shared" ref="H858:H871" si="27">F858*G858</f>
        <v>50000</v>
      </c>
    </row>
    <row r="859" spans="1:8" ht="18.75">
      <c r="A859" s="135">
        <v>12259</v>
      </c>
      <c r="B859" s="188">
        <v>0.09</v>
      </c>
      <c r="C859" s="677">
        <v>12</v>
      </c>
      <c r="D859" s="136" t="s">
        <v>568</v>
      </c>
      <c r="E859" s="581"/>
      <c r="F859" s="143">
        <v>1350000</v>
      </c>
      <c r="G859" s="140">
        <v>0.03</v>
      </c>
      <c r="H859" s="139">
        <f t="shared" si="27"/>
        <v>40500</v>
      </c>
    </row>
    <row r="860" spans="1:8" ht="18.75">
      <c r="A860" s="241">
        <v>12271</v>
      </c>
      <c r="B860" s="188">
        <v>0.1</v>
      </c>
      <c r="C860" s="677">
        <v>12</v>
      </c>
      <c r="D860" s="136" t="s">
        <v>528</v>
      </c>
      <c r="E860" s="581"/>
      <c r="F860" s="143">
        <v>750000</v>
      </c>
      <c r="G860" s="138">
        <v>0.04</v>
      </c>
      <c r="H860" s="139">
        <f t="shared" si="27"/>
        <v>30000</v>
      </c>
    </row>
    <row r="861" spans="1:8" ht="18.75">
      <c r="A861" s="135">
        <v>12278</v>
      </c>
      <c r="B861" s="188">
        <v>0.1</v>
      </c>
      <c r="C861" s="677">
        <v>12</v>
      </c>
      <c r="D861" s="136" t="s">
        <v>548</v>
      </c>
      <c r="E861" s="581"/>
      <c r="F861" s="143">
        <v>1350000</v>
      </c>
      <c r="G861" s="138">
        <v>0.04</v>
      </c>
      <c r="H861" s="139">
        <f t="shared" si="27"/>
        <v>54000</v>
      </c>
    </row>
    <row r="862" spans="1:8" ht="18.75">
      <c r="A862" s="135">
        <v>12307</v>
      </c>
      <c r="B862" s="188">
        <v>0.1</v>
      </c>
      <c r="C862" s="677">
        <v>12</v>
      </c>
      <c r="D862" s="651" t="s">
        <v>1581</v>
      </c>
      <c r="E862" s="581"/>
      <c r="F862" s="143">
        <v>1550000</v>
      </c>
      <c r="G862" s="138">
        <v>0.04</v>
      </c>
      <c r="H862" s="139">
        <f t="shared" si="27"/>
        <v>62000</v>
      </c>
    </row>
    <row r="863" spans="1:8" ht="18.75">
      <c r="A863" s="241">
        <v>12324</v>
      </c>
      <c r="B863" s="188">
        <v>0.1</v>
      </c>
      <c r="C863" s="677">
        <v>12</v>
      </c>
      <c r="D863" s="136" t="s">
        <v>549</v>
      </c>
      <c r="E863" s="581"/>
      <c r="F863" s="143">
        <v>1400000</v>
      </c>
      <c r="G863" s="138">
        <v>0.04</v>
      </c>
      <c r="H863" s="139">
        <f t="shared" si="27"/>
        <v>56000</v>
      </c>
    </row>
    <row r="864" spans="1:8" ht="18.75">
      <c r="A864" s="241">
        <v>12334</v>
      </c>
      <c r="B864" s="188">
        <v>0.1</v>
      </c>
      <c r="C864" s="1218">
        <v>12</v>
      </c>
      <c r="D864" s="661" t="s">
        <v>551</v>
      </c>
      <c r="E864" s="581"/>
      <c r="F864" s="143">
        <v>1450000</v>
      </c>
      <c r="G864" s="138">
        <v>0.04</v>
      </c>
      <c r="H864" s="139">
        <f t="shared" si="27"/>
        <v>58000</v>
      </c>
    </row>
    <row r="865" spans="1:8" ht="18.75">
      <c r="A865" s="241">
        <v>12358</v>
      </c>
      <c r="B865" s="188">
        <v>0.1</v>
      </c>
      <c r="C865" s="1218">
        <v>12</v>
      </c>
      <c r="D865" s="661" t="s">
        <v>553</v>
      </c>
      <c r="E865" s="581"/>
      <c r="F865" s="143">
        <v>2100000</v>
      </c>
      <c r="G865" s="138">
        <v>0.04</v>
      </c>
      <c r="H865" s="139">
        <f t="shared" si="27"/>
        <v>84000</v>
      </c>
    </row>
    <row r="866" spans="1:8" ht="18.75">
      <c r="A866" s="241">
        <v>12384</v>
      </c>
      <c r="B866" s="753">
        <v>0.1</v>
      </c>
      <c r="C866" s="1218">
        <v>12</v>
      </c>
      <c r="D866" s="661" t="s">
        <v>1582</v>
      </c>
      <c r="E866" s="754"/>
      <c r="F866" s="143">
        <v>700000</v>
      </c>
      <c r="G866" s="138">
        <v>0.04</v>
      </c>
      <c r="H866" s="139">
        <f t="shared" si="27"/>
        <v>28000</v>
      </c>
    </row>
    <row r="867" spans="1:8" ht="18.75">
      <c r="A867" s="241">
        <v>12387</v>
      </c>
      <c r="B867" s="753">
        <v>0.1</v>
      </c>
      <c r="C867" s="677">
        <v>12</v>
      </c>
      <c r="D867" s="652" t="s">
        <v>1583</v>
      </c>
      <c r="E867" s="754"/>
      <c r="F867" s="143">
        <v>1100000</v>
      </c>
      <c r="G867" s="138">
        <v>0.04</v>
      </c>
      <c r="H867" s="139">
        <f t="shared" si="27"/>
        <v>44000</v>
      </c>
    </row>
    <row r="868" spans="1:8" ht="18.75">
      <c r="A868" s="241">
        <v>12394</v>
      </c>
      <c r="B868" s="753">
        <v>0.1</v>
      </c>
      <c r="C868" s="677">
        <v>12</v>
      </c>
      <c r="D868" s="782" t="s">
        <v>532</v>
      </c>
      <c r="E868" s="754"/>
      <c r="F868" s="143">
        <v>1000000</v>
      </c>
      <c r="G868" s="138">
        <v>0.04</v>
      </c>
      <c r="H868" s="139">
        <f t="shared" si="27"/>
        <v>40000</v>
      </c>
    </row>
    <row r="869" spans="1:8" ht="18.75">
      <c r="A869" s="241">
        <v>12411</v>
      </c>
      <c r="B869" s="753">
        <v>0.1</v>
      </c>
      <c r="C869" s="1180">
        <v>12</v>
      </c>
      <c r="D869" s="136" t="s">
        <v>576</v>
      </c>
      <c r="E869" s="754"/>
      <c r="F869" s="143">
        <v>900000</v>
      </c>
      <c r="G869" s="138">
        <v>0.04</v>
      </c>
      <c r="H869" s="139">
        <f t="shared" si="27"/>
        <v>36000</v>
      </c>
    </row>
    <row r="870" spans="1:8" ht="18.75">
      <c r="A870" s="241">
        <v>12410</v>
      </c>
      <c r="B870" s="753">
        <v>0.1</v>
      </c>
      <c r="C870" s="1180">
        <v>12</v>
      </c>
      <c r="D870" s="242" t="s">
        <v>533</v>
      </c>
      <c r="E870" s="754"/>
      <c r="F870" s="143">
        <v>1350000</v>
      </c>
      <c r="G870" s="138">
        <v>0.04</v>
      </c>
      <c r="H870" s="139">
        <f t="shared" si="27"/>
        <v>54000</v>
      </c>
    </row>
    <row r="871" spans="1:8" ht="18.75">
      <c r="A871" s="346">
        <v>12431</v>
      </c>
      <c r="B871" s="753">
        <v>0.1</v>
      </c>
      <c r="C871" s="1180">
        <v>12</v>
      </c>
      <c r="D871" s="242" t="s">
        <v>1584</v>
      </c>
      <c r="E871" s="754"/>
      <c r="F871" s="143">
        <v>850000</v>
      </c>
      <c r="G871" s="138">
        <v>0.04</v>
      </c>
      <c r="H871" s="139">
        <f t="shared" si="27"/>
        <v>34000</v>
      </c>
    </row>
    <row r="872" spans="1:8" ht="18.75">
      <c r="A872" s="209" t="s">
        <v>297</v>
      </c>
      <c r="B872" s="1213"/>
      <c r="C872" s="1196"/>
      <c r="D872" s="226" t="s">
        <v>1585</v>
      </c>
      <c r="E872" s="529" t="s">
        <v>556</v>
      </c>
      <c r="F872" s="308"/>
      <c r="G872" s="220"/>
      <c r="H872" s="221"/>
    </row>
    <row r="873" spans="1:8" ht="18.75">
      <c r="A873" s="209" t="s">
        <v>297</v>
      </c>
      <c r="B873" s="1213"/>
      <c r="C873" s="1196"/>
      <c r="D873" s="226" t="s">
        <v>1586</v>
      </c>
      <c r="E873" s="760" t="s">
        <v>1587</v>
      </c>
      <c r="F873" s="308"/>
      <c r="G873" s="220"/>
      <c r="H873" s="221"/>
    </row>
    <row r="874" spans="1:8" ht="18.75">
      <c r="A874" s="209" t="s">
        <v>538</v>
      </c>
      <c r="B874" s="1213"/>
      <c r="C874" s="1196"/>
      <c r="D874" s="226" t="s">
        <v>539</v>
      </c>
      <c r="E874" s="760" t="s">
        <v>538</v>
      </c>
      <c r="F874" s="308"/>
      <c r="G874" s="220"/>
      <c r="H874" s="221"/>
    </row>
    <row r="875" spans="1:8" ht="18.75">
      <c r="A875" s="209" t="s">
        <v>297</v>
      </c>
      <c r="B875" s="1213"/>
      <c r="C875" s="1196"/>
      <c r="D875" s="277" t="s">
        <v>535</v>
      </c>
      <c r="E875" s="573" t="s">
        <v>536</v>
      </c>
      <c r="F875" s="308"/>
      <c r="G875" s="220"/>
      <c r="H875" s="221"/>
    </row>
    <row r="876" spans="1:8" ht="18.75">
      <c r="A876" s="209" t="s">
        <v>538</v>
      </c>
      <c r="B876" s="1213"/>
      <c r="C876" s="1196"/>
      <c r="D876" s="277" t="s">
        <v>580</v>
      </c>
      <c r="E876" s="760" t="s">
        <v>538</v>
      </c>
      <c r="F876" s="308"/>
      <c r="G876" s="220"/>
      <c r="H876" s="221"/>
    </row>
    <row r="877" spans="1:8" ht="18.75">
      <c r="A877" s="1191"/>
      <c r="B877" s="1189"/>
      <c r="C877" s="750"/>
      <c r="D877" s="58"/>
      <c r="E877" s="165" t="s">
        <v>34</v>
      </c>
      <c r="F877" s="1166">
        <f>SUM(F857:F876)</f>
        <v>17900000</v>
      </c>
      <c r="G877" s="28"/>
      <c r="H877" s="265">
        <f>SUM(H857:H876)</f>
        <v>702500</v>
      </c>
    </row>
    <row r="880" spans="1:8" ht="26.25">
      <c r="A880" s="1640" t="s">
        <v>1588</v>
      </c>
      <c r="B880" s="1640"/>
      <c r="C880" s="1640"/>
      <c r="D880" s="1640"/>
      <c r="E880" s="1640"/>
      <c r="F880" s="1640"/>
      <c r="G880" s="1640"/>
      <c r="H880" s="1640"/>
    </row>
    <row r="881" spans="1:8" ht="30.75">
      <c r="A881" s="45" t="s">
        <v>1463</v>
      </c>
      <c r="B881" s="46" t="s">
        <v>1497</v>
      </c>
      <c r="C881" s="46" t="s">
        <v>1465</v>
      </c>
      <c r="D881" s="45" t="s">
        <v>5</v>
      </c>
      <c r="E881" s="47" t="s">
        <v>1466</v>
      </c>
      <c r="F881" s="48" t="s">
        <v>1467</v>
      </c>
      <c r="G881" s="48" t="s">
        <v>7</v>
      </c>
      <c r="H881" s="48" t="s">
        <v>1468</v>
      </c>
    </row>
    <row r="882" spans="1:8" ht="18.75">
      <c r="A882" s="135">
        <v>12222</v>
      </c>
      <c r="B882" s="188">
        <v>0.1</v>
      </c>
      <c r="C882" s="677">
        <v>12</v>
      </c>
      <c r="D882" s="136" t="s">
        <v>561</v>
      </c>
      <c r="E882" s="581"/>
      <c r="F882" s="143">
        <v>750000</v>
      </c>
      <c r="G882" s="138"/>
      <c r="H882" s="139"/>
    </row>
    <row r="883" spans="1:8" ht="18.75">
      <c r="A883" s="730"/>
      <c r="B883" s="1210"/>
      <c r="C883" s="1187"/>
      <c r="D883" s="287"/>
      <c r="E883" s="584"/>
      <c r="F883" s="509"/>
      <c r="G883" s="510"/>
      <c r="H883" s="154"/>
    </row>
    <row r="884" spans="1:8" ht="18.75">
      <c r="A884" s="730"/>
      <c r="B884" s="1210"/>
      <c r="C884" s="1187"/>
      <c r="D884" s="287"/>
      <c r="E884" s="584"/>
      <c r="F884" s="509"/>
      <c r="G884" s="510"/>
      <c r="H884" s="154"/>
    </row>
    <row r="887" spans="1:8" ht="26.25">
      <c r="A887" s="1640" t="s">
        <v>1589</v>
      </c>
      <c r="B887" s="1640"/>
      <c r="C887" s="1641"/>
      <c r="D887" s="1640"/>
      <c r="E887" s="1640"/>
      <c r="F887" s="1640"/>
      <c r="G887" s="1640"/>
      <c r="H887" s="1640"/>
    </row>
    <row r="888" spans="1:8" ht="30.75">
      <c r="A888" s="45" t="s">
        <v>1463</v>
      </c>
      <c r="B888" s="646" t="s">
        <v>1497</v>
      </c>
      <c r="C888" s="132" t="s">
        <v>1465</v>
      </c>
      <c r="D888" s="647" t="s">
        <v>5</v>
      </c>
      <c r="E888" s="47" t="s">
        <v>1466</v>
      </c>
      <c r="F888" s="48" t="s">
        <v>1467</v>
      </c>
      <c r="G888" s="48" t="s">
        <v>7</v>
      </c>
      <c r="H888" s="48" t="s">
        <v>1468</v>
      </c>
    </row>
    <row r="889" spans="1:8" ht="18.75">
      <c r="A889" s="135">
        <v>12209</v>
      </c>
      <c r="B889" s="233">
        <v>0.1</v>
      </c>
      <c r="C889" s="238">
        <v>12</v>
      </c>
      <c r="D889" s="259" t="s">
        <v>517</v>
      </c>
      <c r="E889" s="581"/>
      <c r="F889" s="558">
        <v>1300000</v>
      </c>
      <c r="G889" s="138">
        <v>0.03</v>
      </c>
      <c r="H889" s="139">
        <f>F889*G889</f>
        <v>39000</v>
      </c>
    </row>
    <row r="890" spans="1:8" ht="18.75">
      <c r="A890" s="135">
        <v>12197</v>
      </c>
      <c r="B890" s="233">
        <v>0.1</v>
      </c>
      <c r="C890" s="238">
        <v>12</v>
      </c>
      <c r="D890" s="136" t="s">
        <v>558</v>
      </c>
      <c r="E890" s="581"/>
      <c r="F890" s="143">
        <v>900000</v>
      </c>
      <c r="G890" s="138">
        <v>0.03</v>
      </c>
      <c r="H890" s="139">
        <f t="shared" ref="H890:H935" si="28">F890*G890</f>
        <v>27000</v>
      </c>
    </row>
    <row r="891" spans="1:8" ht="18.75">
      <c r="A891" s="135">
        <v>12179</v>
      </c>
      <c r="B891" s="233">
        <v>0.1</v>
      </c>
      <c r="C891" s="677">
        <v>12</v>
      </c>
      <c r="D891" s="136" t="s">
        <v>560</v>
      </c>
      <c r="E891" s="224"/>
      <c r="F891" s="146">
        <v>1350000</v>
      </c>
      <c r="G891" s="138">
        <v>0.03</v>
      </c>
      <c r="H891" s="139">
        <f t="shared" si="28"/>
        <v>40500</v>
      </c>
    </row>
    <row r="892" spans="1:8" ht="18.75">
      <c r="A892" s="135">
        <v>12225</v>
      </c>
      <c r="B892" s="233">
        <v>0.1</v>
      </c>
      <c r="C892" s="238">
        <v>12</v>
      </c>
      <c r="D892" s="136" t="s">
        <v>562</v>
      </c>
      <c r="E892" s="763"/>
      <c r="F892" s="143">
        <v>1350000</v>
      </c>
      <c r="G892" s="138">
        <v>0.03</v>
      </c>
      <c r="H892" s="139">
        <f t="shared" si="28"/>
        <v>40500</v>
      </c>
    </row>
    <row r="893" spans="1:8" ht="18.75">
      <c r="A893" s="135">
        <v>12227</v>
      </c>
      <c r="B893" s="233">
        <v>0.1</v>
      </c>
      <c r="C893" s="238">
        <v>12</v>
      </c>
      <c r="D893" s="136" t="s">
        <v>546</v>
      </c>
      <c r="E893" s="763"/>
      <c r="F893" s="143">
        <v>1280000</v>
      </c>
      <c r="G893" s="138">
        <v>0.03</v>
      </c>
      <c r="H893" s="139">
        <f t="shared" si="28"/>
        <v>38400</v>
      </c>
    </row>
    <row r="894" spans="1:8" ht="18.75">
      <c r="A894" s="135">
        <v>12232</v>
      </c>
      <c r="B894" s="233">
        <v>0.1</v>
      </c>
      <c r="C894" s="677">
        <v>12</v>
      </c>
      <c r="D894" s="136" t="s">
        <v>563</v>
      </c>
      <c r="E894" s="755"/>
      <c r="F894" s="143">
        <v>750000</v>
      </c>
      <c r="G894" s="138">
        <v>0.03</v>
      </c>
      <c r="H894" s="139">
        <f t="shared" si="28"/>
        <v>22500</v>
      </c>
    </row>
    <row r="895" spans="1:8" ht="18.75">
      <c r="A895" s="135">
        <v>12248</v>
      </c>
      <c r="B895" s="478">
        <v>0.1</v>
      </c>
      <c r="C895" s="677">
        <v>12</v>
      </c>
      <c r="D895" s="136" t="s">
        <v>564</v>
      </c>
      <c r="E895" s="755"/>
      <c r="F895" s="143">
        <v>1100000</v>
      </c>
      <c r="G895" s="138">
        <v>0.03</v>
      </c>
      <c r="H895" s="139">
        <f t="shared" si="28"/>
        <v>33000</v>
      </c>
    </row>
    <row r="896" spans="1:8" ht="18.75">
      <c r="A896" s="135">
        <v>12257</v>
      </c>
      <c r="B896" s="478">
        <v>0.1</v>
      </c>
      <c r="C896" s="677">
        <v>12</v>
      </c>
      <c r="D896" s="136" t="s">
        <v>567</v>
      </c>
      <c r="E896" s="755"/>
      <c r="F896" s="143">
        <v>1250000</v>
      </c>
      <c r="G896" s="138">
        <v>0.03</v>
      </c>
      <c r="H896" s="139">
        <f t="shared" si="28"/>
        <v>37500</v>
      </c>
    </row>
    <row r="897" spans="1:8" ht="18.75">
      <c r="A897" s="135">
        <v>12260</v>
      </c>
      <c r="B897" s="478">
        <v>0.1</v>
      </c>
      <c r="C897" s="238">
        <v>12</v>
      </c>
      <c r="D897" s="136" t="s">
        <v>569</v>
      </c>
      <c r="E897" s="755"/>
      <c r="F897" s="143">
        <v>1400000</v>
      </c>
      <c r="G897" s="138">
        <v>0.03</v>
      </c>
      <c r="H897" s="139">
        <f t="shared" si="28"/>
        <v>42000</v>
      </c>
    </row>
    <row r="898" spans="1:8" ht="18.75">
      <c r="A898" s="346">
        <v>12279</v>
      </c>
      <c r="B898" s="478">
        <v>0.1</v>
      </c>
      <c r="C898" s="238">
        <v>12</v>
      </c>
      <c r="D898" s="136" t="s">
        <v>545</v>
      </c>
      <c r="E898" s="764"/>
      <c r="F898" s="143">
        <v>1700000</v>
      </c>
      <c r="G898" s="138">
        <v>0.03</v>
      </c>
      <c r="H898" s="139">
        <f t="shared" si="28"/>
        <v>51000</v>
      </c>
    </row>
    <row r="899" spans="1:8" ht="18.75">
      <c r="A899" s="346">
        <v>12295</v>
      </c>
      <c r="B899" s="478">
        <v>0.1</v>
      </c>
      <c r="C899" s="238">
        <v>12</v>
      </c>
      <c r="D899" s="136" t="s">
        <v>547</v>
      </c>
      <c r="E899" s="764"/>
      <c r="F899" s="143">
        <v>950000</v>
      </c>
      <c r="G899" s="138">
        <v>0.03</v>
      </c>
      <c r="H899" s="139">
        <f t="shared" si="28"/>
        <v>28500</v>
      </c>
    </row>
    <row r="900" spans="1:8" ht="18.75">
      <c r="A900" s="346">
        <v>12299</v>
      </c>
      <c r="B900" s="478">
        <v>0.1</v>
      </c>
      <c r="C900" s="238">
        <v>12</v>
      </c>
      <c r="D900" s="136" t="s">
        <v>529</v>
      </c>
      <c r="E900" s="764"/>
      <c r="F900" s="1146">
        <v>950000</v>
      </c>
      <c r="G900" s="138">
        <v>0.03</v>
      </c>
      <c r="H900" s="139">
        <f t="shared" si="28"/>
        <v>28500</v>
      </c>
    </row>
    <row r="901" spans="1:8" ht="18.75">
      <c r="A901" s="346">
        <v>12335</v>
      </c>
      <c r="B901" s="478">
        <v>0.1</v>
      </c>
      <c r="C901" s="238">
        <v>12</v>
      </c>
      <c r="D901" s="136" t="s">
        <v>1571</v>
      </c>
      <c r="E901" s="764"/>
      <c r="F901" s="1146">
        <v>1500000</v>
      </c>
      <c r="G901" s="138">
        <v>0.03</v>
      </c>
      <c r="H901" s="139">
        <f t="shared" si="28"/>
        <v>45000</v>
      </c>
    </row>
    <row r="902" spans="1:8" ht="18.75">
      <c r="A902" s="346">
        <v>12345</v>
      </c>
      <c r="B902" s="233">
        <v>0.1</v>
      </c>
      <c r="C902" s="238">
        <v>12</v>
      </c>
      <c r="D902" s="136" t="s">
        <v>571</v>
      </c>
      <c r="E902" s="764"/>
      <c r="F902" s="678">
        <v>1350000</v>
      </c>
      <c r="G902" s="138">
        <v>0.03</v>
      </c>
      <c r="H902" s="139">
        <f t="shared" si="28"/>
        <v>40500</v>
      </c>
    </row>
    <row r="903" spans="1:8" ht="18.75">
      <c r="A903" s="135">
        <v>12346</v>
      </c>
      <c r="B903" s="233">
        <v>0.1</v>
      </c>
      <c r="C903" s="238">
        <v>12</v>
      </c>
      <c r="D903" s="136" t="s">
        <v>588</v>
      </c>
      <c r="E903" s="764"/>
      <c r="F903" s="143">
        <v>1750000</v>
      </c>
      <c r="G903" s="138">
        <v>0.03</v>
      </c>
      <c r="H903" s="139">
        <f t="shared" si="28"/>
        <v>52500</v>
      </c>
    </row>
    <row r="904" spans="1:8" ht="18.75">
      <c r="A904" s="135">
        <v>12374</v>
      </c>
      <c r="B904" s="233">
        <v>0.1</v>
      </c>
      <c r="C904" s="238">
        <v>12</v>
      </c>
      <c r="D904" s="136" t="s">
        <v>1572</v>
      </c>
      <c r="E904" s="764"/>
      <c r="F904" s="143">
        <v>700000</v>
      </c>
      <c r="G904" s="138">
        <v>0.03</v>
      </c>
      <c r="H904" s="139">
        <f t="shared" si="28"/>
        <v>21000</v>
      </c>
    </row>
    <row r="905" spans="1:8" ht="18.75">
      <c r="A905" s="135">
        <v>12404</v>
      </c>
      <c r="B905" s="233">
        <v>0.1</v>
      </c>
      <c r="C905" s="238">
        <v>12</v>
      </c>
      <c r="D905" s="661" t="s">
        <v>1573</v>
      </c>
      <c r="E905" s="764"/>
      <c r="F905" s="143">
        <v>1400000</v>
      </c>
      <c r="G905" s="138">
        <v>0.03</v>
      </c>
      <c r="H905" s="139">
        <f t="shared" si="28"/>
        <v>42000</v>
      </c>
    </row>
    <row r="906" spans="1:8" ht="18.75">
      <c r="A906" s="135">
        <v>12388</v>
      </c>
      <c r="B906" s="233">
        <v>0.1</v>
      </c>
      <c r="C906" s="677">
        <v>12</v>
      </c>
      <c r="D906" s="661" t="s">
        <v>518</v>
      </c>
      <c r="E906" s="765"/>
      <c r="F906" s="143">
        <v>1500000</v>
      </c>
      <c r="G906" s="138">
        <v>0.03</v>
      </c>
      <c r="H906" s="139">
        <f t="shared" si="28"/>
        <v>45000</v>
      </c>
    </row>
    <row r="907" spans="1:8" ht="18.75">
      <c r="A907" s="135">
        <v>12203</v>
      </c>
      <c r="B907" s="233">
        <v>0.1</v>
      </c>
      <c r="C907" s="770">
        <v>12</v>
      </c>
      <c r="D907" s="259" t="s">
        <v>515</v>
      </c>
      <c r="E907" s="771"/>
      <c r="F907" s="143">
        <v>1450000</v>
      </c>
      <c r="G907" s="138">
        <v>0.03</v>
      </c>
      <c r="H907" s="139">
        <f t="shared" si="28"/>
        <v>43500</v>
      </c>
    </row>
    <row r="908" spans="1:8" ht="18.75">
      <c r="A908" s="135">
        <v>12223</v>
      </c>
      <c r="B908" s="233">
        <v>0.1</v>
      </c>
      <c r="C908" s="238">
        <v>12</v>
      </c>
      <c r="D908" s="242" t="s">
        <v>519</v>
      </c>
      <c r="E908" s="766"/>
      <c r="F908" s="143">
        <v>1300000</v>
      </c>
      <c r="G908" s="138">
        <v>0.03</v>
      </c>
      <c r="H908" s="139">
        <f t="shared" si="28"/>
        <v>39000</v>
      </c>
    </row>
    <row r="909" spans="1:8" ht="18.75">
      <c r="A909" s="135">
        <v>12235</v>
      </c>
      <c r="B909" s="233">
        <v>0.1</v>
      </c>
      <c r="C909" s="238">
        <v>12</v>
      </c>
      <c r="D909" s="136" t="s">
        <v>522</v>
      </c>
      <c r="E909" s="763"/>
      <c r="F909" s="143">
        <v>1400000</v>
      </c>
      <c r="G909" s="138">
        <v>0.03</v>
      </c>
      <c r="H909" s="139">
        <f t="shared" si="28"/>
        <v>42000</v>
      </c>
    </row>
    <row r="910" spans="1:8" ht="18.75">
      <c r="A910" s="135">
        <v>12245</v>
      </c>
      <c r="B910" s="233">
        <v>0.1</v>
      </c>
      <c r="C910" s="238">
        <v>12</v>
      </c>
      <c r="D910" s="136" t="s">
        <v>523</v>
      </c>
      <c r="E910" s="763"/>
      <c r="F910" s="143">
        <v>1250000</v>
      </c>
      <c r="G910" s="138">
        <v>0.03</v>
      </c>
      <c r="H910" s="139">
        <f t="shared" si="28"/>
        <v>37500</v>
      </c>
    </row>
    <row r="911" spans="1:8" ht="18.75">
      <c r="A911" s="135" t="s">
        <v>525</v>
      </c>
      <c r="B911" s="233">
        <v>0.1</v>
      </c>
      <c r="C911" s="238">
        <v>12</v>
      </c>
      <c r="D911" s="136" t="s">
        <v>526</v>
      </c>
      <c r="E911" s="763"/>
      <c r="F911" s="143">
        <v>1600000</v>
      </c>
      <c r="G911" s="138">
        <v>0.03</v>
      </c>
      <c r="H911" s="139">
        <f t="shared" si="28"/>
        <v>48000</v>
      </c>
    </row>
    <row r="912" spans="1:8" ht="18.75">
      <c r="A912" s="346">
        <v>12238</v>
      </c>
      <c r="B912" s="233">
        <v>0.1</v>
      </c>
      <c r="C912" s="677">
        <v>12</v>
      </c>
      <c r="D912" s="136" t="s">
        <v>544</v>
      </c>
      <c r="E912" s="755"/>
      <c r="F912" s="1146">
        <v>1300000</v>
      </c>
      <c r="G912" s="138">
        <v>0.03</v>
      </c>
      <c r="H912" s="139">
        <f t="shared" si="28"/>
        <v>39000</v>
      </c>
    </row>
    <row r="913" spans="1:8" ht="18.75">
      <c r="A913" s="135">
        <v>12200</v>
      </c>
      <c r="B913" s="233">
        <v>0.1</v>
      </c>
      <c r="C913" s="677">
        <v>12</v>
      </c>
      <c r="D913" s="136" t="s">
        <v>559</v>
      </c>
      <c r="E913" s="755"/>
      <c r="F913" s="143">
        <v>1300000</v>
      </c>
      <c r="G913" s="138">
        <v>0.03</v>
      </c>
      <c r="H913" s="139">
        <f t="shared" si="28"/>
        <v>39000</v>
      </c>
    </row>
    <row r="914" spans="1:8" ht="18.75">
      <c r="A914" s="135">
        <v>12255</v>
      </c>
      <c r="B914" s="233">
        <v>0.1</v>
      </c>
      <c r="C914" s="1179">
        <v>12</v>
      </c>
      <c r="D914" s="136" t="s">
        <v>565</v>
      </c>
      <c r="E914" s="755"/>
      <c r="F914" s="143">
        <v>1400000</v>
      </c>
      <c r="G914" s="138">
        <v>0.03</v>
      </c>
      <c r="H914" s="139">
        <f t="shared" si="28"/>
        <v>42000</v>
      </c>
    </row>
    <row r="915" spans="1:8" ht="18.75">
      <c r="A915" s="135">
        <v>12254</v>
      </c>
      <c r="B915" s="233">
        <v>0.1</v>
      </c>
      <c r="C915" s="238">
        <v>12</v>
      </c>
      <c r="D915" s="136" t="s">
        <v>566</v>
      </c>
      <c r="E915" s="755"/>
      <c r="F915" s="143">
        <v>1350000</v>
      </c>
      <c r="G915" s="138">
        <v>0.03</v>
      </c>
      <c r="H915" s="139">
        <f t="shared" si="28"/>
        <v>40500</v>
      </c>
    </row>
    <row r="916" spans="1:8" ht="18.75">
      <c r="A916" s="135">
        <v>12261</v>
      </c>
      <c r="B916" s="188">
        <v>0.1</v>
      </c>
      <c r="C916" s="677">
        <v>12</v>
      </c>
      <c r="D916" s="136" t="s">
        <v>570</v>
      </c>
      <c r="E916" s="767"/>
      <c r="F916" s="143">
        <v>900000</v>
      </c>
      <c r="G916" s="138">
        <v>0.03</v>
      </c>
      <c r="H916" s="139">
        <f t="shared" si="28"/>
        <v>27000</v>
      </c>
    </row>
    <row r="917" spans="1:8" ht="18.75">
      <c r="A917" s="677">
        <v>12199</v>
      </c>
      <c r="B917" s="188">
        <v>0.1</v>
      </c>
      <c r="C917" s="677">
        <v>12</v>
      </c>
      <c r="D917" s="259" t="s">
        <v>586</v>
      </c>
      <c r="E917" s="767"/>
      <c r="F917" s="678">
        <v>1350000</v>
      </c>
      <c r="G917" s="138">
        <v>0.03</v>
      </c>
      <c r="H917" s="139">
        <f t="shared" si="28"/>
        <v>40500</v>
      </c>
    </row>
    <row r="918" spans="1:8" ht="18.75">
      <c r="A918" s="677">
        <v>12231</v>
      </c>
      <c r="B918" s="188">
        <v>0.1</v>
      </c>
      <c r="C918" s="677">
        <v>12</v>
      </c>
      <c r="D918" s="259" t="s">
        <v>587</v>
      </c>
      <c r="E918" s="767"/>
      <c r="F918" s="678">
        <v>1400000</v>
      </c>
      <c r="G918" s="138">
        <v>0.03</v>
      </c>
      <c r="H918" s="139">
        <f t="shared" si="28"/>
        <v>42000</v>
      </c>
    </row>
    <row r="919" spans="1:8" ht="18.75">
      <c r="A919" s="677">
        <v>12344</v>
      </c>
      <c r="B919" s="188">
        <v>0.1</v>
      </c>
      <c r="C919" s="1179">
        <v>12</v>
      </c>
      <c r="D919" s="259" t="s">
        <v>1576</v>
      </c>
      <c r="E919" s="767"/>
      <c r="F919" s="678">
        <v>1550000</v>
      </c>
      <c r="G919" s="138">
        <v>0.03</v>
      </c>
      <c r="H919" s="139">
        <f t="shared" si="28"/>
        <v>46500</v>
      </c>
    </row>
    <row r="920" spans="1:8" ht="18.75">
      <c r="A920" s="677">
        <v>12357</v>
      </c>
      <c r="B920" s="188">
        <v>0.1</v>
      </c>
      <c r="C920" s="1179">
        <v>12</v>
      </c>
      <c r="D920" s="259" t="s">
        <v>573</v>
      </c>
      <c r="E920" s="767"/>
      <c r="F920" s="678">
        <v>750000</v>
      </c>
      <c r="G920" s="138">
        <v>0.03</v>
      </c>
      <c r="H920" s="139">
        <f t="shared" si="28"/>
        <v>22500</v>
      </c>
    </row>
    <row r="921" spans="1:8" ht="18.75">
      <c r="A921" s="677">
        <v>12356</v>
      </c>
      <c r="B921" s="188">
        <v>0.1</v>
      </c>
      <c r="C921" s="1179">
        <v>12</v>
      </c>
      <c r="D921" s="259" t="s">
        <v>530</v>
      </c>
      <c r="E921" s="767"/>
      <c r="F921" s="678">
        <v>950000</v>
      </c>
      <c r="G921" s="138">
        <v>0.03</v>
      </c>
      <c r="H921" s="139">
        <f t="shared" si="28"/>
        <v>28500</v>
      </c>
    </row>
    <row r="922" spans="1:8" ht="18.75">
      <c r="A922" s="677">
        <v>12368</v>
      </c>
      <c r="B922" s="188">
        <v>0.1</v>
      </c>
      <c r="C922" s="1179">
        <v>12</v>
      </c>
      <c r="D922" s="259" t="s">
        <v>1590</v>
      </c>
      <c r="E922" s="767"/>
      <c r="F922" s="678">
        <v>1300000</v>
      </c>
      <c r="G922" s="138">
        <v>0.03</v>
      </c>
      <c r="H922" s="139">
        <f t="shared" si="28"/>
        <v>39000</v>
      </c>
    </row>
    <row r="923" spans="1:8" ht="18.75">
      <c r="A923" s="135">
        <v>12217</v>
      </c>
      <c r="B923" s="188">
        <v>0.1</v>
      </c>
      <c r="C923" s="677">
        <v>12</v>
      </c>
      <c r="D923" s="136" t="s">
        <v>521</v>
      </c>
      <c r="E923" s="765"/>
      <c r="F923" s="143">
        <v>800000</v>
      </c>
      <c r="G923" s="138">
        <v>0.03</v>
      </c>
      <c r="H923" s="139">
        <f t="shared" si="28"/>
        <v>24000</v>
      </c>
    </row>
    <row r="924" spans="1:8" ht="18.75">
      <c r="A924" s="135">
        <v>12263</v>
      </c>
      <c r="B924" s="188">
        <v>0.1</v>
      </c>
      <c r="C924" s="677">
        <v>12</v>
      </c>
      <c r="D924" s="136" t="s">
        <v>527</v>
      </c>
      <c r="E924" s="765"/>
      <c r="F924" s="143">
        <v>1250000</v>
      </c>
      <c r="G924" s="138">
        <v>0.03</v>
      </c>
      <c r="H924" s="139">
        <f t="shared" si="28"/>
        <v>37500</v>
      </c>
    </row>
    <row r="925" spans="1:8" ht="18.75">
      <c r="A925" s="135">
        <v>12259</v>
      </c>
      <c r="B925" s="188">
        <v>0.09</v>
      </c>
      <c r="C925" s="677">
        <v>12</v>
      </c>
      <c r="D925" s="136" t="s">
        <v>568</v>
      </c>
      <c r="E925" s="765"/>
      <c r="F925" s="143">
        <v>1350000</v>
      </c>
      <c r="G925" s="140">
        <v>0.02</v>
      </c>
      <c r="H925" s="139">
        <f t="shared" si="28"/>
        <v>27000</v>
      </c>
    </row>
    <row r="926" spans="1:8" ht="18.75">
      <c r="A926" s="241">
        <v>12271</v>
      </c>
      <c r="B926" s="188">
        <v>0.1</v>
      </c>
      <c r="C926" s="677">
        <v>12</v>
      </c>
      <c r="D926" s="136" t="s">
        <v>528</v>
      </c>
      <c r="E926" s="765"/>
      <c r="F926" s="143">
        <v>750000</v>
      </c>
      <c r="G926" s="138">
        <v>0.03</v>
      </c>
      <c r="H926" s="139">
        <f t="shared" si="28"/>
        <v>22500</v>
      </c>
    </row>
    <row r="927" spans="1:8" ht="18.75">
      <c r="A927" s="135">
        <v>12278</v>
      </c>
      <c r="B927" s="188">
        <v>0.1</v>
      </c>
      <c r="C927" s="677">
        <v>12</v>
      </c>
      <c r="D927" s="136" t="s">
        <v>548</v>
      </c>
      <c r="E927" s="765"/>
      <c r="F927" s="143">
        <v>1350000</v>
      </c>
      <c r="G927" s="138">
        <v>0.03</v>
      </c>
      <c r="H927" s="139">
        <f t="shared" si="28"/>
        <v>40500</v>
      </c>
    </row>
    <row r="928" spans="1:8" ht="18.75">
      <c r="A928" s="135">
        <v>12307</v>
      </c>
      <c r="B928" s="188">
        <v>0.1</v>
      </c>
      <c r="C928" s="677">
        <v>12</v>
      </c>
      <c r="D928" s="651" t="s">
        <v>1581</v>
      </c>
      <c r="E928" s="765"/>
      <c r="F928" s="143">
        <v>1550000</v>
      </c>
      <c r="G928" s="138">
        <v>0.03</v>
      </c>
      <c r="H928" s="139">
        <f t="shared" si="28"/>
        <v>46500</v>
      </c>
    </row>
    <row r="929" spans="1:8" ht="18.75">
      <c r="A929" s="241">
        <v>12324</v>
      </c>
      <c r="B929" s="188">
        <v>0.1</v>
      </c>
      <c r="C929" s="677">
        <v>12</v>
      </c>
      <c r="D929" s="136" t="s">
        <v>549</v>
      </c>
      <c r="E929" s="765"/>
      <c r="F929" s="143">
        <v>1400000</v>
      </c>
      <c r="G929" s="138">
        <v>0.03</v>
      </c>
      <c r="H929" s="139">
        <f t="shared" si="28"/>
        <v>42000</v>
      </c>
    </row>
    <row r="930" spans="1:8" ht="18.75">
      <c r="A930" s="241">
        <v>12334</v>
      </c>
      <c r="B930" s="188">
        <v>0.1</v>
      </c>
      <c r="C930" s="1218">
        <v>12</v>
      </c>
      <c r="D930" s="661" t="s">
        <v>551</v>
      </c>
      <c r="E930" s="765"/>
      <c r="F930" s="143">
        <v>1450000</v>
      </c>
      <c r="G930" s="138">
        <v>0.03</v>
      </c>
      <c r="H930" s="139">
        <f t="shared" si="28"/>
        <v>43500</v>
      </c>
    </row>
    <row r="931" spans="1:8" ht="18.75">
      <c r="A931" s="241">
        <v>12358</v>
      </c>
      <c r="B931" s="188">
        <v>0.1</v>
      </c>
      <c r="C931" s="1218">
        <v>12</v>
      </c>
      <c r="D931" s="661" t="s">
        <v>553</v>
      </c>
      <c r="E931" s="765"/>
      <c r="F931" s="143">
        <v>2100000</v>
      </c>
      <c r="G931" s="138">
        <v>0.03</v>
      </c>
      <c r="H931" s="139">
        <f t="shared" si="28"/>
        <v>63000</v>
      </c>
    </row>
    <row r="932" spans="1:8" ht="18.75">
      <c r="A932" s="241">
        <v>12384</v>
      </c>
      <c r="B932" s="753">
        <v>0.1</v>
      </c>
      <c r="C932" s="1218">
        <v>12</v>
      </c>
      <c r="D932" s="661" t="s">
        <v>1582</v>
      </c>
      <c r="E932" s="768"/>
      <c r="F932" s="143">
        <v>700000</v>
      </c>
      <c r="G932" s="138">
        <v>0.03</v>
      </c>
      <c r="H932" s="139">
        <f t="shared" si="28"/>
        <v>21000</v>
      </c>
    </row>
    <row r="933" spans="1:8" ht="18.75">
      <c r="A933" s="241">
        <v>12387</v>
      </c>
      <c r="B933" s="753">
        <v>0.1</v>
      </c>
      <c r="C933" s="677">
        <v>12</v>
      </c>
      <c r="D933" s="652" t="s">
        <v>1583</v>
      </c>
      <c r="E933" s="768"/>
      <c r="F933" s="143">
        <v>1100000</v>
      </c>
      <c r="G933" s="138">
        <v>0.03</v>
      </c>
      <c r="H933" s="139">
        <f t="shared" si="28"/>
        <v>33000</v>
      </c>
    </row>
    <row r="934" spans="1:8" ht="18.75">
      <c r="A934" s="241">
        <v>12394</v>
      </c>
      <c r="B934" s="753">
        <v>0.1</v>
      </c>
      <c r="C934" s="677">
        <v>12</v>
      </c>
      <c r="D934" s="652" t="s">
        <v>532</v>
      </c>
      <c r="E934" s="768"/>
      <c r="F934" s="143">
        <v>1000000</v>
      </c>
      <c r="G934" s="138">
        <v>0.03</v>
      </c>
      <c r="H934" s="139">
        <f t="shared" si="28"/>
        <v>30000</v>
      </c>
    </row>
    <row r="935" spans="1:8" ht="18.75">
      <c r="A935" s="135">
        <v>12222</v>
      </c>
      <c r="B935" s="188">
        <v>0.1</v>
      </c>
      <c r="C935" s="677">
        <v>12</v>
      </c>
      <c r="D935" s="136" t="s">
        <v>561</v>
      </c>
      <c r="E935" s="769"/>
      <c r="F935" s="146">
        <v>750000</v>
      </c>
      <c r="G935" s="138">
        <v>0.03</v>
      </c>
      <c r="H935" s="139">
        <f t="shared" si="28"/>
        <v>22500</v>
      </c>
    </row>
    <row r="936" spans="1:8" ht="18.75">
      <c r="A936" s="241">
        <v>12431</v>
      </c>
      <c r="B936" s="233">
        <v>0.1</v>
      </c>
      <c r="C936" s="1215">
        <v>12</v>
      </c>
      <c r="D936" s="652" t="s">
        <v>554</v>
      </c>
      <c r="E936" s="769"/>
      <c r="F936" s="146">
        <v>1070000</v>
      </c>
      <c r="G936" s="138">
        <v>0.03</v>
      </c>
      <c r="H936" s="139">
        <f>F936*G936</f>
        <v>32100</v>
      </c>
    </row>
    <row r="937" spans="1:8" ht="18.75">
      <c r="A937" s="135">
        <v>12404</v>
      </c>
      <c r="B937" s="233">
        <v>0.08</v>
      </c>
      <c r="C937" s="1215">
        <v>6</v>
      </c>
      <c r="D937" s="652" t="s">
        <v>594</v>
      </c>
      <c r="E937" s="769"/>
      <c r="F937" s="146">
        <v>2200000</v>
      </c>
      <c r="G937" s="140">
        <v>0.02</v>
      </c>
      <c r="H937" s="139">
        <f t="shared" ref="H937:H940" si="29">F937*G937</f>
        <v>44000</v>
      </c>
    </row>
    <row r="938" spans="1:8" ht="18.75">
      <c r="A938" s="241">
        <v>12411</v>
      </c>
      <c r="B938" s="233">
        <v>0.1</v>
      </c>
      <c r="C938" s="1215">
        <v>12</v>
      </c>
      <c r="D938" s="652" t="s">
        <v>1591</v>
      </c>
      <c r="E938" s="769"/>
      <c r="F938" s="146">
        <v>900000</v>
      </c>
      <c r="G938" s="138">
        <v>0.03</v>
      </c>
      <c r="H938" s="139">
        <f t="shared" si="29"/>
        <v>27000</v>
      </c>
    </row>
    <row r="939" spans="1:8" ht="18.75">
      <c r="A939" s="241">
        <v>12410</v>
      </c>
      <c r="B939" s="233">
        <v>0.1</v>
      </c>
      <c r="C939" s="1215">
        <v>12</v>
      </c>
      <c r="D939" s="652" t="s">
        <v>533</v>
      </c>
      <c r="E939" s="769"/>
      <c r="F939" s="146">
        <v>1350000</v>
      </c>
      <c r="G939" s="138">
        <v>0.03</v>
      </c>
      <c r="H939" s="139">
        <f t="shared" si="29"/>
        <v>40500</v>
      </c>
    </row>
    <row r="940" spans="1:8" ht="18.75">
      <c r="A940" s="135">
        <v>12415</v>
      </c>
      <c r="B940" s="233">
        <v>0.1</v>
      </c>
      <c r="C940" s="1215">
        <v>12</v>
      </c>
      <c r="D940" s="652" t="s">
        <v>534</v>
      </c>
      <c r="E940" s="769"/>
      <c r="F940" s="146">
        <v>850000</v>
      </c>
      <c r="G940" s="138">
        <v>0.03</v>
      </c>
      <c r="H940" s="139">
        <f t="shared" si="29"/>
        <v>25500</v>
      </c>
    </row>
    <row r="941" spans="1:8" ht="18.75">
      <c r="A941" s="1192"/>
      <c r="B941" s="1192"/>
      <c r="C941" s="1221"/>
      <c r="D941" s="1192"/>
      <c r="E941" s="772" t="s">
        <v>34</v>
      </c>
      <c r="F941" s="1164">
        <f>SUM(F889:F940)</f>
        <v>64950000</v>
      </c>
      <c r="G941" s="14"/>
      <c r="H941" s="533">
        <f>SUM(H889:H940)</f>
        <v>1913000</v>
      </c>
    </row>
    <row r="944" spans="1:8" ht="26.25">
      <c r="A944" s="1643" t="s">
        <v>1592</v>
      </c>
      <c r="B944" s="1643"/>
      <c r="C944" s="1643"/>
      <c r="D944" s="1643"/>
      <c r="E944" s="1643"/>
      <c r="F944" s="1643"/>
      <c r="G944" s="1643"/>
      <c r="H944" s="1643"/>
    </row>
    <row r="946" spans="1:8" ht="26.25">
      <c r="A946" s="1641" t="s">
        <v>1593</v>
      </c>
      <c r="B946" s="1641"/>
      <c r="C946" s="1641"/>
      <c r="D946" s="1641"/>
      <c r="E946" s="1640"/>
      <c r="F946" s="1640"/>
      <c r="G946" s="1640"/>
      <c r="H946" s="1640"/>
    </row>
    <row r="947" spans="1:8" ht="30.75">
      <c r="A947" s="87" t="s">
        <v>1463</v>
      </c>
      <c r="B947" s="132" t="s">
        <v>1497</v>
      </c>
      <c r="C947" s="132" t="s">
        <v>1465</v>
      </c>
      <c r="D947" s="87" t="s">
        <v>5</v>
      </c>
      <c r="E947" s="732" t="s">
        <v>1466</v>
      </c>
      <c r="F947" s="48" t="s">
        <v>1467</v>
      </c>
      <c r="G947" s="48" t="s">
        <v>7</v>
      </c>
      <c r="H947" s="48" t="s">
        <v>1468</v>
      </c>
    </row>
    <row r="948" spans="1:8" ht="18.75">
      <c r="A948" s="135">
        <v>12441</v>
      </c>
      <c r="B948" s="233">
        <v>0.1</v>
      </c>
      <c r="C948" s="677">
        <v>12</v>
      </c>
      <c r="D948" s="136" t="s">
        <v>1594</v>
      </c>
      <c r="E948" s="754"/>
      <c r="F948" s="558">
        <v>1400000</v>
      </c>
      <c r="G948" s="138">
        <v>0.06</v>
      </c>
      <c r="H948" s="139">
        <f>F948*G948</f>
        <v>84000</v>
      </c>
    </row>
    <row r="949" spans="1:8" ht="18.75">
      <c r="A949" s="241">
        <v>12448</v>
      </c>
      <c r="B949" s="817">
        <v>0.1</v>
      </c>
      <c r="C949" s="1180">
        <v>12</v>
      </c>
      <c r="D949" s="242" t="s">
        <v>601</v>
      </c>
      <c r="E949" s="581"/>
      <c r="F949" s="558">
        <v>1400000</v>
      </c>
      <c r="G949" s="138">
        <v>0.06</v>
      </c>
      <c r="H949" s="139">
        <f t="shared" ref="H949:H966" si="30">F949*G949</f>
        <v>84000</v>
      </c>
    </row>
    <row r="950" spans="1:8" ht="18.75">
      <c r="A950" s="135">
        <v>12463</v>
      </c>
      <c r="B950" s="817">
        <v>0.1</v>
      </c>
      <c r="C950" s="1180">
        <v>12</v>
      </c>
      <c r="D950" s="242" t="s">
        <v>1595</v>
      </c>
      <c r="E950" s="581"/>
      <c r="F950" s="558">
        <v>900000</v>
      </c>
      <c r="G950" s="138">
        <v>0.06</v>
      </c>
      <c r="H950" s="139">
        <f t="shared" si="30"/>
        <v>54000</v>
      </c>
    </row>
    <row r="951" spans="1:8" ht="18.75">
      <c r="A951" s="135">
        <v>12466</v>
      </c>
      <c r="B951" s="233">
        <v>0.1</v>
      </c>
      <c r="C951" s="1215">
        <v>12</v>
      </c>
      <c r="D951" s="242" t="s">
        <v>630</v>
      </c>
      <c r="E951" s="581"/>
      <c r="F951" s="143">
        <v>1400000</v>
      </c>
      <c r="G951" s="138">
        <v>0.06</v>
      </c>
      <c r="H951" s="139">
        <f t="shared" si="30"/>
        <v>84000</v>
      </c>
    </row>
    <row r="952" spans="1:8" ht="18.75">
      <c r="A952" s="677">
        <v>12499</v>
      </c>
      <c r="B952" s="233">
        <v>0.1</v>
      </c>
      <c r="C952" s="1215">
        <v>12</v>
      </c>
      <c r="D952" s="259" t="s">
        <v>1596</v>
      </c>
      <c r="E952" s="581"/>
      <c r="F952" s="143">
        <v>1000000</v>
      </c>
      <c r="G952" s="138">
        <v>0.06</v>
      </c>
      <c r="H952" s="139">
        <f t="shared" si="30"/>
        <v>60000</v>
      </c>
    </row>
    <row r="953" spans="1:8" ht="18.75">
      <c r="A953" s="1193">
        <v>12500</v>
      </c>
      <c r="B953" s="233">
        <v>0.1</v>
      </c>
      <c r="C953" s="1215">
        <v>12</v>
      </c>
      <c r="D953" s="259" t="s">
        <v>643</v>
      </c>
      <c r="E953" s="581"/>
      <c r="F953" s="143">
        <v>700000</v>
      </c>
      <c r="G953" s="138">
        <v>0.06</v>
      </c>
      <c r="H953" s="139">
        <f t="shared" si="30"/>
        <v>42000</v>
      </c>
    </row>
    <row r="954" spans="1:8" ht="18.75">
      <c r="A954" s="1193">
        <v>12522</v>
      </c>
      <c r="B954" s="233">
        <v>0.1</v>
      </c>
      <c r="C954" s="1215">
        <v>12</v>
      </c>
      <c r="D954" s="136" t="s">
        <v>644</v>
      </c>
      <c r="E954" s="224"/>
      <c r="F954" s="143">
        <v>1300000</v>
      </c>
      <c r="G954" s="138">
        <v>0.06</v>
      </c>
      <c r="H954" s="139">
        <f t="shared" si="30"/>
        <v>78000</v>
      </c>
    </row>
    <row r="955" spans="1:8" ht="18.75">
      <c r="A955" s="135">
        <v>12528</v>
      </c>
      <c r="B955" s="233">
        <v>0.1</v>
      </c>
      <c r="C955" s="1222">
        <v>12</v>
      </c>
      <c r="D955" s="136" t="s">
        <v>1597</v>
      </c>
      <c r="E955" s="224"/>
      <c r="F955" s="143">
        <v>1300000</v>
      </c>
      <c r="G955" s="138">
        <v>0.06</v>
      </c>
      <c r="H955" s="139">
        <f t="shared" si="30"/>
        <v>78000</v>
      </c>
    </row>
    <row r="956" spans="1:8" ht="18.75">
      <c r="A956" s="135">
        <v>12531</v>
      </c>
      <c r="B956" s="233">
        <v>0.1</v>
      </c>
      <c r="C956" s="1222">
        <v>12</v>
      </c>
      <c r="D956" s="136" t="s">
        <v>1598</v>
      </c>
      <c r="E956" s="224"/>
      <c r="F956" s="143">
        <v>1350000</v>
      </c>
      <c r="G956" s="138">
        <v>0.06</v>
      </c>
      <c r="H956" s="139">
        <f t="shared" si="30"/>
        <v>81000</v>
      </c>
    </row>
    <row r="957" spans="1:8" ht="18.75">
      <c r="A957" s="346">
        <v>12535</v>
      </c>
      <c r="B957" s="233">
        <v>0.1</v>
      </c>
      <c r="C957" s="238">
        <v>12</v>
      </c>
      <c r="D957" s="259" t="s">
        <v>633</v>
      </c>
      <c r="E957" s="224"/>
      <c r="F957" s="143">
        <v>1250000</v>
      </c>
      <c r="G957" s="478">
        <v>0.06</v>
      </c>
      <c r="H957" s="139">
        <f t="shared" si="30"/>
        <v>75000</v>
      </c>
    </row>
    <row r="958" spans="1:8" ht="18.75">
      <c r="A958" s="346">
        <v>12551</v>
      </c>
      <c r="B958" s="233">
        <v>0.1</v>
      </c>
      <c r="C958" s="238">
        <v>12</v>
      </c>
      <c r="D958" s="259" t="s">
        <v>634</v>
      </c>
      <c r="E958" s="224"/>
      <c r="F958" s="143">
        <v>800000</v>
      </c>
      <c r="G958" s="478">
        <v>0.06</v>
      </c>
      <c r="H958" s="139">
        <f t="shared" si="30"/>
        <v>48000</v>
      </c>
    </row>
    <row r="959" spans="1:8" ht="18.75">
      <c r="A959" s="135">
        <v>12554</v>
      </c>
      <c r="B959" s="478">
        <v>0.1</v>
      </c>
      <c r="C959" s="677">
        <v>12</v>
      </c>
      <c r="D959" s="136" t="s">
        <v>647</v>
      </c>
      <c r="E959" s="137"/>
      <c r="F959" s="143">
        <v>1350000</v>
      </c>
      <c r="G959" s="478">
        <v>0.06</v>
      </c>
      <c r="H959" s="139">
        <f t="shared" si="30"/>
        <v>81000</v>
      </c>
    </row>
    <row r="960" spans="1:8" ht="18.75">
      <c r="A960" s="346">
        <v>12550</v>
      </c>
      <c r="B960" s="478">
        <v>0.1</v>
      </c>
      <c r="C960" s="238">
        <v>12</v>
      </c>
      <c r="D960" s="259" t="s">
        <v>603</v>
      </c>
      <c r="E960" s="243"/>
      <c r="F960" s="143">
        <v>1400000</v>
      </c>
      <c r="G960" s="478">
        <v>0.06</v>
      </c>
      <c r="H960" s="139">
        <f t="shared" si="30"/>
        <v>84000</v>
      </c>
    </row>
    <row r="961" spans="1:8" ht="18.75">
      <c r="A961" s="135">
        <v>12563</v>
      </c>
      <c r="B961" s="478">
        <v>0.1</v>
      </c>
      <c r="C961" s="238">
        <v>12</v>
      </c>
      <c r="D961" s="259" t="s">
        <v>1599</v>
      </c>
      <c r="E961" s="243"/>
      <c r="F961" s="143">
        <v>1550000</v>
      </c>
      <c r="G961" s="478">
        <v>0.06</v>
      </c>
      <c r="H961" s="139">
        <f t="shared" si="30"/>
        <v>93000</v>
      </c>
    </row>
    <row r="962" spans="1:8" ht="18.75">
      <c r="A962" s="346">
        <v>12596</v>
      </c>
      <c r="B962" s="478">
        <v>0.1</v>
      </c>
      <c r="C962" s="238">
        <v>12</v>
      </c>
      <c r="D962" s="259" t="s">
        <v>635</v>
      </c>
      <c r="E962" s="243"/>
      <c r="F962" s="143">
        <v>1400000</v>
      </c>
      <c r="G962" s="478">
        <v>0.06</v>
      </c>
      <c r="H962" s="139">
        <f t="shared" si="30"/>
        <v>84000</v>
      </c>
    </row>
    <row r="963" spans="1:8" ht="18.75">
      <c r="A963" s="135">
        <v>12612</v>
      </c>
      <c r="B963" s="478">
        <v>0.1</v>
      </c>
      <c r="C963" s="238">
        <v>12</v>
      </c>
      <c r="D963" s="259" t="s">
        <v>1600</v>
      </c>
      <c r="E963" s="243"/>
      <c r="F963" s="143">
        <v>870000</v>
      </c>
      <c r="G963" s="478">
        <v>0.06</v>
      </c>
      <c r="H963" s="139">
        <f t="shared" si="30"/>
        <v>52200</v>
      </c>
    </row>
    <row r="964" spans="1:8" ht="18.75">
      <c r="A964" s="135">
        <v>12658</v>
      </c>
      <c r="B964" s="478">
        <v>0.1</v>
      </c>
      <c r="C964" s="238">
        <v>12</v>
      </c>
      <c r="D964" s="259" t="s">
        <v>1601</v>
      </c>
      <c r="E964" s="243"/>
      <c r="F964" s="143">
        <v>700000</v>
      </c>
      <c r="G964" s="478">
        <v>0.06</v>
      </c>
      <c r="H964" s="139">
        <f t="shared" si="30"/>
        <v>42000</v>
      </c>
    </row>
    <row r="965" spans="1:8" ht="18.75">
      <c r="A965" s="135">
        <v>12647</v>
      </c>
      <c r="B965" s="478">
        <v>0.1</v>
      </c>
      <c r="C965" s="238">
        <v>12</v>
      </c>
      <c r="D965" s="259" t="s">
        <v>649</v>
      </c>
      <c r="E965" s="243"/>
      <c r="F965" s="143">
        <v>1100000</v>
      </c>
      <c r="G965" s="478">
        <v>0.06</v>
      </c>
      <c r="H965" s="139">
        <f t="shared" si="30"/>
        <v>66000</v>
      </c>
    </row>
    <row r="966" spans="1:8" ht="18.75">
      <c r="A966" s="135">
        <v>12675</v>
      </c>
      <c r="B966" s="478">
        <v>0.1</v>
      </c>
      <c r="C966" s="238">
        <v>12</v>
      </c>
      <c r="D966" s="259" t="s">
        <v>632</v>
      </c>
      <c r="E966" s="243"/>
      <c r="F966" s="143">
        <v>870000</v>
      </c>
      <c r="G966" s="478">
        <v>0.06</v>
      </c>
      <c r="H966" s="139">
        <f t="shared" si="30"/>
        <v>52200</v>
      </c>
    </row>
    <row r="967" spans="1:8" ht="18.75">
      <c r="A967" s="362" t="s">
        <v>638</v>
      </c>
      <c r="B967" s="348"/>
      <c r="C967" s="814"/>
      <c r="D967" s="277" t="s">
        <v>655</v>
      </c>
      <c r="E967" s="822" t="s">
        <v>1602</v>
      </c>
      <c r="F967" s="1167"/>
      <c r="G967" s="348"/>
      <c r="H967" s="221"/>
    </row>
    <row r="968" spans="1:8" ht="18.75">
      <c r="A968" s="362" t="s">
        <v>297</v>
      </c>
      <c r="B968" s="267"/>
      <c r="C968" s="814"/>
      <c r="D968" s="757" t="s">
        <v>639</v>
      </c>
      <c r="E968" s="830" t="s">
        <v>640</v>
      </c>
      <c r="F968" s="756"/>
      <c r="G968" s="220"/>
      <c r="H968" s="221"/>
    </row>
    <row r="969" spans="1:8" ht="18.75">
      <c r="A969" s="211" t="s">
        <v>297</v>
      </c>
      <c r="B969" s="267"/>
      <c r="C969" s="814"/>
      <c r="D969" s="277" t="s">
        <v>1603</v>
      </c>
      <c r="E969" s="819" t="s">
        <v>640</v>
      </c>
      <c r="F969" s="308"/>
      <c r="G969" s="220"/>
      <c r="H969" s="221"/>
    </row>
    <row r="970" spans="1:8" ht="18.75">
      <c r="A970" s="211" t="s">
        <v>297</v>
      </c>
      <c r="B970" s="267"/>
      <c r="C970" s="814"/>
      <c r="D970" s="277" t="s">
        <v>659</v>
      </c>
      <c r="E970" s="819" t="s">
        <v>660</v>
      </c>
      <c r="F970" s="308"/>
      <c r="G970" s="220"/>
      <c r="H970" s="221"/>
    </row>
    <row r="971" spans="1:8" ht="18.75">
      <c r="A971" s="163"/>
      <c r="B971" s="318"/>
      <c r="C971" s="792"/>
      <c r="D971" s="795"/>
      <c r="E971" s="794"/>
      <c r="F971" s="261"/>
      <c r="G971" s="162"/>
      <c r="H971" s="550"/>
    </row>
    <row r="972" spans="1:8" ht="18.75">
      <c r="A972" s="163"/>
      <c r="B972" s="318"/>
      <c r="C972" s="1220"/>
      <c r="D972" s="262"/>
      <c r="E972" s="787"/>
      <c r="F972" s="261"/>
      <c r="G972" s="659"/>
      <c r="H972" s="550"/>
    </row>
    <row r="973" spans="1:8" ht="23.25">
      <c r="A973" s="1191"/>
      <c r="B973" s="1189"/>
      <c r="C973" s="838"/>
      <c r="D973" s="262"/>
      <c r="E973" s="839" t="s">
        <v>34</v>
      </c>
      <c r="F973" s="1166">
        <f>SUM(F948:F972)</f>
        <v>22040000</v>
      </c>
      <c r="G973" s="28"/>
      <c r="H973" s="631">
        <f>SUM(H948:H972)</f>
        <v>1322400</v>
      </c>
    </row>
    <row r="974" spans="1:8" ht="18.75">
      <c r="A974" s="1168"/>
      <c r="B974" s="1168"/>
      <c r="C974" s="1168"/>
      <c r="D974" s="1168"/>
      <c r="E974" s="32"/>
      <c r="F974" s="1168"/>
      <c r="G974" s="32"/>
      <c r="H974" s="32"/>
    </row>
    <row r="975" spans="1:8" ht="18.75">
      <c r="A975" s="1168"/>
      <c r="B975" s="1168"/>
      <c r="C975" s="1168"/>
      <c r="D975" s="1168"/>
      <c r="E975" s="32"/>
      <c r="F975" s="1168"/>
      <c r="G975" s="32"/>
      <c r="H975" s="32"/>
    </row>
    <row r="976" spans="1:8" ht="18.75">
      <c r="A976" s="1168"/>
      <c r="B976" s="1168"/>
      <c r="C976" s="1168"/>
      <c r="D976" s="1168"/>
      <c r="E976" s="32"/>
      <c r="F976" s="1168"/>
      <c r="G976" s="32"/>
      <c r="H976" s="32"/>
    </row>
    <row r="977" spans="1:8" ht="26.25">
      <c r="A977" s="1640" t="s">
        <v>1604</v>
      </c>
      <c r="B977" s="1640"/>
      <c r="C977" s="1641"/>
      <c r="D977" s="1640"/>
      <c r="E977" s="1640"/>
      <c r="F977" s="1640"/>
      <c r="G977" s="1640"/>
      <c r="H977" s="1640"/>
    </row>
    <row r="978" spans="1:8" ht="30.75">
      <c r="A978" s="45" t="s">
        <v>1463</v>
      </c>
      <c r="B978" s="646" t="s">
        <v>1497</v>
      </c>
      <c r="C978" s="132" t="s">
        <v>1465</v>
      </c>
      <c r="D978" s="647" t="s">
        <v>5</v>
      </c>
      <c r="E978" s="47" t="s">
        <v>1466</v>
      </c>
      <c r="F978" s="48" t="s">
        <v>1467</v>
      </c>
      <c r="G978" s="48" t="s">
        <v>7</v>
      </c>
      <c r="H978" s="48" t="s">
        <v>1468</v>
      </c>
    </row>
    <row r="979" spans="1:8" ht="18.75">
      <c r="A979" s="135">
        <v>12440</v>
      </c>
      <c r="B979" s="233">
        <v>0.1</v>
      </c>
      <c r="C979" s="238">
        <v>12</v>
      </c>
      <c r="D979" s="136" t="s">
        <v>600</v>
      </c>
      <c r="E979" s="581"/>
      <c r="F979" s="558">
        <v>800000</v>
      </c>
      <c r="G979" s="138">
        <v>0.02</v>
      </c>
      <c r="H979" s="139">
        <f>F979*G979</f>
        <v>16000</v>
      </c>
    </row>
    <row r="980" spans="1:8" ht="18.75">
      <c r="A980" s="135">
        <v>12442</v>
      </c>
      <c r="B980" s="233">
        <v>0.1</v>
      </c>
      <c r="C980" s="238">
        <v>12</v>
      </c>
      <c r="D980" s="136" t="s">
        <v>604</v>
      </c>
      <c r="E980" s="581"/>
      <c r="F980" s="558">
        <v>1400000</v>
      </c>
      <c r="G980" s="138">
        <v>0.02</v>
      </c>
      <c r="H980" s="139">
        <f t="shared" ref="H980:H983" si="31">F980*G980</f>
        <v>28000</v>
      </c>
    </row>
    <row r="981" spans="1:8" ht="18.75">
      <c r="A981" s="135">
        <v>12493</v>
      </c>
      <c r="B981" s="233">
        <v>0.1</v>
      </c>
      <c r="C981" s="238">
        <v>12</v>
      </c>
      <c r="D981" s="136" t="s">
        <v>1605</v>
      </c>
      <c r="E981" s="581"/>
      <c r="F981" s="143">
        <v>1100000</v>
      </c>
      <c r="G981" s="138">
        <v>0.02</v>
      </c>
      <c r="H981" s="139">
        <f t="shared" si="31"/>
        <v>22000</v>
      </c>
    </row>
    <row r="982" spans="1:8" ht="18.75">
      <c r="A982" s="346">
        <v>12591</v>
      </c>
      <c r="B982" s="233">
        <v>0.08</v>
      </c>
      <c r="C982" s="238">
        <v>12</v>
      </c>
      <c r="D982" s="136" t="s">
        <v>636</v>
      </c>
      <c r="E982" s="581"/>
      <c r="F982" s="143">
        <v>1550000</v>
      </c>
      <c r="G982" s="478">
        <v>0.01</v>
      </c>
      <c r="H982" s="139">
        <f t="shared" si="31"/>
        <v>15500</v>
      </c>
    </row>
    <row r="983" spans="1:8" ht="18.75">
      <c r="A983" s="677">
        <v>12625</v>
      </c>
      <c r="B983" s="233">
        <v>0.1</v>
      </c>
      <c r="C983" s="238">
        <v>12</v>
      </c>
      <c r="D983" s="136" t="s">
        <v>663</v>
      </c>
      <c r="E983" s="581"/>
      <c r="F983" s="143">
        <v>1450000</v>
      </c>
      <c r="G983" s="478">
        <v>0.02</v>
      </c>
      <c r="H983" s="139">
        <f t="shared" si="31"/>
        <v>29000</v>
      </c>
    </row>
    <row r="984" spans="1:8" ht="24">
      <c r="A984" s="211" t="s">
        <v>297</v>
      </c>
      <c r="B984" s="267"/>
      <c r="C984" s="489"/>
      <c r="D984" s="277" t="s">
        <v>1606</v>
      </c>
      <c r="E984" s="826" t="s">
        <v>658</v>
      </c>
      <c r="F984" s="308"/>
      <c r="G984" s="220"/>
      <c r="H984" s="221"/>
    </row>
    <row r="985" spans="1:8" ht="30.75">
      <c r="A985" s="211" t="s">
        <v>297</v>
      </c>
      <c r="B985" s="267"/>
      <c r="C985" s="814"/>
      <c r="D985" s="277" t="s">
        <v>1607</v>
      </c>
      <c r="E985" s="823" t="s">
        <v>624</v>
      </c>
      <c r="F985" s="308"/>
      <c r="G985" s="348"/>
      <c r="H985" s="221"/>
    </row>
    <row r="986" spans="1:8" ht="24">
      <c r="A986" s="211" t="s">
        <v>297</v>
      </c>
      <c r="B986" s="267"/>
      <c r="C986" s="489"/>
      <c r="D986" s="277" t="s">
        <v>1608</v>
      </c>
      <c r="E986" s="832" t="s">
        <v>666</v>
      </c>
      <c r="F986" s="308"/>
      <c r="G986" s="348"/>
      <c r="H986" s="221"/>
    </row>
    <row r="987" spans="1:8" ht="18.75">
      <c r="A987" s="211" t="s">
        <v>297</v>
      </c>
      <c r="B987" s="348"/>
      <c r="C987" s="489"/>
      <c r="D987" s="277" t="s">
        <v>1609</v>
      </c>
      <c r="E987" s="728" t="s">
        <v>1610</v>
      </c>
      <c r="F987" s="308"/>
      <c r="G987" s="348"/>
      <c r="H987" s="221"/>
    </row>
    <row r="988" spans="1:8" ht="18.75">
      <c r="A988" s="163"/>
      <c r="B988" s="659"/>
      <c r="C988" s="1188"/>
      <c r="D988" s="262"/>
      <c r="E988" s="165"/>
      <c r="F988" s="261"/>
      <c r="G988" s="659"/>
      <c r="H988" s="550"/>
    </row>
    <row r="989" spans="1:8" ht="18.75">
      <c r="A989" s="163"/>
      <c r="B989" s="659"/>
      <c r="C989" s="792"/>
      <c r="D989" s="262"/>
      <c r="E989" s="165"/>
      <c r="F989" s="261"/>
      <c r="G989" s="659"/>
      <c r="H989" s="550"/>
    </row>
    <row r="990" spans="1:8" ht="18.75">
      <c r="A990" s="163"/>
      <c r="B990" s="318"/>
      <c r="C990" s="1188"/>
      <c r="D990" s="262"/>
      <c r="E990" s="720"/>
      <c r="F990" s="261"/>
      <c r="G990" s="788"/>
      <c r="H990" s="550"/>
    </row>
    <row r="991" spans="1:8" ht="23.25">
      <c r="A991" s="1189"/>
      <c r="B991" s="1189"/>
      <c r="C991" s="18"/>
      <c r="D991" s="262"/>
      <c r="E991" s="837" t="s">
        <v>80</v>
      </c>
      <c r="F991" s="1169">
        <f>SUM(F979:F983)</f>
        <v>6300000</v>
      </c>
      <c r="G991" s="866"/>
      <c r="H991" s="865">
        <f>SUM(H979:H983)</f>
        <v>110500</v>
      </c>
    </row>
    <row r="992" spans="1:8" ht="26.25">
      <c r="A992" s="1645"/>
      <c r="B992" s="1645"/>
      <c r="C992" s="1645"/>
      <c r="D992" s="1645"/>
      <c r="E992" s="1645"/>
      <c r="F992" s="1645"/>
      <c r="G992" s="1645"/>
      <c r="H992" s="1645"/>
    </row>
    <row r="993" spans="1:8" ht="14.25" customHeight="1">
      <c r="A993" s="797"/>
      <c r="B993" s="797"/>
      <c r="C993" s="797"/>
      <c r="D993" s="797"/>
      <c r="E993" s="797"/>
      <c r="F993" s="797"/>
      <c r="G993" s="797"/>
      <c r="H993" s="797"/>
    </row>
    <row r="994" spans="1:8" ht="26.25">
      <c r="A994" s="1640" t="s">
        <v>1611</v>
      </c>
      <c r="B994" s="1640"/>
      <c r="C994" s="1640"/>
      <c r="D994" s="1640"/>
      <c r="E994" s="1640"/>
      <c r="F994" s="1640"/>
      <c r="G994" s="1640"/>
      <c r="H994" s="1640"/>
    </row>
    <row r="995" spans="1:8" ht="30.75">
      <c r="A995" s="45" t="s">
        <v>1463</v>
      </c>
      <c r="B995" s="646" t="s">
        <v>1497</v>
      </c>
      <c r="C995" s="251" t="s">
        <v>1465</v>
      </c>
      <c r="D995" s="647" t="s">
        <v>5</v>
      </c>
      <c r="E995" s="47" t="s">
        <v>1466</v>
      </c>
      <c r="F995" s="48" t="s">
        <v>1467</v>
      </c>
      <c r="G995" s="48" t="s">
        <v>7</v>
      </c>
      <c r="H995" s="48" t="s">
        <v>1468</v>
      </c>
    </row>
    <row r="996" spans="1:8" ht="18.75">
      <c r="A996" s="135">
        <v>12443</v>
      </c>
      <c r="B996" s="233">
        <v>0.1</v>
      </c>
      <c r="C996" s="238">
        <v>6</v>
      </c>
      <c r="D996" s="259" t="s">
        <v>821</v>
      </c>
      <c r="E996" s="581"/>
      <c r="F996" s="558">
        <v>1000000</v>
      </c>
      <c r="G996" s="138">
        <v>0.02</v>
      </c>
      <c r="H996" s="139">
        <f>F996*G996</f>
        <v>20000</v>
      </c>
    </row>
    <row r="997" spans="1:8" ht="18.75">
      <c r="A997" s="135">
        <v>12453</v>
      </c>
      <c r="B997" s="233">
        <v>0.1</v>
      </c>
      <c r="C997" s="238">
        <v>12</v>
      </c>
      <c r="D997" s="136" t="s">
        <v>1612</v>
      </c>
      <c r="E997" s="581"/>
      <c r="F997" s="558">
        <v>900000</v>
      </c>
      <c r="G997" s="138">
        <v>0.02</v>
      </c>
      <c r="H997" s="139">
        <f t="shared" ref="H997:H1006" si="32">F997*G997</f>
        <v>18000</v>
      </c>
    </row>
    <row r="998" spans="1:8" ht="18.75">
      <c r="A998" s="135">
        <v>12470</v>
      </c>
      <c r="B998" s="233">
        <v>0.1</v>
      </c>
      <c r="C998" s="238">
        <v>12</v>
      </c>
      <c r="D998" s="136" t="s">
        <v>631</v>
      </c>
      <c r="E998" s="581"/>
      <c r="F998" s="558">
        <v>1400000</v>
      </c>
      <c r="G998" s="138">
        <v>0.02</v>
      </c>
      <c r="H998" s="139">
        <f t="shared" si="32"/>
        <v>28000</v>
      </c>
    </row>
    <row r="999" spans="1:8" ht="18.75">
      <c r="A999" s="135">
        <v>12477</v>
      </c>
      <c r="B999" s="233">
        <v>0.1</v>
      </c>
      <c r="C999" s="238">
        <v>12</v>
      </c>
      <c r="D999" s="136" t="s">
        <v>609</v>
      </c>
      <c r="E999" s="581"/>
      <c r="F999" s="143">
        <v>1600000</v>
      </c>
      <c r="G999" s="138">
        <v>0.02</v>
      </c>
      <c r="H999" s="139">
        <f t="shared" si="32"/>
        <v>32000</v>
      </c>
    </row>
    <row r="1000" spans="1:8" ht="18.75">
      <c r="A1000" s="135">
        <v>12507</v>
      </c>
      <c r="B1000" s="233">
        <v>0.1</v>
      </c>
      <c r="C1000" s="891">
        <v>12</v>
      </c>
      <c r="D1000" s="259" t="s">
        <v>1613</v>
      </c>
      <c r="E1000" s="224"/>
      <c r="F1000" s="143">
        <v>1300000</v>
      </c>
      <c r="G1000" s="138">
        <v>0.02</v>
      </c>
      <c r="H1000" s="139">
        <f t="shared" si="32"/>
        <v>26000</v>
      </c>
    </row>
    <row r="1001" spans="1:8" ht="18.75">
      <c r="A1001" s="135">
        <v>12523</v>
      </c>
      <c r="B1001" s="233">
        <v>0.1</v>
      </c>
      <c r="C1001" s="891">
        <v>12</v>
      </c>
      <c r="D1001" s="259" t="s">
        <v>611</v>
      </c>
      <c r="E1001" s="224"/>
      <c r="F1001" s="143">
        <v>850000</v>
      </c>
      <c r="G1001" s="138">
        <v>0.02</v>
      </c>
      <c r="H1001" s="139">
        <f t="shared" si="32"/>
        <v>17000</v>
      </c>
    </row>
    <row r="1002" spans="1:8" ht="18.75">
      <c r="A1002" s="135">
        <v>12537</v>
      </c>
      <c r="B1002" s="233">
        <v>0.1</v>
      </c>
      <c r="C1002" s="891">
        <v>12</v>
      </c>
      <c r="D1002" s="259" t="s">
        <v>670</v>
      </c>
      <c r="E1002" s="224"/>
      <c r="F1002" s="143">
        <v>1500000</v>
      </c>
      <c r="G1002" s="138">
        <v>0.02</v>
      </c>
      <c r="H1002" s="139">
        <f t="shared" si="32"/>
        <v>30000</v>
      </c>
    </row>
    <row r="1003" spans="1:8" ht="18.75">
      <c r="A1003" s="135">
        <v>12564</v>
      </c>
      <c r="B1003" s="233">
        <v>0.1</v>
      </c>
      <c r="C1003" s="891">
        <v>12</v>
      </c>
      <c r="D1003" s="259" t="s">
        <v>1614</v>
      </c>
      <c r="E1003" s="224"/>
      <c r="F1003" s="143">
        <v>1400000</v>
      </c>
      <c r="G1003" s="138">
        <v>0.02</v>
      </c>
      <c r="H1003" s="139">
        <f t="shared" si="32"/>
        <v>28000</v>
      </c>
    </row>
    <row r="1004" spans="1:8" ht="18.75">
      <c r="A1004" s="135">
        <v>12603</v>
      </c>
      <c r="B1004" s="233">
        <v>0.08</v>
      </c>
      <c r="C1004" s="891">
        <v>12</v>
      </c>
      <c r="D1004" s="259" t="s">
        <v>1615</v>
      </c>
      <c r="E1004" s="224"/>
      <c r="F1004" s="143">
        <v>1200000</v>
      </c>
      <c r="G1004" s="138">
        <v>0.01</v>
      </c>
      <c r="H1004" s="139">
        <f t="shared" si="32"/>
        <v>12000</v>
      </c>
    </row>
    <row r="1005" spans="1:8" ht="18.75">
      <c r="A1005" s="135">
        <v>12653</v>
      </c>
      <c r="B1005" s="233">
        <v>0.08</v>
      </c>
      <c r="C1005" s="891">
        <v>12</v>
      </c>
      <c r="D1005" s="259" t="s">
        <v>616</v>
      </c>
      <c r="E1005" s="224"/>
      <c r="F1005" s="143">
        <v>1250000</v>
      </c>
      <c r="G1005" s="138">
        <v>0.01</v>
      </c>
      <c r="H1005" s="139">
        <f t="shared" si="32"/>
        <v>12500</v>
      </c>
    </row>
    <row r="1006" spans="1:8" ht="18.75">
      <c r="A1006" s="135">
        <v>12667</v>
      </c>
      <c r="B1006" s="233">
        <v>0.1</v>
      </c>
      <c r="C1006" s="891">
        <v>12</v>
      </c>
      <c r="D1006" s="259" t="s">
        <v>650</v>
      </c>
      <c r="E1006" s="224"/>
      <c r="F1006" s="143">
        <v>1000000</v>
      </c>
      <c r="G1006" s="138">
        <v>0.02</v>
      </c>
      <c r="H1006" s="139">
        <f t="shared" si="32"/>
        <v>20000</v>
      </c>
    </row>
    <row r="1007" spans="1:8" ht="18.75">
      <c r="A1007" s="211" t="s">
        <v>538</v>
      </c>
      <c r="B1007" s="267"/>
      <c r="C1007" s="814"/>
      <c r="D1007" s="277" t="s">
        <v>1616</v>
      </c>
      <c r="E1007" s="572" t="s">
        <v>538</v>
      </c>
      <c r="F1007" s="308"/>
      <c r="G1007" s="220"/>
      <c r="H1007" s="221"/>
    </row>
    <row r="1008" spans="1:8" ht="18.75">
      <c r="A1008" s="211" t="s">
        <v>638</v>
      </c>
      <c r="B1008" s="267"/>
      <c r="C1008" s="814"/>
      <c r="D1008" s="277" t="s">
        <v>651</v>
      </c>
      <c r="E1008" s="688" t="s">
        <v>652</v>
      </c>
      <c r="F1008" s="308"/>
      <c r="G1008" s="348"/>
      <c r="H1008" s="221"/>
    </row>
    <row r="1009" spans="1:8" ht="18.75">
      <c r="A1009" s="211" t="s">
        <v>297</v>
      </c>
      <c r="B1009" s="267"/>
      <c r="C1009" s="489"/>
      <c r="D1009" s="277" t="s">
        <v>620</v>
      </c>
      <c r="E1009" s="728" t="s">
        <v>621</v>
      </c>
      <c r="F1009" s="308"/>
      <c r="G1009" s="348"/>
      <c r="H1009" s="221"/>
    </row>
    <row r="1010" spans="1:8" ht="18.75">
      <c r="A1010" s="211" t="s">
        <v>297</v>
      </c>
      <c r="B1010" s="348"/>
      <c r="C1010" s="489"/>
      <c r="D1010" s="277" t="s">
        <v>653</v>
      </c>
      <c r="E1010" s="225" t="s">
        <v>654</v>
      </c>
      <c r="F1010" s="308"/>
      <c r="G1010" s="348"/>
      <c r="H1010" s="221"/>
    </row>
    <row r="1011" spans="1:8" ht="18.75">
      <c r="A1011" s="211" t="s">
        <v>297</v>
      </c>
      <c r="B1011" s="348"/>
      <c r="C1011" s="489"/>
      <c r="D1011" s="277" t="s">
        <v>667</v>
      </c>
      <c r="E1011" s="225" t="s">
        <v>1617</v>
      </c>
      <c r="F1011" s="308"/>
      <c r="G1011" s="348"/>
      <c r="H1011" s="221"/>
    </row>
    <row r="1012" spans="1:8" ht="24">
      <c r="A1012" s="362" t="s">
        <v>297</v>
      </c>
      <c r="B1012" s="348"/>
      <c r="C1012" s="814"/>
      <c r="D1012" s="277" t="s">
        <v>617</v>
      </c>
      <c r="E1012" s="829" t="s">
        <v>1618</v>
      </c>
      <c r="F1012" s="308"/>
      <c r="G1012" s="348"/>
      <c r="H1012" s="221"/>
    </row>
    <row r="1013" spans="1:8" ht="18.75">
      <c r="A1013" s="362" t="s">
        <v>146</v>
      </c>
      <c r="B1013" s="348"/>
      <c r="C1013" s="814"/>
      <c r="D1013" s="277" t="s">
        <v>1599</v>
      </c>
      <c r="E1013" s="819" t="s">
        <v>538</v>
      </c>
      <c r="F1013" s="308"/>
      <c r="G1013" s="348"/>
      <c r="H1013" s="221"/>
    </row>
    <row r="1014" spans="1:8" ht="18.75">
      <c r="A1014" s="362" t="s">
        <v>297</v>
      </c>
      <c r="B1014" s="348"/>
      <c r="C1014" s="814"/>
      <c r="D1014" s="757" t="s">
        <v>628</v>
      </c>
      <c r="E1014" s="819" t="s">
        <v>627</v>
      </c>
      <c r="F1014" s="1167"/>
      <c r="G1014" s="348"/>
      <c r="H1014" s="221"/>
    </row>
    <row r="1015" spans="1:8" ht="18.75">
      <c r="A1015" s="211" t="s">
        <v>297</v>
      </c>
      <c r="B1015" s="267"/>
      <c r="C1015" s="814"/>
      <c r="D1015" s="277" t="s">
        <v>1619</v>
      </c>
      <c r="E1015" s="819" t="s">
        <v>627</v>
      </c>
      <c r="F1015" s="308"/>
      <c r="G1015" s="220"/>
      <c r="H1015" s="221"/>
    </row>
    <row r="1016" spans="1:8" ht="20.25">
      <c r="A1016" s="272"/>
      <c r="B1016" s="798"/>
      <c r="C1016" s="841"/>
      <c r="D1016" s="795"/>
      <c r="E1016" s="794"/>
      <c r="F1016" s="261"/>
      <c r="G1016" s="162"/>
      <c r="H1016" s="865">
        <f>SUM(H996:H1006)</f>
        <v>243500</v>
      </c>
    </row>
    <row r="1017" spans="1:8" ht="23.25">
      <c r="A1017" s="163"/>
      <c r="B1017" s="318"/>
      <c r="C1017" s="163"/>
      <c r="D1017" s="262"/>
      <c r="E1017" s="875" t="s">
        <v>80</v>
      </c>
      <c r="F1017" s="1169">
        <f>SUM(F996:F1006)</f>
        <v>13400000</v>
      </c>
      <c r="G1017" s="865"/>
      <c r="H1017" s="874">
        <v>209500</v>
      </c>
    </row>
    <row r="1018" spans="1:8" ht="15.75" customHeight="1">
      <c r="A1018" s="1194"/>
      <c r="B1018" s="1194"/>
      <c r="C1018" s="1651"/>
      <c r="D1018" s="1651"/>
      <c r="E1018" s="1651"/>
      <c r="F1018" s="1651"/>
      <c r="G1018" s="1651"/>
      <c r="H1018" s="1651"/>
    </row>
    <row r="1019" spans="1:8" ht="18.75">
      <c r="A1019" s="1168"/>
      <c r="B1019" s="1168"/>
      <c r="C1019" s="1652"/>
      <c r="D1019" s="1652"/>
      <c r="E1019" s="1652"/>
      <c r="F1019" s="1652"/>
      <c r="G1019" s="1652"/>
      <c r="H1019" s="1652"/>
    </row>
    <row r="1020" spans="1:8" ht="18.75">
      <c r="A1020" s="1195"/>
      <c r="B1020" s="1195"/>
      <c r="C1020" s="1653"/>
      <c r="D1020" s="1653"/>
      <c r="E1020" s="1653"/>
      <c r="F1020" s="1653"/>
      <c r="G1020" s="1653"/>
      <c r="H1020" s="1653"/>
    </row>
    <row r="1021" spans="1:8" ht="26.25">
      <c r="A1021" s="1640" t="s">
        <v>1620</v>
      </c>
      <c r="B1021" s="1640"/>
      <c r="C1021" s="1641"/>
      <c r="D1021" s="1640"/>
      <c r="E1021" s="1640"/>
      <c r="F1021" s="1640"/>
      <c r="G1021" s="1640"/>
      <c r="H1021" s="1640"/>
    </row>
    <row r="1022" spans="1:8" ht="30.75">
      <c r="A1022" s="45" t="s">
        <v>1463</v>
      </c>
      <c r="B1022" s="646" t="s">
        <v>1497</v>
      </c>
      <c r="C1022" s="132" t="s">
        <v>1465</v>
      </c>
      <c r="D1022" s="647" t="s">
        <v>5</v>
      </c>
      <c r="E1022" s="47" t="s">
        <v>1466</v>
      </c>
      <c r="F1022" s="48" t="s">
        <v>1467</v>
      </c>
      <c r="G1022" s="48" t="s">
        <v>7</v>
      </c>
      <c r="H1022" s="48" t="s">
        <v>1468</v>
      </c>
    </row>
    <row r="1023" spans="1:8" ht="18.75">
      <c r="A1023" s="135">
        <v>12441</v>
      </c>
      <c r="B1023" s="233">
        <v>0.1</v>
      </c>
      <c r="C1023" s="677">
        <v>12</v>
      </c>
      <c r="D1023" s="136" t="s">
        <v>1594</v>
      </c>
      <c r="E1023" s="754"/>
      <c r="F1023" s="558">
        <v>1400000</v>
      </c>
      <c r="G1023" s="138">
        <v>0.02</v>
      </c>
      <c r="H1023" s="139">
        <f>F1023*G1023</f>
        <v>28000</v>
      </c>
    </row>
    <row r="1024" spans="1:8" ht="18.75">
      <c r="A1024" s="241">
        <v>12448</v>
      </c>
      <c r="B1024" s="817">
        <v>0.1</v>
      </c>
      <c r="C1024" s="1180">
        <v>12</v>
      </c>
      <c r="D1024" s="242" t="s">
        <v>601</v>
      </c>
      <c r="E1024" s="581"/>
      <c r="F1024" s="558">
        <v>1400000</v>
      </c>
      <c r="G1024" s="138">
        <v>0.02</v>
      </c>
      <c r="H1024" s="139">
        <f t="shared" ref="H1024:H1057" si="33">F1024*G1024</f>
        <v>28000</v>
      </c>
    </row>
    <row r="1025" spans="1:8" ht="18.75">
      <c r="A1025" s="135">
        <v>12463</v>
      </c>
      <c r="B1025" s="817">
        <v>0.1</v>
      </c>
      <c r="C1025" s="1180">
        <v>12</v>
      </c>
      <c r="D1025" s="242" t="s">
        <v>1595</v>
      </c>
      <c r="E1025" s="581"/>
      <c r="F1025" s="558">
        <v>900000</v>
      </c>
      <c r="G1025" s="138">
        <v>0.02</v>
      </c>
      <c r="H1025" s="139">
        <f t="shared" si="33"/>
        <v>18000</v>
      </c>
    </row>
    <row r="1026" spans="1:8" ht="18.75">
      <c r="A1026" s="135">
        <v>12466</v>
      </c>
      <c r="B1026" s="233">
        <v>0.1</v>
      </c>
      <c r="C1026" s="1215">
        <v>12</v>
      </c>
      <c r="D1026" s="242" t="s">
        <v>630</v>
      </c>
      <c r="E1026" s="581"/>
      <c r="F1026" s="143">
        <v>1400000</v>
      </c>
      <c r="G1026" s="138">
        <v>0.02</v>
      </c>
      <c r="H1026" s="139">
        <f t="shared" si="33"/>
        <v>28000</v>
      </c>
    </row>
    <row r="1027" spans="1:8" ht="18.75">
      <c r="A1027" s="677">
        <v>12499</v>
      </c>
      <c r="B1027" s="233">
        <v>0.1</v>
      </c>
      <c r="C1027" s="1215">
        <v>12</v>
      </c>
      <c r="D1027" s="259" t="s">
        <v>1596</v>
      </c>
      <c r="E1027" s="581"/>
      <c r="F1027" s="143">
        <v>1000000</v>
      </c>
      <c r="G1027" s="138">
        <v>0.02</v>
      </c>
      <c r="H1027" s="139">
        <f t="shared" si="33"/>
        <v>20000</v>
      </c>
    </row>
    <row r="1028" spans="1:8" ht="18.75">
      <c r="A1028" s="1193">
        <v>12500</v>
      </c>
      <c r="B1028" s="233">
        <v>0.1</v>
      </c>
      <c r="C1028" s="1215">
        <v>12</v>
      </c>
      <c r="D1028" s="259" t="s">
        <v>643</v>
      </c>
      <c r="E1028" s="581"/>
      <c r="F1028" s="143">
        <v>700000</v>
      </c>
      <c r="G1028" s="138">
        <v>0.02</v>
      </c>
      <c r="H1028" s="139">
        <f t="shared" si="33"/>
        <v>14000</v>
      </c>
    </row>
    <row r="1029" spans="1:8" ht="18.75">
      <c r="A1029" s="1193">
        <v>12522</v>
      </c>
      <c r="B1029" s="233">
        <v>0.1</v>
      </c>
      <c r="C1029" s="1215">
        <v>12</v>
      </c>
      <c r="D1029" s="136" t="s">
        <v>644</v>
      </c>
      <c r="E1029" s="224"/>
      <c r="F1029" s="143">
        <v>1300000</v>
      </c>
      <c r="G1029" s="138">
        <v>0.02</v>
      </c>
      <c r="H1029" s="139">
        <f t="shared" si="33"/>
        <v>26000</v>
      </c>
    </row>
    <row r="1030" spans="1:8" ht="18.75">
      <c r="A1030" s="135">
        <v>12528</v>
      </c>
      <c r="B1030" s="233">
        <v>0.1</v>
      </c>
      <c r="C1030" s="1222">
        <v>12</v>
      </c>
      <c r="D1030" s="136" t="s">
        <v>1597</v>
      </c>
      <c r="E1030" s="224"/>
      <c r="F1030" s="143">
        <v>1300000</v>
      </c>
      <c r="G1030" s="138">
        <v>0.02</v>
      </c>
      <c r="H1030" s="139">
        <f t="shared" si="33"/>
        <v>26000</v>
      </c>
    </row>
    <row r="1031" spans="1:8" ht="18.75">
      <c r="A1031" s="135">
        <v>12531</v>
      </c>
      <c r="B1031" s="233">
        <v>0.1</v>
      </c>
      <c r="C1031" s="1222">
        <v>12</v>
      </c>
      <c r="D1031" s="136" t="s">
        <v>1598</v>
      </c>
      <c r="E1031" s="224"/>
      <c r="F1031" s="143">
        <v>1350000</v>
      </c>
      <c r="G1031" s="138">
        <v>0.02</v>
      </c>
      <c r="H1031" s="139">
        <f t="shared" si="33"/>
        <v>27000</v>
      </c>
    </row>
    <row r="1032" spans="1:8" ht="18.75">
      <c r="A1032" s="346">
        <v>12535</v>
      </c>
      <c r="B1032" s="233">
        <v>0.1</v>
      </c>
      <c r="C1032" s="238">
        <v>12</v>
      </c>
      <c r="D1032" s="259" t="s">
        <v>633</v>
      </c>
      <c r="E1032" s="224"/>
      <c r="F1032" s="143">
        <v>1250000</v>
      </c>
      <c r="G1032" s="138">
        <v>0.02</v>
      </c>
      <c r="H1032" s="139">
        <f t="shared" si="33"/>
        <v>25000</v>
      </c>
    </row>
    <row r="1033" spans="1:8" ht="18.75">
      <c r="A1033" s="346">
        <v>12551</v>
      </c>
      <c r="B1033" s="233">
        <v>0.1</v>
      </c>
      <c r="C1033" s="238">
        <v>12</v>
      </c>
      <c r="D1033" s="259" t="s">
        <v>634</v>
      </c>
      <c r="E1033" s="224"/>
      <c r="F1033" s="143">
        <v>800000</v>
      </c>
      <c r="G1033" s="138">
        <v>0.02</v>
      </c>
      <c r="H1033" s="139">
        <f t="shared" si="33"/>
        <v>16000</v>
      </c>
    </row>
    <row r="1034" spans="1:8" ht="18.75">
      <c r="A1034" s="135">
        <v>12554</v>
      </c>
      <c r="B1034" s="478">
        <v>0.1</v>
      </c>
      <c r="C1034" s="677">
        <v>12</v>
      </c>
      <c r="D1034" s="136" t="s">
        <v>647</v>
      </c>
      <c r="E1034" s="137"/>
      <c r="F1034" s="143">
        <v>1350000</v>
      </c>
      <c r="G1034" s="138">
        <v>0.02</v>
      </c>
      <c r="H1034" s="139">
        <f t="shared" si="33"/>
        <v>27000</v>
      </c>
    </row>
    <row r="1035" spans="1:8" ht="18.75">
      <c r="A1035" s="346">
        <v>12550</v>
      </c>
      <c r="B1035" s="478">
        <v>0.1</v>
      </c>
      <c r="C1035" s="238">
        <v>12</v>
      </c>
      <c r="D1035" s="259" t="s">
        <v>603</v>
      </c>
      <c r="E1035" s="243"/>
      <c r="F1035" s="143">
        <v>1400000</v>
      </c>
      <c r="G1035" s="138">
        <v>0.02</v>
      </c>
      <c r="H1035" s="139">
        <f t="shared" si="33"/>
        <v>28000</v>
      </c>
    </row>
    <row r="1036" spans="1:8" ht="18.75">
      <c r="A1036" s="135">
        <v>12563</v>
      </c>
      <c r="B1036" s="478">
        <v>0.1</v>
      </c>
      <c r="C1036" s="238">
        <v>12</v>
      </c>
      <c r="D1036" s="259" t="s">
        <v>1621</v>
      </c>
      <c r="E1036" s="243"/>
      <c r="F1036" s="143">
        <v>1550000</v>
      </c>
      <c r="G1036" s="138">
        <v>0.02</v>
      </c>
      <c r="H1036" s="139">
        <f t="shared" si="33"/>
        <v>31000</v>
      </c>
    </row>
    <row r="1037" spans="1:8" ht="18.75">
      <c r="A1037" s="346">
        <v>12596</v>
      </c>
      <c r="B1037" s="478">
        <v>0.1</v>
      </c>
      <c r="C1037" s="238">
        <v>12</v>
      </c>
      <c r="D1037" s="259" t="s">
        <v>635</v>
      </c>
      <c r="E1037" s="243"/>
      <c r="F1037" s="143">
        <v>1400000</v>
      </c>
      <c r="G1037" s="138">
        <v>0.02</v>
      </c>
      <c r="H1037" s="139">
        <f t="shared" si="33"/>
        <v>28000</v>
      </c>
    </row>
    <row r="1038" spans="1:8" ht="18.75">
      <c r="A1038" s="135">
        <v>12612</v>
      </c>
      <c r="B1038" s="478">
        <v>0.1</v>
      </c>
      <c r="C1038" s="238">
        <v>12</v>
      </c>
      <c r="D1038" s="259" t="s">
        <v>648</v>
      </c>
      <c r="E1038" s="243"/>
      <c r="F1038" s="143">
        <v>870000</v>
      </c>
      <c r="G1038" s="138">
        <v>0.02</v>
      </c>
      <c r="H1038" s="139">
        <f t="shared" si="33"/>
        <v>17400</v>
      </c>
    </row>
    <row r="1039" spans="1:8" ht="18.75">
      <c r="A1039" s="135">
        <v>12440</v>
      </c>
      <c r="B1039" s="233">
        <v>0.1</v>
      </c>
      <c r="C1039" s="238">
        <v>12</v>
      </c>
      <c r="D1039" s="136" t="s">
        <v>600</v>
      </c>
      <c r="E1039" s="581"/>
      <c r="F1039" s="558">
        <v>800000</v>
      </c>
      <c r="G1039" s="138">
        <v>0.02</v>
      </c>
      <c r="H1039" s="139">
        <f t="shared" si="33"/>
        <v>16000</v>
      </c>
    </row>
    <row r="1040" spans="1:8" ht="18.75">
      <c r="A1040" s="135">
        <v>12442</v>
      </c>
      <c r="B1040" s="233">
        <v>0.1</v>
      </c>
      <c r="C1040" s="238">
        <v>12</v>
      </c>
      <c r="D1040" s="136" t="s">
        <v>604</v>
      </c>
      <c r="E1040" s="581"/>
      <c r="F1040" s="558">
        <v>1400000</v>
      </c>
      <c r="G1040" s="138">
        <v>0.02</v>
      </c>
      <c r="H1040" s="139">
        <f t="shared" si="33"/>
        <v>28000</v>
      </c>
    </row>
    <row r="1041" spans="1:8" ht="18.75">
      <c r="A1041" s="135">
        <v>12493</v>
      </c>
      <c r="B1041" s="233">
        <v>0.1</v>
      </c>
      <c r="C1041" s="238">
        <v>12</v>
      </c>
      <c r="D1041" s="136" t="s">
        <v>1605</v>
      </c>
      <c r="E1041" s="581"/>
      <c r="F1041" s="143">
        <v>1100000</v>
      </c>
      <c r="G1041" s="138">
        <v>0.02</v>
      </c>
      <c r="H1041" s="139">
        <f t="shared" si="33"/>
        <v>22000</v>
      </c>
    </row>
    <row r="1042" spans="1:8" ht="18.75">
      <c r="A1042" s="346">
        <v>12591</v>
      </c>
      <c r="B1042" s="233">
        <v>0.08</v>
      </c>
      <c r="C1042" s="238">
        <v>12</v>
      </c>
      <c r="D1042" s="136" t="s">
        <v>636</v>
      </c>
      <c r="E1042" s="581"/>
      <c r="F1042" s="143">
        <v>1550000</v>
      </c>
      <c r="G1042" s="138">
        <v>0.01</v>
      </c>
      <c r="H1042" s="139">
        <f t="shared" si="33"/>
        <v>15500</v>
      </c>
    </row>
    <row r="1043" spans="1:8" ht="18.75">
      <c r="A1043" s="677">
        <v>12625</v>
      </c>
      <c r="B1043" s="233">
        <v>0.1</v>
      </c>
      <c r="C1043" s="238">
        <v>12</v>
      </c>
      <c r="D1043" s="136" t="s">
        <v>663</v>
      </c>
      <c r="E1043" s="581"/>
      <c r="F1043" s="143">
        <v>1450000</v>
      </c>
      <c r="G1043" s="138">
        <v>0.02</v>
      </c>
      <c r="H1043" s="139">
        <f t="shared" si="33"/>
        <v>29000</v>
      </c>
    </row>
    <row r="1044" spans="1:8" ht="18.75">
      <c r="A1044" s="135">
        <v>12443</v>
      </c>
      <c r="B1044" s="233">
        <v>0.1</v>
      </c>
      <c r="C1044" s="238">
        <v>6</v>
      </c>
      <c r="D1044" s="259" t="s">
        <v>821</v>
      </c>
      <c r="E1044" s="581"/>
      <c r="F1044" s="558">
        <v>1000000</v>
      </c>
      <c r="G1044" s="138">
        <v>0.02</v>
      </c>
      <c r="H1044" s="139">
        <f t="shared" si="33"/>
        <v>20000</v>
      </c>
    </row>
    <row r="1045" spans="1:8" ht="18.75">
      <c r="A1045" s="135">
        <v>12453</v>
      </c>
      <c r="B1045" s="233">
        <v>0.1</v>
      </c>
      <c r="C1045" s="238">
        <v>12</v>
      </c>
      <c r="D1045" s="136" t="s">
        <v>1612</v>
      </c>
      <c r="E1045" s="581"/>
      <c r="F1045" s="558">
        <v>900000</v>
      </c>
      <c r="G1045" s="138">
        <v>0.02</v>
      </c>
      <c r="H1045" s="139">
        <f t="shared" si="33"/>
        <v>18000</v>
      </c>
    </row>
    <row r="1046" spans="1:8" ht="18.75">
      <c r="A1046" s="135">
        <v>12470</v>
      </c>
      <c r="B1046" s="233">
        <v>0.1</v>
      </c>
      <c r="C1046" s="238">
        <v>12</v>
      </c>
      <c r="D1046" s="136" t="s">
        <v>631</v>
      </c>
      <c r="E1046" s="581"/>
      <c r="F1046" s="558">
        <v>1400000</v>
      </c>
      <c r="G1046" s="138">
        <v>0.02</v>
      </c>
      <c r="H1046" s="139">
        <f t="shared" si="33"/>
        <v>28000</v>
      </c>
    </row>
    <row r="1047" spans="1:8" ht="18.75">
      <c r="A1047" s="135">
        <v>12477</v>
      </c>
      <c r="B1047" s="233">
        <v>0.1</v>
      </c>
      <c r="C1047" s="238">
        <v>12</v>
      </c>
      <c r="D1047" s="136" t="s">
        <v>609</v>
      </c>
      <c r="E1047" s="581"/>
      <c r="F1047" s="143">
        <v>1600000</v>
      </c>
      <c r="G1047" s="138">
        <v>0.02</v>
      </c>
      <c r="H1047" s="139">
        <f t="shared" si="33"/>
        <v>32000</v>
      </c>
    </row>
    <row r="1048" spans="1:8" ht="18.75">
      <c r="A1048" s="135">
        <v>12507</v>
      </c>
      <c r="B1048" s="233">
        <v>0.1</v>
      </c>
      <c r="C1048" s="891">
        <v>12</v>
      </c>
      <c r="D1048" s="259" t="s">
        <v>1613</v>
      </c>
      <c r="E1048" s="224"/>
      <c r="F1048" s="143">
        <v>1300000</v>
      </c>
      <c r="G1048" s="138">
        <v>0.02</v>
      </c>
      <c r="H1048" s="139">
        <f t="shared" si="33"/>
        <v>26000</v>
      </c>
    </row>
    <row r="1049" spans="1:8" ht="18.75">
      <c r="A1049" s="135">
        <v>12523</v>
      </c>
      <c r="B1049" s="233">
        <v>0.1</v>
      </c>
      <c r="C1049" s="891">
        <v>12</v>
      </c>
      <c r="D1049" s="259" t="s">
        <v>611</v>
      </c>
      <c r="E1049" s="224"/>
      <c r="F1049" s="143">
        <v>850000</v>
      </c>
      <c r="G1049" s="138">
        <v>0.02</v>
      </c>
      <c r="H1049" s="139">
        <f t="shared" si="33"/>
        <v>17000</v>
      </c>
    </row>
    <row r="1050" spans="1:8" ht="18.75">
      <c r="A1050" s="135">
        <v>12537</v>
      </c>
      <c r="B1050" s="233">
        <v>0.1</v>
      </c>
      <c r="C1050" s="891">
        <v>12</v>
      </c>
      <c r="D1050" s="259" t="s">
        <v>670</v>
      </c>
      <c r="E1050" s="224"/>
      <c r="F1050" s="143">
        <v>1500000</v>
      </c>
      <c r="G1050" s="138">
        <v>0.02</v>
      </c>
      <c r="H1050" s="139">
        <f t="shared" si="33"/>
        <v>30000</v>
      </c>
    </row>
    <row r="1051" spans="1:8" ht="18.75">
      <c r="A1051" s="135">
        <v>12564</v>
      </c>
      <c r="B1051" s="233">
        <v>0.1</v>
      </c>
      <c r="C1051" s="891">
        <v>12</v>
      </c>
      <c r="D1051" s="259" t="s">
        <v>1614</v>
      </c>
      <c r="E1051" s="224"/>
      <c r="F1051" s="143">
        <v>1400000</v>
      </c>
      <c r="G1051" s="138">
        <v>0.02</v>
      </c>
      <c r="H1051" s="139">
        <f t="shared" si="33"/>
        <v>28000</v>
      </c>
    </row>
    <row r="1052" spans="1:8" ht="18.75">
      <c r="A1052" s="135">
        <v>12603</v>
      </c>
      <c r="B1052" s="233">
        <v>0.08</v>
      </c>
      <c r="C1052" s="891">
        <v>12</v>
      </c>
      <c r="D1052" s="259" t="s">
        <v>1615</v>
      </c>
      <c r="E1052" s="224"/>
      <c r="F1052" s="143">
        <v>1200000</v>
      </c>
      <c r="G1052" s="138">
        <v>0.01</v>
      </c>
      <c r="H1052" s="139">
        <f t="shared" si="33"/>
        <v>12000</v>
      </c>
    </row>
    <row r="1053" spans="1:8" ht="18.75">
      <c r="A1053" s="135">
        <v>12658</v>
      </c>
      <c r="B1053" s="478">
        <v>0.1</v>
      </c>
      <c r="C1053" s="238">
        <v>12</v>
      </c>
      <c r="D1053" s="259" t="s">
        <v>1601</v>
      </c>
      <c r="E1053" s="767"/>
      <c r="F1053" s="678">
        <v>700000</v>
      </c>
      <c r="G1053" s="138">
        <v>0.02</v>
      </c>
      <c r="H1053" s="139">
        <f t="shared" si="33"/>
        <v>14000</v>
      </c>
    </row>
    <row r="1054" spans="1:8" ht="18.75">
      <c r="A1054" s="135">
        <v>12653</v>
      </c>
      <c r="B1054" s="233">
        <v>0.08</v>
      </c>
      <c r="C1054" s="891">
        <v>12</v>
      </c>
      <c r="D1054" s="259" t="s">
        <v>616</v>
      </c>
      <c r="E1054" s="767"/>
      <c r="F1054" s="678">
        <v>1250000</v>
      </c>
      <c r="G1054" s="138">
        <v>0.02</v>
      </c>
      <c r="H1054" s="139">
        <f t="shared" si="33"/>
        <v>25000</v>
      </c>
    </row>
    <row r="1055" spans="1:8" ht="18.75">
      <c r="A1055" s="135">
        <v>12647</v>
      </c>
      <c r="B1055" s="233">
        <v>0.1</v>
      </c>
      <c r="C1055" s="891">
        <v>12</v>
      </c>
      <c r="D1055" s="259" t="s">
        <v>649</v>
      </c>
      <c r="E1055" s="767"/>
      <c r="F1055" s="678">
        <v>1100000</v>
      </c>
      <c r="G1055" s="138">
        <v>0.02</v>
      </c>
      <c r="H1055" s="139">
        <f t="shared" si="33"/>
        <v>22000</v>
      </c>
    </row>
    <row r="1056" spans="1:8" ht="18.75">
      <c r="A1056" s="135">
        <v>12675</v>
      </c>
      <c r="B1056" s="478">
        <v>0.1</v>
      </c>
      <c r="C1056" s="238">
        <v>12</v>
      </c>
      <c r="D1056" s="259" t="s">
        <v>632</v>
      </c>
      <c r="E1056" s="243"/>
      <c r="F1056" s="143">
        <v>870000</v>
      </c>
      <c r="G1056" s="138">
        <v>0.02</v>
      </c>
      <c r="H1056" s="139">
        <f t="shared" si="33"/>
        <v>17400</v>
      </c>
    </row>
    <row r="1057" spans="1:9" ht="18.75">
      <c r="A1057" s="135">
        <v>12667</v>
      </c>
      <c r="B1057" s="233">
        <v>0.1</v>
      </c>
      <c r="C1057" s="891">
        <v>12</v>
      </c>
      <c r="D1057" s="259" t="s">
        <v>650</v>
      </c>
      <c r="E1057" s="224"/>
      <c r="F1057" s="143">
        <v>1000000</v>
      </c>
      <c r="G1057" s="138">
        <v>0.02</v>
      </c>
      <c r="H1057" s="139">
        <f t="shared" si="33"/>
        <v>20000</v>
      </c>
    </row>
    <row r="1058" spans="1:9" ht="21">
      <c r="A1058" s="163"/>
      <c r="B1058" s="1214"/>
      <c r="C1058" s="1188"/>
      <c r="D1058" s="262"/>
      <c r="E1058" s="840" t="s">
        <v>80</v>
      </c>
      <c r="F1058" s="867">
        <f>SUM(F1023:F1057)</f>
        <v>41740000</v>
      </c>
      <c r="G1058" s="868"/>
      <c r="H1058" s="869">
        <f>SUM(H1023:H1057)</f>
        <v>807300</v>
      </c>
    </row>
    <row r="1059" spans="1:9" ht="19.5">
      <c r="H1059" s="876">
        <v>781800</v>
      </c>
    </row>
    <row r="1061" spans="1:9" ht="18.75"/>
    <row r="1062" spans="1:9" ht="26.25">
      <c r="A1062" s="1643" t="s">
        <v>1622</v>
      </c>
      <c r="B1062" s="1643"/>
      <c r="C1062" s="1643"/>
      <c r="D1062" s="1643"/>
      <c r="E1062" s="1643"/>
      <c r="F1062" s="1643"/>
      <c r="G1062" s="1643"/>
      <c r="H1062" s="1644"/>
      <c r="I1062" s="1172"/>
    </row>
    <row r="1063" spans="1:9" ht="18.75">
      <c r="I1063" s="1172"/>
    </row>
    <row r="1064" spans="1:9" ht="26.25">
      <c r="A1064" s="1641" t="s">
        <v>1623</v>
      </c>
      <c r="B1064" s="1641"/>
      <c r="C1064" s="1641"/>
      <c r="D1064" s="1641"/>
      <c r="E1064" s="1641"/>
      <c r="F1064" s="1640"/>
      <c r="G1064" s="1640"/>
      <c r="H1064" s="1642"/>
      <c r="I1064" s="1172"/>
    </row>
    <row r="1065" spans="1:9" ht="30.75">
      <c r="A1065" s="87" t="s">
        <v>1463</v>
      </c>
      <c r="B1065" s="132" t="s">
        <v>1497</v>
      </c>
      <c r="C1065" s="132" t="s">
        <v>1465</v>
      </c>
      <c r="D1065" s="880" t="s">
        <v>5</v>
      </c>
      <c r="E1065" s="879" t="s">
        <v>1466</v>
      </c>
      <c r="F1065" s="881" t="s">
        <v>1467</v>
      </c>
      <c r="G1065" s="48" t="s">
        <v>7</v>
      </c>
      <c r="H1065" s="62" t="s">
        <v>1468</v>
      </c>
      <c r="I1065" s="1173" t="s">
        <v>1624</v>
      </c>
    </row>
    <row r="1066" spans="1:9" ht="18.75">
      <c r="A1066" s="135">
        <v>12699</v>
      </c>
      <c r="B1066" s="478">
        <v>0.1</v>
      </c>
      <c r="C1066" s="238">
        <v>12</v>
      </c>
      <c r="D1066" s="1226" t="s">
        <v>672</v>
      </c>
      <c r="E1066" s="137"/>
      <c r="F1066" s="558">
        <v>1500000</v>
      </c>
      <c r="G1066" s="478">
        <v>0.02</v>
      </c>
      <c r="H1066" s="882">
        <f>F1066*G1066</f>
        <v>30000</v>
      </c>
      <c r="I1066" s="1172" t="s">
        <v>1625</v>
      </c>
    </row>
    <row r="1067" spans="1:9" ht="18.75">
      <c r="A1067" s="135">
        <v>12736</v>
      </c>
      <c r="B1067" s="478">
        <v>0.1</v>
      </c>
      <c r="C1067" s="238">
        <v>12</v>
      </c>
      <c r="D1067" s="259" t="s">
        <v>712</v>
      </c>
      <c r="E1067" s="243"/>
      <c r="F1067" s="143">
        <v>1250000</v>
      </c>
      <c r="G1067" s="478">
        <v>0.02</v>
      </c>
      <c r="H1067" s="882">
        <f t="shared" ref="H1067:H1073" si="34">F1067*G1067</f>
        <v>25000</v>
      </c>
      <c r="I1067" s="1172" t="s">
        <v>1625</v>
      </c>
    </row>
    <row r="1068" spans="1:9" ht="18.75">
      <c r="A1068" s="135">
        <v>12751</v>
      </c>
      <c r="B1068" s="478">
        <v>0.1</v>
      </c>
      <c r="C1068" s="238">
        <v>12</v>
      </c>
      <c r="D1068" s="259" t="s">
        <v>1626</v>
      </c>
      <c r="E1068" s="243"/>
      <c r="F1068" s="143">
        <v>1400000</v>
      </c>
      <c r="G1068" s="478">
        <v>0.02</v>
      </c>
      <c r="H1068" s="882">
        <f t="shared" si="34"/>
        <v>28000</v>
      </c>
      <c r="I1068" s="1172" t="s">
        <v>1625</v>
      </c>
    </row>
    <row r="1069" spans="1:9" ht="18.75">
      <c r="A1069" s="135">
        <v>12780</v>
      </c>
      <c r="B1069" s="478">
        <v>0.1</v>
      </c>
      <c r="C1069" s="238">
        <v>12</v>
      </c>
      <c r="D1069" s="259" t="s">
        <v>713</v>
      </c>
      <c r="E1069" s="243"/>
      <c r="F1069" s="143">
        <v>1400000</v>
      </c>
      <c r="G1069" s="478">
        <v>0.02</v>
      </c>
      <c r="H1069" s="882">
        <f t="shared" si="34"/>
        <v>28000</v>
      </c>
      <c r="I1069" s="1172" t="s">
        <v>1625</v>
      </c>
    </row>
    <row r="1070" spans="1:9" ht="18.75">
      <c r="A1070" s="135">
        <v>12774</v>
      </c>
      <c r="B1070" s="478">
        <v>0.1</v>
      </c>
      <c r="C1070" s="238">
        <v>12</v>
      </c>
      <c r="D1070" s="259" t="s">
        <v>678</v>
      </c>
      <c r="E1070" s="243"/>
      <c r="F1070" s="143">
        <v>1400000</v>
      </c>
      <c r="G1070" s="478">
        <v>0.02</v>
      </c>
      <c r="H1070" s="882">
        <f t="shared" si="34"/>
        <v>28000</v>
      </c>
      <c r="I1070" s="1172" t="s">
        <v>1625</v>
      </c>
    </row>
    <row r="1071" spans="1:9" ht="18.75">
      <c r="A1071" s="135">
        <v>12801</v>
      </c>
      <c r="B1071" s="478">
        <v>0.1</v>
      </c>
      <c r="C1071" s="238">
        <v>12</v>
      </c>
      <c r="D1071" s="1234" t="s">
        <v>699</v>
      </c>
      <c r="E1071" s="243"/>
      <c r="F1071" s="143">
        <v>1380000</v>
      </c>
      <c r="G1071" s="478">
        <v>0.02</v>
      </c>
      <c r="H1071" s="882">
        <f t="shared" si="34"/>
        <v>27600</v>
      </c>
      <c r="I1071" s="1172" t="s">
        <v>1625</v>
      </c>
    </row>
    <row r="1072" spans="1:9" ht="18.75">
      <c r="A1072" s="135">
        <v>12815</v>
      </c>
      <c r="B1072" s="478">
        <v>0.09</v>
      </c>
      <c r="C1072" s="770">
        <v>12</v>
      </c>
      <c r="D1072" s="259" t="s">
        <v>700</v>
      </c>
      <c r="E1072" s="888"/>
      <c r="F1072" s="143">
        <v>1300000</v>
      </c>
      <c r="G1072" s="478">
        <v>0.01</v>
      </c>
      <c r="H1072" s="882">
        <f t="shared" si="34"/>
        <v>13000</v>
      </c>
      <c r="I1072" s="1172" t="s">
        <v>1625</v>
      </c>
    </row>
    <row r="1073" spans="1:9" ht="18.75">
      <c r="A1073" s="135">
        <v>12864</v>
      </c>
      <c r="B1073" s="478">
        <v>0.1</v>
      </c>
      <c r="C1073" s="770">
        <v>12</v>
      </c>
      <c r="D1073" s="242" t="s">
        <v>702</v>
      </c>
      <c r="E1073" s="888"/>
      <c r="F1073" s="143">
        <v>1350000</v>
      </c>
      <c r="G1073" s="478">
        <v>0.02</v>
      </c>
      <c r="H1073" s="882">
        <f t="shared" si="34"/>
        <v>27000</v>
      </c>
      <c r="I1073" s="1172" t="s">
        <v>1625</v>
      </c>
    </row>
    <row r="1074" spans="1:9" ht="18.75">
      <c r="A1074" s="1196" t="s">
        <v>538</v>
      </c>
      <c r="B1074" s="267"/>
      <c r="C1074" s="1219"/>
      <c r="D1074" s="226" t="s">
        <v>711</v>
      </c>
      <c r="E1074" s="572" t="s">
        <v>538</v>
      </c>
      <c r="F1074" s="308"/>
      <c r="G1074" s="220"/>
      <c r="H1074" s="883"/>
      <c r="I1074" s="1172"/>
    </row>
    <row r="1075" spans="1:9" ht="18.75">
      <c r="A1075" s="211" t="s">
        <v>297</v>
      </c>
      <c r="B1075" s="267"/>
      <c r="C1075" s="1223"/>
      <c r="D1075" s="887" t="s">
        <v>703</v>
      </c>
      <c r="E1075" s="529" t="s">
        <v>704</v>
      </c>
      <c r="F1075" s="308"/>
      <c r="G1075" s="220"/>
      <c r="H1075" s="883"/>
      <c r="I1075" s="1172"/>
    </row>
    <row r="1076" spans="1:9" ht="18.75">
      <c r="A1076" s="163"/>
      <c r="B1076" s="318"/>
      <c r="C1076" s="1224"/>
      <c r="D1076" s="262"/>
      <c r="E1076" s="586"/>
      <c r="F1076" s="261"/>
      <c r="G1076" s="162"/>
      <c r="H1076" s="884"/>
      <c r="I1076" s="1172"/>
    </row>
    <row r="1077" spans="1:9" ht="20.25">
      <c r="A1077" s="585"/>
      <c r="B1077" s="318"/>
      <c r="C1077" s="792"/>
      <c r="D1077" s="266"/>
      <c r="E1077" s="586" t="s">
        <v>80</v>
      </c>
      <c r="F1077" s="867">
        <f>SUM(F1066:F1076)</f>
        <v>10980000</v>
      </c>
      <c r="G1077" s="908"/>
      <c r="H1077" s="911">
        <f>SUM(H1066:H1076)</f>
        <v>206600</v>
      </c>
      <c r="I1077" s="1172"/>
    </row>
    <row r="1078" spans="1:9">
      <c r="A1078" s="1168"/>
      <c r="B1078" s="1168"/>
      <c r="C1078" s="1168"/>
      <c r="D1078" s="1168"/>
      <c r="E1078" s="32"/>
      <c r="F1078" s="1168"/>
      <c r="G1078" s="32"/>
      <c r="H1078" s="32"/>
      <c r="I1078" s="1650"/>
    </row>
    <row r="1079" spans="1:9">
      <c r="A1079" s="1168"/>
      <c r="B1079" s="1168"/>
      <c r="C1079" s="1168"/>
      <c r="D1079" s="1168"/>
      <c r="E1079" s="32"/>
      <c r="F1079" s="1168"/>
      <c r="G1079" s="32"/>
      <c r="H1079" s="32"/>
      <c r="I1079" s="1650"/>
    </row>
    <row r="1080" spans="1:9">
      <c r="A1080" s="1168"/>
      <c r="B1080" s="1168"/>
      <c r="C1080" s="1168"/>
      <c r="D1080" s="1168"/>
      <c r="E1080" s="32"/>
      <c r="F1080" s="1168"/>
      <c r="G1080" s="32"/>
      <c r="H1080" s="32"/>
      <c r="I1080" s="1650"/>
    </row>
    <row r="1081" spans="1:9" ht="26.25">
      <c r="A1081" s="1640" t="s">
        <v>1627</v>
      </c>
      <c r="B1081" s="1640"/>
      <c r="C1081" s="1641"/>
      <c r="D1081" s="1640"/>
      <c r="E1081" s="1640"/>
      <c r="F1081" s="1640"/>
      <c r="G1081" s="1640"/>
      <c r="H1081" s="1642"/>
      <c r="I1081" s="1172"/>
    </row>
    <row r="1082" spans="1:9" ht="30.75">
      <c r="A1082" s="45" t="s">
        <v>1463</v>
      </c>
      <c r="B1082" s="646" t="s">
        <v>1497</v>
      </c>
      <c r="C1082" s="132" t="s">
        <v>1465</v>
      </c>
      <c r="D1082" s="647" t="s">
        <v>5</v>
      </c>
      <c r="E1082" s="47" t="s">
        <v>1466</v>
      </c>
      <c r="F1082" s="48" t="s">
        <v>1467</v>
      </c>
      <c r="G1082" s="48" t="s">
        <v>7</v>
      </c>
      <c r="H1082" s="62" t="s">
        <v>1468</v>
      </c>
      <c r="I1082" s="1174" t="s">
        <v>1624</v>
      </c>
    </row>
    <row r="1083" spans="1:9" ht="18.75">
      <c r="A1083" s="135">
        <v>12678</v>
      </c>
      <c r="B1083" s="233">
        <v>0.1</v>
      </c>
      <c r="C1083" s="238">
        <v>12</v>
      </c>
      <c r="D1083" s="136" t="s">
        <v>707</v>
      </c>
      <c r="E1083" s="581"/>
      <c r="F1083" s="558">
        <v>1400000</v>
      </c>
      <c r="G1083" s="138">
        <v>0.02</v>
      </c>
      <c r="H1083" s="882">
        <f>F1083*G1083</f>
        <v>28000</v>
      </c>
      <c r="I1083" s="1172" t="s">
        <v>1625</v>
      </c>
    </row>
    <row r="1084" spans="1:9" ht="18.75">
      <c r="A1084" s="135">
        <v>12710</v>
      </c>
      <c r="B1084" s="233">
        <v>0.1</v>
      </c>
      <c r="C1084" s="238">
        <v>12</v>
      </c>
      <c r="D1084" s="136" t="s">
        <v>674</v>
      </c>
      <c r="E1084" s="581"/>
      <c r="F1084" s="558">
        <v>1250000</v>
      </c>
      <c r="G1084" s="138">
        <v>0.02</v>
      </c>
      <c r="H1084" s="882">
        <f t="shared" ref="H1084:H1092" si="35">F1084*G1084</f>
        <v>25000</v>
      </c>
      <c r="I1084" s="1172" t="s">
        <v>1625</v>
      </c>
    </row>
    <row r="1085" spans="1:9" ht="18.75">
      <c r="A1085" s="135">
        <v>12731</v>
      </c>
      <c r="B1085" s="233">
        <v>0.1</v>
      </c>
      <c r="C1085" s="238">
        <v>6</v>
      </c>
      <c r="D1085" s="136" t="s">
        <v>698</v>
      </c>
      <c r="E1085" s="581"/>
      <c r="F1085" s="558">
        <v>1550000</v>
      </c>
      <c r="G1085" s="138">
        <v>0.02</v>
      </c>
      <c r="H1085" s="882">
        <f t="shared" si="35"/>
        <v>31000</v>
      </c>
      <c r="I1085" s="1172" t="s">
        <v>1625</v>
      </c>
    </row>
    <row r="1086" spans="1:9" ht="18.75">
      <c r="A1086" s="135">
        <v>12746</v>
      </c>
      <c r="B1086" s="233">
        <v>0.1</v>
      </c>
      <c r="C1086" s="238">
        <v>12</v>
      </c>
      <c r="D1086" s="136" t="s">
        <v>1628</v>
      </c>
      <c r="E1086" s="581"/>
      <c r="F1086" s="558">
        <v>1450000</v>
      </c>
      <c r="G1086" s="138">
        <v>0.02</v>
      </c>
      <c r="H1086" s="882">
        <f t="shared" si="35"/>
        <v>29000</v>
      </c>
      <c r="I1086" s="1172" t="s">
        <v>1625</v>
      </c>
    </row>
    <row r="1087" spans="1:9" ht="18.75">
      <c r="A1087" s="135">
        <v>12785</v>
      </c>
      <c r="B1087" s="233">
        <v>0.1</v>
      </c>
      <c r="C1087" s="238">
        <v>12</v>
      </c>
      <c r="D1087" s="136" t="s">
        <v>679</v>
      </c>
      <c r="E1087" s="581"/>
      <c r="F1087" s="558">
        <v>750000</v>
      </c>
      <c r="G1087" s="138">
        <v>0.02</v>
      </c>
      <c r="H1087" s="882">
        <f t="shared" si="35"/>
        <v>15000</v>
      </c>
      <c r="I1087" s="1172" t="s">
        <v>1625</v>
      </c>
    </row>
    <row r="1088" spans="1:9" ht="18.75">
      <c r="A1088" s="135">
        <v>12816</v>
      </c>
      <c r="B1088" s="233">
        <v>0.1</v>
      </c>
      <c r="C1088" s="238">
        <v>12</v>
      </c>
      <c r="D1088" s="136" t="s">
        <v>714</v>
      </c>
      <c r="E1088" s="581"/>
      <c r="F1088" s="558">
        <v>1250000</v>
      </c>
      <c r="G1088" s="138">
        <v>0.02</v>
      </c>
      <c r="H1088" s="882">
        <f t="shared" si="35"/>
        <v>25000</v>
      </c>
      <c r="I1088" s="1172" t="s">
        <v>1625</v>
      </c>
    </row>
    <row r="1089" spans="1:9" ht="18.75">
      <c r="A1089" s="135">
        <v>12859</v>
      </c>
      <c r="B1089" s="233">
        <v>0.08</v>
      </c>
      <c r="C1089" s="238">
        <v>12</v>
      </c>
      <c r="D1089" s="136" t="s">
        <v>684</v>
      </c>
      <c r="E1089" s="581"/>
      <c r="F1089" s="558">
        <v>1500000</v>
      </c>
      <c r="G1089" s="140">
        <v>0.01</v>
      </c>
      <c r="H1089" s="882">
        <f t="shared" si="35"/>
        <v>15000</v>
      </c>
      <c r="I1089" s="1172" t="s">
        <v>1625</v>
      </c>
    </row>
    <row r="1090" spans="1:9" ht="18.75">
      <c r="A1090" s="135">
        <v>12857</v>
      </c>
      <c r="B1090" s="233">
        <v>0.1</v>
      </c>
      <c r="C1090" s="238">
        <v>12</v>
      </c>
      <c r="D1090" s="136" t="s">
        <v>716</v>
      </c>
      <c r="E1090" s="581"/>
      <c r="F1090" s="558">
        <v>1350000</v>
      </c>
      <c r="G1090" s="138">
        <v>0.02</v>
      </c>
      <c r="H1090" s="882">
        <f t="shared" si="35"/>
        <v>27000</v>
      </c>
      <c r="I1090" s="1172" t="s">
        <v>1625</v>
      </c>
    </row>
    <row r="1091" spans="1:9" ht="18.75">
      <c r="A1091" s="135">
        <v>12862</v>
      </c>
      <c r="B1091" s="233">
        <v>0.1</v>
      </c>
      <c r="C1091" s="238">
        <v>12</v>
      </c>
      <c r="D1091" s="136" t="s">
        <v>685</v>
      </c>
      <c r="E1091" s="581"/>
      <c r="F1091" s="558">
        <v>750000</v>
      </c>
      <c r="G1091" s="138">
        <v>0.02</v>
      </c>
      <c r="H1091" s="882">
        <f t="shared" si="35"/>
        <v>15000</v>
      </c>
      <c r="I1091" s="1172" t="s">
        <v>1625</v>
      </c>
    </row>
    <row r="1092" spans="1:9" ht="18.75">
      <c r="A1092" s="135">
        <v>12871</v>
      </c>
      <c r="B1092" s="233">
        <v>0.1</v>
      </c>
      <c r="C1092" s="238">
        <v>12</v>
      </c>
      <c r="D1092" s="136" t="s">
        <v>1629</v>
      </c>
      <c r="E1092" s="581"/>
      <c r="F1092" s="558">
        <v>1000000</v>
      </c>
      <c r="G1092" s="138">
        <v>0.02</v>
      </c>
      <c r="H1092" s="882">
        <f t="shared" si="35"/>
        <v>20000</v>
      </c>
      <c r="I1092" s="1172" t="s">
        <v>1625</v>
      </c>
    </row>
    <row r="1093" spans="1:9" ht="18.75">
      <c r="A1093" s="135">
        <v>12828</v>
      </c>
      <c r="B1093" s="233">
        <v>0.1</v>
      </c>
      <c r="C1093" s="891">
        <v>12</v>
      </c>
      <c r="D1093" s="259" t="s">
        <v>1630</v>
      </c>
      <c r="E1093" s="581" t="s">
        <v>1631</v>
      </c>
      <c r="F1093" s="558"/>
      <c r="G1093" s="915">
        <v>0.05</v>
      </c>
      <c r="H1093" s="916">
        <v>70000</v>
      </c>
      <c r="I1093" s="1172"/>
    </row>
    <row r="1094" spans="1:9" ht="18.75">
      <c r="A1094" s="211" t="s">
        <v>538</v>
      </c>
      <c r="B1094" s="267"/>
      <c r="C1094" s="814"/>
      <c r="D1094" s="277" t="s">
        <v>690</v>
      </c>
      <c r="E1094" s="567" t="s">
        <v>538</v>
      </c>
      <c r="F1094" s="889"/>
      <c r="G1094" s="220"/>
      <c r="H1094" s="883"/>
      <c r="I1094" s="1172"/>
    </row>
    <row r="1095" spans="1:9" ht="18.75">
      <c r="A1095" s="211" t="s">
        <v>638</v>
      </c>
      <c r="B1095" s="267"/>
      <c r="C1095" s="814"/>
      <c r="D1095" s="757" t="s">
        <v>1632</v>
      </c>
      <c r="E1095" s="567" t="s">
        <v>1633</v>
      </c>
      <c r="F1095" s="308"/>
      <c r="G1095" s="348"/>
      <c r="H1095" s="885"/>
      <c r="I1095" s="1172"/>
    </row>
    <row r="1096" spans="1:9" ht="18.75">
      <c r="A1096" s="489" t="s">
        <v>638</v>
      </c>
      <c r="B1096" s="267"/>
      <c r="C1096" s="814"/>
      <c r="D1096" s="277" t="s">
        <v>718</v>
      </c>
      <c r="E1096" s="567" t="s">
        <v>1634</v>
      </c>
      <c r="F1096" s="308"/>
      <c r="G1096" s="348"/>
      <c r="H1096" s="885"/>
      <c r="I1096" s="1172"/>
    </row>
    <row r="1097" spans="1:9" ht="18.75">
      <c r="A1097" s="211" t="s">
        <v>844</v>
      </c>
      <c r="B1097" s="267"/>
      <c r="C1097" s="814"/>
      <c r="D1097" s="277" t="s">
        <v>695</v>
      </c>
      <c r="E1097" s="567" t="s">
        <v>1634</v>
      </c>
      <c r="F1097" s="308"/>
      <c r="G1097" s="348"/>
      <c r="H1097" s="885"/>
      <c r="I1097" s="1172"/>
    </row>
    <row r="1098" spans="1:9" ht="18.75">
      <c r="A1098" s="211" t="s">
        <v>538</v>
      </c>
      <c r="B1098" s="267"/>
      <c r="C1098" s="814"/>
      <c r="D1098" s="757" t="s">
        <v>1635</v>
      </c>
      <c r="E1098" s="567" t="s">
        <v>538</v>
      </c>
      <c r="F1098" s="308"/>
      <c r="G1098" s="348"/>
      <c r="H1098" s="885"/>
      <c r="I1098" s="1172"/>
    </row>
    <row r="1099" spans="1:9" ht="20.25">
      <c r="A1099" s="163"/>
      <c r="B1099" s="318"/>
      <c r="C1099" s="792"/>
      <c r="D1099" s="266"/>
      <c r="E1099" s="909" t="s">
        <v>80</v>
      </c>
      <c r="F1099" s="867">
        <f>SUM(F1083:F1092)</f>
        <v>12250000</v>
      </c>
      <c r="G1099" s="908"/>
      <c r="H1099" s="863">
        <f>SUM(H1083:H1098)</f>
        <v>300000</v>
      </c>
      <c r="I1099" s="1172"/>
    </row>
    <row r="1100" spans="1:9" ht="26.25">
      <c r="A1100" s="1645"/>
      <c r="B1100" s="1645"/>
      <c r="C1100" s="1645"/>
      <c r="D1100" s="1645"/>
      <c r="E1100" s="1645"/>
      <c r="F1100" s="1645"/>
      <c r="G1100" s="1645"/>
      <c r="H1100" s="1645"/>
      <c r="I1100" s="1650"/>
    </row>
    <row r="1101" spans="1:9" ht="26.25">
      <c r="A1101" s="797"/>
      <c r="B1101" s="797"/>
      <c r="C1101" s="797"/>
      <c r="D1101" s="797"/>
      <c r="E1101" s="797"/>
      <c r="F1101" s="797"/>
      <c r="G1101" s="797"/>
      <c r="H1101" s="797"/>
      <c r="I1101" s="1650"/>
    </row>
    <row r="1102" spans="1:9" ht="26.25">
      <c r="A1102" s="1640" t="s">
        <v>1636</v>
      </c>
      <c r="B1102" s="1640"/>
      <c r="C1102" s="1640"/>
      <c r="D1102" s="1640"/>
      <c r="E1102" s="1640"/>
      <c r="F1102" s="1640"/>
      <c r="G1102" s="1640"/>
      <c r="H1102" s="1642"/>
      <c r="I1102" s="1172"/>
    </row>
    <row r="1103" spans="1:9" ht="30.75">
      <c r="A1103" s="45" t="s">
        <v>1463</v>
      </c>
      <c r="B1103" s="646" t="s">
        <v>1497</v>
      </c>
      <c r="C1103" s="251" t="s">
        <v>1465</v>
      </c>
      <c r="D1103" s="647" t="s">
        <v>5</v>
      </c>
      <c r="E1103" s="47" t="s">
        <v>1466</v>
      </c>
      <c r="F1103" s="48" t="s">
        <v>1467</v>
      </c>
      <c r="G1103" s="48" t="s">
        <v>7</v>
      </c>
      <c r="H1103" s="62" t="s">
        <v>1468</v>
      </c>
      <c r="I1103" s="1174" t="s">
        <v>1624</v>
      </c>
    </row>
    <row r="1104" spans="1:9" ht="18.75">
      <c r="A1104" s="135">
        <v>12702</v>
      </c>
      <c r="B1104" s="233">
        <v>0.1</v>
      </c>
      <c r="C1104" s="891">
        <v>12</v>
      </c>
      <c r="D1104" s="259" t="s">
        <v>1637</v>
      </c>
      <c r="E1104" s="581"/>
      <c r="F1104" s="558">
        <v>1350000</v>
      </c>
      <c r="G1104" s="138">
        <v>0.04</v>
      </c>
      <c r="H1104" s="882">
        <f>F1104*G1104</f>
        <v>54000</v>
      </c>
      <c r="I1104" s="1172" t="s">
        <v>1625</v>
      </c>
    </row>
    <row r="1105" spans="1:9" ht="18.75">
      <c r="A1105" s="135">
        <v>12714</v>
      </c>
      <c r="B1105" s="233">
        <v>0.1</v>
      </c>
      <c r="C1105" s="891">
        <v>12</v>
      </c>
      <c r="D1105" s="259" t="s">
        <v>709</v>
      </c>
      <c r="E1105" s="581"/>
      <c r="F1105" s="558">
        <v>1350000</v>
      </c>
      <c r="G1105" s="138">
        <v>0.04</v>
      </c>
      <c r="H1105" s="882">
        <f t="shared" ref="H1105:H1116" si="36">F1105*G1105</f>
        <v>54000</v>
      </c>
      <c r="I1105" s="1172" t="s">
        <v>1625</v>
      </c>
    </row>
    <row r="1106" spans="1:9" ht="18.75">
      <c r="A1106" s="135">
        <v>12745</v>
      </c>
      <c r="B1106" s="233">
        <v>0.1</v>
      </c>
      <c r="C1106" s="891">
        <v>12</v>
      </c>
      <c r="D1106" s="259" t="s">
        <v>677</v>
      </c>
      <c r="E1106" s="581"/>
      <c r="F1106" s="558">
        <v>1100000</v>
      </c>
      <c r="G1106" s="138">
        <v>0.04</v>
      </c>
      <c r="H1106" s="882">
        <f t="shared" si="36"/>
        <v>44000</v>
      </c>
      <c r="I1106" s="1172" t="s">
        <v>1625</v>
      </c>
    </row>
    <row r="1107" spans="1:9" ht="18.75">
      <c r="A1107" s="135">
        <v>12797</v>
      </c>
      <c r="B1107" s="233">
        <v>0.08</v>
      </c>
      <c r="C1107" s="891">
        <v>12</v>
      </c>
      <c r="D1107" s="259" t="s">
        <v>680</v>
      </c>
      <c r="E1107" s="581"/>
      <c r="F1107" s="558">
        <v>1550000</v>
      </c>
      <c r="G1107" s="140">
        <v>0.03</v>
      </c>
      <c r="H1107" s="882">
        <f t="shared" si="36"/>
        <v>46500</v>
      </c>
      <c r="I1107" s="1172" t="s">
        <v>1625</v>
      </c>
    </row>
    <row r="1108" spans="1:9" ht="18.75">
      <c r="A1108" s="135">
        <v>12809</v>
      </c>
      <c r="B1108" s="233">
        <v>0.1</v>
      </c>
      <c r="C1108" s="891">
        <v>12</v>
      </c>
      <c r="D1108" s="259" t="s">
        <v>681</v>
      </c>
      <c r="E1108" s="581"/>
      <c r="F1108" s="558">
        <v>900000</v>
      </c>
      <c r="G1108" s="138">
        <v>0.04</v>
      </c>
      <c r="H1108" s="882">
        <f t="shared" si="36"/>
        <v>36000</v>
      </c>
      <c r="I1108" s="1172" t="s">
        <v>1625</v>
      </c>
    </row>
    <row r="1109" spans="1:9" ht="18.75">
      <c r="A1109" s="135">
        <v>12828</v>
      </c>
      <c r="B1109" s="233">
        <v>0.1</v>
      </c>
      <c r="C1109" s="891">
        <v>12</v>
      </c>
      <c r="D1109" s="259" t="s">
        <v>682</v>
      </c>
      <c r="E1109" s="581"/>
      <c r="F1109" s="558">
        <v>1400000</v>
      </c>
      <c r="G1109" s="138">
        <v>0.04</v>
      </c>
      <c r="H1109" s="882">
        <f t="shared" si="36"/>
        <v>56000</v>
      </c>
      <c r="I1109" s="1172" t="s">
        <v>1625</v>
      </c>
    </row>
    <row r="1110" spans="1:9" ht="18.75">
      <c r="A1110" s="135">
        <v>12841</v>
      </c>
      <c r="B1110" s="233">
        <v>0.1</v>
      </c>
      <c r="C1110" s="891">
        <v>12</v>
      </c>
      <c r="D1110" s="259" t="s">
        <v>715</v>
      </c>
      <c r="E1110" s="581"/>
      <c r="F1110" s="558">
        <v>1000000</v>
      </c>
      <c r="G1110" s="138">
        <v>0.04</v>
      </c>
      <c r="H1110" s="882">
        <f t="shared" si="36"/>
        <v>40000</v>
      </c>
      <c r="I1110" s="1172" t="s">
        <v>1625</v>
      </c>
    </row>
    <row r="1111" spans="1:9" ht="18.75">
      <c r="A1111" s="135">
        <v>12858</v>
      </c>
      <c r="B1111" s="233">
        <v>0.1</v>
      </c>
      <c r="C1111" s="891">
        <v>12</v>
      </c>
      <c r="D1111" s="259" t="s">
        <v>675</v>
      </c>
      <c r="E1111" s="581"/>
      <c r="F1111" s="558">
        <v>1200000</v>
      </c>
      <c r="G1111" s="138">
        <v>0.04</v>
      </c>
      <c r="H1111" s="882">
        <f t="shared" si="36"/>
        <v>48000</v>
      </c>
      <c r="I1111" s="1172" t="s">
        <v>1625</v>
      </c>
    </row>
    <row r="1112" spans="1:9" ht="18.75">
      <c r="A1112" s="135">
        <v>12854</v>
      </c>
      <c r="B1112" s="233">
        <v>0.1</v>
      </c>
      <c r="C1112" s="891">
        <v>12</v>
      </c>
      <c r="D1112" s="259" t="s">
        <v>683</v>
      </c>
      <c r="E1112" s="581"/>
      <c r="F1112" s="558">
        <v>1650000</v>
      </c>
      <c r="G1112" s="138">
        <v>0.04</v>
      </c>
      <c r="H1112" s="882">
        <f t="shared" si="36"/>
        <v>66000</v>
      </c>
      <c r="I1112" s="1172" t="s">
        <v>1625</v>
      </c>
    </row>
    <row r="1113" spans="1:9" ht="18.75">
      <c r="A1113" s="135">
        <v>12848</v>
      </c>
      <c r="B1113" s="233">
        <v>0.1</v>
      </c>
      <c r="C1113" s="891">
        <v>12</v>
      </c>
      <c r="D1113" s="259" t="s">
        <v>687</v>
      </c>
      <c r="E1113" s="581"/>
      <c r="F1113" s="558">
        <v>1150000</v>
      </c>
      <c r="G1113" s="138">
        <v>0.04</v>
      </c>
      <c r="H1113" s="882">
        <f t="shared" si="36"/>
        <v>46000</v>
      </c>
      <c r="I1113" s="1172" t="s">
        <v>1625</v>
      </c>
    </row>
    <row r="1114" spans="1:9" ht="18.75">
      <c r="A1114" s="135">
        <v>12885</v>
      </c>
      <c r="B1114" s="233">
        <v>0.1</v>
      </c>
      <c r="C1114" s="891">
        <v>12</v>
      </c>
      <c r="D1114" s="259" t="s">
        <v>722</v>
      </c>
      <c r="E1114" s="581"/>
      <c r="F1114" s="558">
        <v>1100000</v>
      </c>
      <c r="G1114" s="138">
        <v>0.04</v>
      </c>
      <c r="H1114" s="882">
        <f t="shared" si="36"/>
        <v>44000</v>
      </c>
      <c r="I1114" s="1172" t="s">
        <v>1625</v>
      </c>
    </row>
    <row r="1115" spans="1:9" ht="18.75">
      <c r="A1115" s="135">
        <v>12861</v>
      </c>
      <c r="B1115" s="233">
        <v>0.1</v>
      </c>
      <c r="C1115" s="891">
        <v>12</v>
      </c>
      <c r="D1115" s="259" t="s">
        <v>686</v>
      </c>
      <c r="E1115" s="581"/>
      <c r="F1115" s="558">
        <v>1200000</v>
      </c>
      <c r="G1115" s="138">
        <v>0.04</v>
      </c>
      <c r="H1115" s="882">
        <f t="shared" si="36"/>
        <v>48000</v>
      </c>
      <c r="I1115" s="1172" t="s">
        <v>1625</v>
      </c>
    </row>
    <row r="1116" spans="1:9" ht="18.75">
      <c r="A1116" s="135">
        <v>12865</v>
      </c>
      <c r="B1116" s="233">
        <v>0.1</v>
      </c>
      <c r="C1116" s="891">
        <v>12</v>
      </c>
      <c r="D1116" s="259" t="s">
        <v>688</v>
      </c>
      <c r="E1116" s="754"/>
      <c r="F1116" s="558">
        <v>1450000</v>
      </c>
      <c r="G1116" s="138">
        <v>0.04</v>
      </c>
      <c r="H1116" s="882">
        <f t="shared" si="36"/>
        <v>58000</v>
      </c>
      <c r="I1116" s="1172" t="s">
        <v>1625</v>
      </c>
    </row>
    <row r="1117" spans="1:9" ht="18.75">
      <c r="A1117" s="211" t="s">
        <v>1638</v>
      </c>
      <c r="B1117" s="267"/>
      <c r="C1117" s="1225"/>
      <c r="D1117" s="277" t="s">
        <v>693</v>
      </c>
      <c r="E1117" s="573" t="s">
        <v>694</v>
      </c>
      <c r="F1117" s="308"/>
      <c r="G1117" s="220"/>
      <c r="H1117" s="883"/>
      <c r="I1117" s="1172"/>
    </row>
    <row r="1118" spans="1:9" ht="18.75">
      <c r="A1118" s="211" t="s">
        <v>297</v>
      </c>
      <c r="B1118" s="267"/>
      <c r="C1118" s="1225"/>
      <c r="D1118" s="277" t="s">
        <v>691</v>
      </c>
      <c r="E1118" s="573" t="s">
        <v>692</v>
      </c>
      <c r="F1118" s="308"/>
      <c r="G1118" s="220"/>
      <c r="H1118" s="883"/>
      <c r="I1118" s="1172"/>
    </row>
    <row r="1119" spans="1:9" ht="18.75">
      <c r="A1119" s="211" t="s">
        <v>297</v>
      </c>
      <c r="B1119" s="267"/>
      <c r="C1119" s="1225"/>
      <c r="D1119" s="277" t="s">
        <v>697</v>
      </c>
      <c r="E1119" s="573" t="s">
        <v>692</v>
      </c>
      <c r="F1119" s="308"/>
      <c r="G1119" s="220"/>
      <c r="H1119" s="883"/>
      <c r="I1119" s="1172"/>
    </row>
    <row r="1120" spans="1:9" ht="18.75">
      <c r="A1120" s="163"/>
      <c r="B1120" s="318"/>
      <c r="C1120" s="1131"/>
      <c r="D1120" s="266"/>
      <c r="E1120" s="586"/>
      <c r="F1120" s="261"/>
      <c r="G1120" s="162"/>
      <c r="H1120" s="884"/>
      <c r="I1120" s="1172"/>
    </row>
    <row r="1121" spans="1:9" ht="20.25">
      <c r="A1121" s="163"/>
      <c r="B1121" s="318"/>
      <c r="C1121" s="792"/>
      <c r="D1121" s="262"/>
      <c r="E1121" s="835" t="s">
        <v>80</v>
      </c>
      <c r="F1121" s="867">
        <f>SUM(F1104:F1120)</f>
        <v>16400000</v>
      </c>
      <c r="G1121" s="908"/>
      <c r="H1121" s="911">
        <f>SUM(H1104:H1120)</f>
        <v>640500</v>
      </c>
      <c r="I1121" s="1172"/>
    </row>
    <row r="1122" spans="1:9" ht="18.75">
      <c r="A1122" s="1168"/>
      <c r="B1122" s="1168"/>
      <c r="C1122" s="1168"/>
      <c r="D1122" s="1646"/>
      <c r="E1122" s="1646"/>
      <c r="F1122" s="1646"/>
      <c r="G1122" s="1646"/>
      <c r="H1122" s="1646"/>
    </row>
    <row r="1123" spans="1:9" ht="15" customHeight="1">
      <c r="D1123" s="1647"/>
      <c r="E1123" s="1647"/>
      <c r="F1123" s="1647"/>
      <c r="G1123" s="1647"/>
      <c r="H1123" s="1647"/>
    </row>
    <row r="1124" spans="1:9" ht="26.25">
      <c r="A1124" s="1640" t="s">
        <v>1639</v>
      </c>
      <c r="B1124" s="1640"/>
      <c r="C1124" s="1641"/>
      <c r="D1124" s="1640"/>
      <c r="E1124" s="1640"/>
      <c r="F1124" s="1640"/>
      <c r="G1124" s="1640"/>
      <c r="H1124" s="1640"/>
    </row>
    <row r="1125" spans="1:9" ht="30.75">
      <c r="A1125" s="45" t="s">
        <v>1463</v>
      </c>
      <c r="B1125" s="646" t="s">
        <v>1497</v>
      </c>
      <c r="C1125" s="132" t="s">
        <v>1465</v>
      </c>
      <c r="D1125" s="647" t="s">
        <v>5</v>
      </c>
      <c r="E1125" s="47" t="s">
        <v>1466</v>
      </c>
      <c r="F1125" s="48" t="s">
        <v>1467</v>
      </c>
      <c r="G1125" s="48" t="s">
        <v>7</v>
      </c>
      <c r="H1125" s="48" t="s">
        <v>1468</v>
      </c>
    </row>
    <row r="1126" spans="1:9" ht="18.75">
      <c r="A1126" s="135">
        <v>12699</v>
      </c>
      <c r="B1126" s="478">
        <v>0.1</v>
      </c>
      <c r="C1126" s="238">
        <v>12</v>
      </c>
      <c r="D1126" s="1226" t="s">
        <v>672</v>
      </c>
      <c r="E1126" s="137"/>
      <c r="F1126" s="558">
        <v>1500000</v>
      </c>
      <c r="G1126" s="138">
        <v>0.02</v>
      </c>
      <c r="H1126" s="139">
        <f>F1126*G1126</f>
        <v>30000</v>
      </c>
    </row>
    <row r="1127" spans="1:9" ht="18.75">
      <c r="A1127" s="135">
        <v>12736</v>
      </c>
      <c r="B1127" s="478">
        <v>0.1</v>
      </c>
      <c r="C1127" s="238">
        <v>12</v>
      </c>
      <c r="D1127" s="259" t="s">
        <v>712</v>
      </c>
      <c r="E1127" s="243"/>
      <c r="F1127" s="143">
        <v>1250000</v>
      </c>
      <c r="G1127" s="138">
        <v>0.02</v>
      </c>
      <c r="H1127" s="139">
        <f>F1127*G1127</f>
        <v>25000</v>
      </c>
    </row>
    <row r="1128" spans="1:9" ht="18.75">
      <c r="A1128" s="135">
        <v>12751</v>
      </c>
      <c r="B1128" s="478">
        <v>0.1</v>
      </c>
      <c r="C1128" s="238">
        <v>12</v>
      </c>
      <c r="D1128" s="259" t="s">
        <v>1626</v>
      </c>
      <c r="E1128" s="243"/>
      <c r="F1128" s="143">
        <v>1400000</v>
      </c>
      <c r="G1128" s="138">
        <v>0.02</v>
      </c>
      <c r="H1128" s="139">
        <f>F1128*G1128</f>
        <v>28000</v>
      </c>
    </row>
    <row r="1129" spans="1:9" ht="18.75">
      <c r="A1129" s="135">
        <v>12780</v>
      </c>
      <c r="B1129" s="478">
        <v>0.1</v>
      </c>
      <c r="C1129" s="238">
        <v>12</v>
      </c>
      <c r="D1129" s="259" t="s">
        <v>713</v>
      </c>
      <c r="E1129" s="243"/>
      <c r="F1129" s="143">
        <v>1400000</v>
      </c>
      <c r="G1129" s="138">
        <v>0.02</v>
      </c>
      <c r="H1129" s="139">
        <f t="shared" ref="H1129:H1156" si="37">F1129*G1129</f>
        <v>28000</v>
      </c>
    </row>
    <row r="1130" spans="1:9" ht="18.75">
      <c r="A1130" s="135">
        <v>12774</v>
      </c>
      <c r="B1130" s="478">
        <v>0.1</v>
      </c>
      <c r="C1130" s="238">
        <v>12</v>
      </c>
      <c r="D1130" s="259" t="s">
        <v>678</v>
      </c>
      <c r="E1130" s="243"/>
      <c r="F1130" s="143">
        <v>1400000</v>
      </c>
      <c r="G1130" s="138">
        <v>0.02</v>
      </c>
      <c r="H1130" s="139">
        <f t="shared" si="37"/>
        <v>28000</v>
      </c>
    </row>
    <row r="1131" spans="1:9" ht="18.75">
      <c r="A1131" s="135">
        <v>12801</v>
      </c>
      <c r="B1131" s="478">
        <v>0.1</v>
      </c>
      <c r="C1131" s="238">
        <v>12</v>
      </c>
      <c r="D1131" s="1234" t="s">
        <v>1640</v>
      </c>
      <c r="E1131" s="243"/>
      <c r="F1131" s="143">
        <v>1380000</v>
      </c>
      <c r="G1131" s="138">
        <v>0.02</v>
      </c>
      <c r="H1131" s="139">
        <f t="shared" si="37"/>
        <v>27600</v>
      </c>
    </row>
    <row r="1132" spans="1:9" ht="18.75">
      <c r="A1132" s="135">
        <v>12815</v>
      </c>
      <c r="B1132" s="478">
        <v>0.09</v>
      </c>
      <c r="C1132" s="770">
        <v>12</v>
      </c>
      <c r="D1132" s="259" t="s">
        <v>700</v>
      </c>
      <c r="E1132" s="888"/>
      <c r="F1132" s="143">
        <v>1300000</v>
      </c>
      <c r="G1132" s="140">
        <v>0.01</v>
      </c>
      <c r="H1132" s="139">
        <f t="shared" si="37"/>
        <v>13000</v>
      </c>
    </row>
    <row r="1133" spans="1:9" ht="18.75">
      <c r="A1133" s="135">
        <v>12864</v>
      </c>
      <c r="B1133" s="478">
        <v>0.1</v>
      </c>
      <c r="C1133" s="770">
        <v>12</v>
      </c>
      <c r="D1133" s="242" t="s">
        <v>702</v>
      </c>
      <c r="E1133" s="888"/>
      <c r="F1133" s="143">
        <v>1350000</v>
      </c>
      <c r="G1133" s="138">
        <v>0.02</v>
      </c>
      <c r="H1133" s="139">
        <f t="shared" si="37"/>
        <v>27000</v>
      </c>
    </row>
    <row r="1134" spans="1:9" ht="18.75">
      <c r="A1134" s="135">
        <v>12678</v>
      </c>
      <c r="B1134" s="233">
        <v>0.1</v>
      </c>
      <c r="C1134" s="238">
        <v>12</v>
      </c>
      <c r="D1134" s="136" t="s">
        <v>707</v>
      </c>
      <c r="E1134" s="581"/>
      <c r="F1134" s="558">
        <v>1400000</v>
      </c>
      <c r="G1134" s="138">
        <v>0.02</v>
      </c>
      <c r="H1134" s="139">
        <f t="shared" si="37"/>
        <v>28000</v>
      </c>
    </row>
    <row r="1135" spans="1:9" ht="18.75">
      <c r="A1135" s="135">
        <v>12710</v>
      </c>
      <c r="B1135" s="233">
        <v>0.1</v>
      </c>
      <c r="C1135" s="238">
        <v>12</v>
      </c>
      <c r="D1135" s="136" t="s">
        <v>674</v>
      </c>
      <c r="E1135" s="581"/>
      <c r="F1135" s="558">
        <v>1250000</v>
      </c>
      <c r="G1135" s="138">
        <v>0.02</v>
      </c>
      <c r="H1135" s="139">
        <f t="shared" si="37"/>
        <v>25000</v>
      </c>
    </row>
    <row r="1136" spans="1:9" ht="18.75">
      <c r="A1136" s="135">
        <v>12731</v>
      </c>
      <c r="B1136" s="233">
        <v>0.1</v>
      </c>
      <c r="C1136" s="238">
        <v>6</v>
      </c>
      <c r="D1136" s="136" t="s">
        <v>698</v>
      </c>
      <c r="E1136" s="581"/>
      <c r="F1136" s="558">
        <v>1550000</v>
      </c>
      <c r="G1136" s="138">
        <v>0.02</v>
      </c>
      <c r="H1136" s="139">
        <f t="shared" si="37"/>
        <v>31000</v>
      </c>
    </row>
    <row r="1137" spans="1:8" ht="18.75">
      <c r="A1137" s="135">
        <v>12746</v>
      </c>
      <c r="B1137" s="233">
        <v>0.1</v>
      </c>
      <c r="C1137" s="238">
        <v>12</v>
      </c>
      <c r="D1137" s="136" t="s">
        <v>1628</v>
      </c>
      <c r="E1137" s="581"/>
      <c r="F1137" s="558">
        <v>1450000</v>
      </c>
      <c r="G1137" s="138">
        <v>0.02</v>
      </c>
      <c r="H1137" s="139">
        <f t="shared" si="37"/>
        <v>29000</v>
      </c>
    </row>
    <row r="1138" spans="1:8" ht="18.75">
      <c r="A1138" s="135">
        <v>12785</v>
      </c>
      <c r="B1138" s="233">
        <v>0.1</v>
      </c>
      <c r="C1138" s="238">
        <v>12</v>
      </c>
      <c r="D1138" s="136" t="s">
        <v>679</v>
      </c>
      <c r="E1138" s="581"/>
      <c r="F1138" s="558">
        <v>750000</v>
      </c>
      <c r="G1138" s="138">
        <v>0.02</v>
      </c>
      <c r="H1138" s="139">
        <f t="shared" si="37"/>
        <v>15000</v>
      </c>
    </row>
    <row r="1139" spans="1:8" ht="18.75">
      <c r="A1139" s="135">
        <v>12816</v>
      </c>
      <c r="B1139" s="233">
        <v>0.1</v>
      </c>
      <c r="C1139" s="238">
        <v>12</v>
      </c>
      <c r="D1139" s="136" t="s">
        <v>714</v>
      </c>
      <c r="E1139" s="581"/>
      <c r="F1139" s="558">
        <v>1250000</v>
      </c>
      <c r="G1139" s="138">
        <v>0.02</v>
      </c>
      <c r="H1139" s="139">
        <f t="shared" si="37"/>
        <v>25000</v>
      </c>
    </row>
    <row r="1140" spans="1:8" ht="18.75">
      <c r="A1140" s="135">
        <v>12859</v>
      </c>
      <c r="B1140" s="233">
        <v>0.08</v>
      </c>
      <c r="C1140" s="238">
        <v>12</v>
      </c>
      <c r="D1140" s="136" t="s">
        <v>684</v>
      </c>
      <c r="E1140" s="581"/>
      <c r="F1140" s="558">
        <v>1500000</v>
      </c>
      <c r="G1140" s="140">
        <v>0.01</v>
      </c>
      <c r="H1140" s="139">
        <f t="shared" si="37"/>
        <v>15000</v>
      </c>
    </row>
    <row r="1141" spans="1:8" ht="18.75">
      <c r="A1141" s="135">
        <v>12857</v>
      </c>
      <c r="B1141" s="233">
        <v>0.1</v>
      </c>
      <c r="C1141" s="238">
        <v>12</v>
      </c>
      <c r="D1141" s="136" t="s">
        <v>716</v>
      </c>
      <c r="E1141" s="581"/>
      <c r="F1141" s="558">
        <v>1350000</v>
      </c>
      <c r="G1141" s="138">
        <v>0.02</v>
      </c>
      <c r="H1141" s="139">
        <f t="shared" si="37"/>
        <v>27000</v>
      </c>
    </row>
    <row r="1142" spans="1:8" ht="18.75">
      <c r="A1142" s="135">
        <v>12862</v>
      </c>
      <c r="B1142" s="233">
        <v>0.1</v>
      </c>
      <c r="C1142" s="238">
        <v>12</v>
      </c>
      <c r="D1142" s="136" t="s">
        <v>685</v>
      </c>
      <c r="E1142" s="581"/>
      <c r="F1142" s="558">
        <v>750000</v>
      </c>
      <c r="G1142" s="138">
        <v>0.02</v>
      </c>
      <c r="H1142" s="139">
        <f t="shared" si="37"/>
        <v>15000</v>
      </c>
    </row>
    <row r="1143" spans="1:8" ht="18.75">
      <c r="A1143" s="135">
        <v>12871</v>
      </c>
      <c r="B1143" s="233">
        <v>0.1</v>
      </c>
      <c r="C1143" s="238">
        <v>12</v>
      </c>
      <c r="D1143" s="136" t="s">
        <v>1629</v>
      </c>
      <c r="E1143" s="581"/>
      <c r="F1143" s="558">
        <v>1000000</v>
      </c>
      <c r="G1143" s="138">
        <v>0.02</v>
      </c>
      <c r="H1143" s="139">
        <f t="shared" si="37"/>
        <v>20000</v>
      </c>
    </row>
    <row r="1144" spans="1:8" ht="18.75">
      <c r="A1144" s="135">
        <v>12702</v>
      </c>
      <c r="B1144" s="233">
        <v>0.1</v>
      </c>
      <c r="C1144" s="891">
        <v>12</v>
      </c>
      <c r="D1144" s="259" t="s">
        <v>1637</v>
      </c>
      <c r="E1144" s="581"/>
      <c r="F1144" s="558">
        <v>1350000</v>
      </c>
      <c r="G1144" s="138">
        <v>0.02</v>
      </c>
      <c r="H1144" s="139">
        <f t="shared" si="37"/>
        <v>27000</v>
      </c>
    </row>
    <row r="1145" spans="1:8" ht="18.75">
      <c r="A1145" s="135">
        <v>12714</v>
      </c>
      <c r="B1145" s="233">
        <v>0.1</v>
      </c>
      <c r="C1145" s="891">
        <v>12</v>
      </c>
      <c r="D1145" s="259" t="s">
        <v>709</v>
      </c>
      <c r="E1145" s="581"/>
      <c r="F1145" s="558">
        <v>1350000</v>
      </c>
      <c r="G1145" s="138">
        <v>0.02</v>
      </c>
      <c r="H1145" s="139">
        <f t="shared" si="37"/>
        <v>27000</v>
      </c>
    </row>
    <row r="1146" spans="1:8" ht="18.75">
      <c r="A1146" s="135">
        <v>12745</v>
      </c>
      <c r="B1146" s="233">
        <v>0.1</v>
      </c>
      <c r="C1146" s="891">
        <v>12</v>
      </c>
      <c r="D1146" s="259" t="s">
        <v>677</v>
      </c>
      <c r="E1146" s="581"/>
      <c r="F1146" s="558">
        <v>1100000</v>
      </c>
      <c r="G1146" s="138">
        <v>0.02</v>
      </c>
      <c r="H1146" s="139">
        <f t="shared" si="37"/>
        <v>22000</v>
      </c>
    </row>
    <row r="1147" spans="1:8" ht="18.75">
      <c r="A1147" s="135">
        <v>12797</v>
      </c>
      <c r="B1147" s="233">
        <v>0.08</v>
      </c>
      <c r="C1147" s="891">
        <v>12</v>
      </c>
      <c r="D1147" s="259" t="s">
        <v>680</v>
      </c>
      <c r="E1147" s="581"/>
      <c r="F1147" s="558">
        <v>1550000</v>
      </c>
      <c r="G1147" s="140">
        <v>0.01</v>
      </c>
      <c r="H1147" s="139">
        <f t="shared" si="37"/>
        <v>15500</v>
      </c>
    </row>
    <row r="1148" spans="1:8" ht="18.75">
      <c r="A1148" s="135">
        <v>12809</v>
      </c>
      <c r="B1148" s="233">
        <v>0.1</v>
      </c>
      <c r="C1148" s="891">
        <v>12</v>
      </c>
      <c r="D1148" s="259" t="s">
        <v>681</v>
      </c>
      <c r="E1148" s="581"/>
      <c r="F1148" s="558">
        <v>900000</v>
      </c>
      <c r="G1148" s="138">
        <v>0.02</v>
      </c>
      <c r="H1148" s="139">
        <f t="shared" si="37"/>
        <v>18000</v>
      </c>
    </row>
    <row r="1149" spans="1:8" ht="18.75">
      <c r="A1149" s="135">
        <v>12828</v>
      </c>
      <c r="B1149" s="233">
        <v>0.1</v>
      </c>
      <c r="C1149" s="891">
        <v>12</v>
      </c>
      <c r="D1149" s="259" t="s">
        <v>682</v>
      </c>
      <c r="E1149" s="581"/>
      <c r="F1149" s="558">
        <v>1400000</v>
      </c>
      <c r="G1149" s="138">
        <v>0.02</v>
      </c>
      <c r="H1149" s="139">
        <f t="shared" si="37"/>
        <v>28000</v>
      </c>
    </row>
    <row r="1150" spans="1:8" ht="18.75">
      <c r="A1150" s="135">
        <v>12841</v>
      </c>
      <c r="B1150" s="233">
        <v>0.1</v>
      </c>
      <c r="C1150" s="891">
        <v>12</v>
      </c>
      <c r="D1150" s="259" t="s">
        <v>715</v>
      </c>
      <c r="E1150" s="581"/>
      <c r="F1150" s="558">
        <v>1000000</v>
      </c>
      <c r="G1150" s="138">
        <v>0.02</v>
      </c>
      <c r="H1150" s="139">
        <f t="shared" si="37"/>
        <v>20000</v>
      </c>
    </row>
    <row r="1151" spans="1:8" ht="18.75">
      <c r="A1151" s="135">
        <v>12858</v>
      </c>
      <c r="B1151" s="233">
        <v>0.1</v>
      </c>
      <c r="C1151" s="891">
        <v>12</v>
      </c>
      <c r="D1151" s="259" t="s">
        <v>675</v>
      </c>
      <c r="E1151" s="581"/>
      <c r="F1151" s="558">
        <v>1200000</v>
      </c>
      <c r="G1151" s="138">
        <v>0.02</v>
      </c>
      <c r="H1151" s="139">
        <f t="shared" si="37"/>
        <v>24000</v>
      </c>
    </row>
    <row r="1152" spans="1:8" ht="18.75">
      <c r="A1152" s="135">
        <v>12854</v>
      </c>
      <c r="B1152" s="233">
        <v>0.1</v>
      </c>
      <c r="C1152" s="891">
        <v>12</v>
      </c>
      <c r="D1152" s="259" t="s">
        <v>683</v>
      </c>
      <c r="E1152" s="581"/>
      <c r="F1152" s="558">
        <v>1650000</v>
      </c>
      <c r="G1152" s="138">
        <v>0.02</v>
      </c>
      <c r="H1152" s="139">
        <f t="shared" si="37"/>
        <v>33000</v>
      </c>
    </row>
    <row r="1153" spans="1:9" ht="18.75">
      <c r="A1153" s="135">
        <v>12848</v>
      </c>
      <c r="B1153" s="233">
        <v>0.1</v>
      </c>
      <c r="C1153" s="891">
        <v>12</v>
      </c>
      <c r="D1153" s="259" t="s">
        <v>687</v>
      </c>
      <c r="E1153" s="581"/>
      <c r="F1153" s="558">
        <v>1150000</v>
      </c>
      <c r="G1153" s="138">
        <v>0.02</v>
      </c>
      <c r="H1153" s="139">
        <f t="shared" si="37"/>
        <v>23000</v>
      </c>
    </row>
    <row r="1154" spans="1:9" ht="18.75">
      <c r="A1154" s="135">
        <v>12885</v>
      </c>
      <c r="B1154" s="233">
        <v>0.1</v>
      </c>
      <c r="C1154" s="891">
        <v>12</v>
      </c>
      <c r="D1154" s="259" t="s">
        <v>722</v>
      </c>
      <c r="E1154" s="581"/>
      <c r="F1154" s="558">
        <v>1100000</v>
      </c>
      <c r="G1154" s="138">
        <v>0.02</v>
      </c>
      <c r="H1154" s="139">
        <f t="shared" si="37"/>
        <v>22000</v>
      </c>
    </row>
    <row r="1155" spans="1:9" ht="18.75">
      <c r="A1155" s="135">
        <v>12861</v>
      </c>
      <c r="B1155" s="233">
        <v>0.1</v>
      </c>
      <c r="C1155" s="891">
        <v>12</v>
      </c>
      <c r="D1155" s="259" t="s">
        <v>686</v>
      </c>
      <c r="E1155" s="581"/>
      <c r="F1155" s="558">
        <v>1200000</v>
      </c>
      <c r="G1155" s="138">
        <v>0.02</v>
      </c>
      <c r="H1155" s="139">
        <f t="shared" si="37"/>
        <v>24000</v>
      </c>
    </row>
    <row r="1156" spans="1:9" ht="18.75">
      <c r="A1156" s="135">
        <v>12865</v>
      </c>
      <c r="B1156" s="233">
        <v>0.1</v>
      </c>
      <c r="C1156" s="891">
        <v>12</v>
      </c>
      <c r="D1156" s="259" t="s">
        <v>688</v>
      </c>
      <c r="E1156" s="754"/>
      <c r="F1156" s="558">
        <v>1450000</v>
      </c>
      <c r="G1156" s="138">
        <v>0.02</v>
      </c>
      <c r="H1156" s="139">
        <f t="shared" si="37"/>
        <v>29000</v>
      </c>
    </row>
    <row r="1157" spans="1:9" ht="18.75">
      <c r="A1157" s="1188"/>
      <c r="B1157" s="1214"/>
      <c r="C1157" s="1185"/>
      <c r="D1157" s="266"/>
      <c r="E1157" s="796"/>
      <c r="F1157" s="329"/>
      <c r="G1157" s="162"/>
      <c r="H1157" s="550"/>
    </row>
    <row r="1158" spans="1:9" ht="21">
      <c r="A1158" s="163"/>
      <c r="B1158" s="1214"/>
      <c r="C1158" s="1188"/>
      <c r="D1158" s="262"/>
      <c r="E1158" s="840" t="s">
        <v>80</v>
      </c>
      <c r="F1158" s="867">
        <f>SUM(F1126:F1157)</f>
        <v>39630000</v>
      </c>
      <c r="G1158" s="910"/>
      <c r="H1158" s="914">
        <f>SUM(H1126:H1157)</f>
        <v>749100</v>
      </c>
    </row>
    <row r="1159" spans="1:9" ht="18.75"/>
    <row r="1160" spans="1:9" ht="18.75"/>
    <row r="1161" spans="1:9" ht="18.75"/>
    <row r="1162" spans="1:9" ht="26.25">
      <c r="A1162" s="1643" t="s">
        <v>1641</v>
      </c>
      <c r="B1162" s="1643"/>
      <c r="C1162" s="1643"/>
      <c r="D1162" s="1643"/>
      <c r="E1162" s="1643"/>
      <c r="F1162" s="1643"/>
      <c r="G1162" s="1643"/>
      <c r="H1162" s="1644"/>
      <c r="I1162" s="1172"/>
    </row>
    <row r="1163" spans="1:9" ht="18.75">
      <c r="I1163" s="1172"/>
    </row>
    <row r="1164" spans="1:9" ht="26.25">
      <c r="A1164" s="1641" t="s">
        <v>1642</v>
      </c>
      <c r="B1164" s="1641"/>
      <c r="C1164" s="1641"/>
      <c r="D1164" s="1641"/>
      <c r="E1164" s="1641"/>
      <c r="F1164" s="1640"/>
      <c r="G1164" s="1640"/>
      <c r="H1164" s="1642"/>
      <c r="I1164" s="1172"/>
    </row>
    <row r="1165" spans="1:9" ht="37.5" customHeight="1">
      <c r="A1165" s="87" t="s">
        <v>1463</v>
      </c>
      <c r="B1165" s="132" t="s">
        <v>1497</v>
      </c>
      <c r="C1165" s="132" t="s">
        <v>1465</v>
      </c>
      <c r="D1165" s="880" t="s">
        <v>5</v>
      </c>
      <c r="E1165" s="879" t="s">
        <v>1466</v>
      </c>
      <c r="F1165" s="881" t="s">
        <v>1467</v>
      </c>
      <c r="G1165" s="48" t="s">
        <v>7</v>
      </c>
      <c r="H1165" s="62" t="s">
        <v>1468</v>
      </c>
      <c r="I1165" s="1173" t="s">
        <v>1624</v>
      </c>
    </row>
    <row r="1166" spans="1:9" ht="18.75">
      <c r="A1166" s="701">
        <v>12903</v>
      </c>
      <c r="B1166" s="478">
        <v>0.1</v>
      </c>
      <c r="C1166" s="238">
        <v>12</v>
      </c>
      <c r="D1166" s="259" t="s">
        <v>1643</v>
      </c>
      <c r="E1166" s="243"/>
      <c r="F1166" s="143">
        <v>1250000</v>
      </c>
      <c r="G1166" s="478">
        <v>0.02</v>
      </c>
      <c r="H1166" s="882">
        <f>F1166*G1166</f>
        <v>25000</v>
      </c>
      <c r="I1166" s="1175" t="s">
        <v>1625</v>
      </c>
    </row>
    <row r="1167" spans="1:9" ht="18.75">
      <c r="A1167" s="135">
        <v>12905</v>
      </c>
      <c r="B1167" s="478">
        <v>0.1</v>
      </c>
      <c r="C1167" s="238">
        <v>12</v>
      </c>
      <c r="D1167" s="259" t="s">
        <v>727</v>
      </c>
      <c r="E1167" s="243"/>
      <c r="F1167" s="143">
        <v>1400000</v>
      </c>
      <c r="G1167" s="478">
        <v>0.02</v>
      </c>
      <c r="H1167" s="882">
        <f t="shared" ref="H1167:H1175" si="38">F1167*G1167</f>
        <v>28000</v>
      </c>
      <c r="I1167" s="1175" t="s">
        <v>1625</v>
      </c>
    </row>
    <row r="1168" spans="1:9" ht="18.75">
      <c r="A1168" s="135">
        <v>12919</v>
      </c>
      <c r="B1168" s="478">
        <v>0.1</v>
      </c>
      <c r="C1168" s="770">
        <v>12</v>
      </c>
      <c r="D1168" s="242" t="s">
        <v>754</v>
      </c>
      <c r="E1168" s="243"/>
      <c r="F1168" s="143">
        <v>1400000</v>
      </c>
      <c r="G1168" s="478">
        <v>0.02</v>
      </c>
      <c r="H1168" s="882">
        <f t="shared" si="38"/>
        <v>28000</v>
      </c>
      <c r="I1168" s="1175" t="s">
        <v>1644</v>
      </c>
    </row>
    <row r="1169" spans="1:9" ht="18.75">
      <c r="A1169" s="701">
        <v>12917</v>
      </c>
      <c r="B1169" s="478">
        <v>0.1</v>
      </c>
      <c r="C1169" s="238">
        <v>12</v>
      </c>
      <c r="D1169" s="259" t="s">
        <v>755</v>
      </c>
      <c r="E1169" s="243"/>
      <c r="F1169" s="143">
        <v>1300000</v>
      </c>
      <c r="G1169" s="478">
        <v>0.02</v>
      </c>
      <c r="H1169" s="882">
        <f t="shared" si="38"/>
        <v>26000</v>
      </c>
      <c r="I1169" s="1175" t="s">
        <v>1625</v>
      </c>
    </row>
    <row r="1170" spans="1:9" ht="18.75">
      <c r="A1170" s="701">
        <v>12995</v>
      </c>
      <c r="B1170" s="478">
        <v>0.1</v>
      </c>
      <c r="C1170" s="238">
        <v>12</v>
      </c>
      <c r="D1170" s="259" t="s">
        <v>769</v>
      </c>
      <c r="E1170" s="243"/>
      <c r="F1170" s="143">
        <v>1100000</v>
      </c>
      <c r="G1170" s="478">
        <v>0.02</v>
      </c>
      <c r="H1170" s="882">
        <f t="shared" si="38"/>
        <v>22000</v>
      </c>
      <c r="I1170" s="1175" t="s">
        <v>1625</v>
      </c>
    </row>
    <row r="1171" spans="1:9" ht="18.75">
      <c r="A1171" s="701">
        <v>13029</v>
      </c>
      <c r="B1171" s="478">
        <v>0.1</v>
      </c>
      <c r="C1171" s="238">
        <v>12</v>
      </c>
      <c r="D1171" s="259" t="s">
        <v>770</v>
      </c>
      <c r="E1171" s="888"/>
      <c r="F1171" s="143">
        <v>800000</v>
      </c>
      <c r="G1171" s="478">
        <v>0.02</v>
      </c>
      <c r="H1171" s="882">
        <f t="shared" si="38"/>
        <v>16000</v>
      </c>
      <c r="I1171" s="1175" t="s">
        <v>1645</v>
      </c>
    </row>
    <row r="1172" spans="1:9" ht="18.75">
      <c r="A1172" s="701">
        <v>13040</v>
      </c>
      <c r="B1172" s="478">
        <v>0.1</v>
      </c>
      <c r="C1172" s="238">
        <v>12</v>
      </c>
      <c r="D1172" s="259" t="s">
        <v>758</v>
      </c>
      <c r="E1172" s="888"/>
      <c r="F1172" s="143">
        <v>1400000</v>
      </c>
      <c r="G1172" s="478">
        <v>0.02</v>
      </c>
      <c r="H1172" s="882">
        <f t="shared" si="38"/>
        <v>28000</v>
      </c>
      <c r="I1172" s="1175" t="s">
        <v>1625</v>
      </c>
    </row>
    <row r="1173" spans="1:9" ht="18.75">
      <c r="A1173" s="701">
        <v>13065</v>
      </c>
      <c r="B1173" s="478">
        <v>0.1</v>
      </c>
      <c r="C1173" s="238">
        <v>12</v>
      </c>
      <c r="D1173" s="259" t="s">
        <v>1646</v>
      </c>
      <c r="E1173" s="888"/>
      <c r="F1173" s="143">
        <v>1400000</v>
      </c>
      <c r="G1173" s="478">
        <v>0.02</v>
      </c>
      <c r="H1173" s="882">
        <f t="shared" si="38"/>
        <v>28000</v>
      </c>
      <c r="I1173" s="1175" t="s">
        <v>1625</v>
      </c>
    </row>
    <row r="1174" spans="1:9" ht="18.75">
      <c r="A1174" s="135">
        <v>13069</v>
      </c>
      <c r="B1174" s="478">
        <v>0.1</v>
      </c>
      <c r="C1174" s="238">
        <v>12</v>
      </c>
      <c r="D1174" s="259" t="s">
        <v>1647</v>
      </c>
      <c r="E1174" s="888"/>
      <c r="F1174" s="143">
        <v>1600000</v>
      </c>
      <c r="G1174" s="478">
        <v>0.02</v>
      </c>
      <c r="H1174" s="882">
        <f t="shared" si="38"/>
        <v>32000</v>
      </c>
      <c r="I1174" s="1175" t="s">
        <v>1625</v>
      </c>
    </row>
    <row r="1175" spans="1:9" ht="18.75">
      <c r="A1175" s="135">
        <v>13127</v>
      </c>
      <c r="B1175" s="478">
        <v>0.1</v>
      </c>
      <c r="C1175" s="238">
        <v>12</v>
      </c>
      <c r="D1175" s="259" t="s">
        <v>776</v>
      </c>
      <c r="E1175" s="888"/>
      <c r="F1175" s="143">
        <v>750000</v>
      </c>
      <c r="G1175" s="478">
        <v>0.02</v>
      </c>
      <c r="H1175" s="882">
        <f t="shared" si="38"/>
        <v>15000</v>
      </c>
      <c r="I1175" s="1175" t="s">
        <v>1625</v>
      </c>
    </row>
    <row r="1176" spans="1:9" ht="18.75">
      <c r="A1176" s="747" t="s">
        <v>297</v>
      </c>
      <c r="B1176" s="348"/>
      <c r="C1176" s="814"/>
      <c r="D1176" s="277" t="s">
        <v>793</v>
      </c>
      <c r="E1176" s="941" t="s">
        <v>1648</v>
      </c>
      <c r="F1176" s="308"/>
      <c r="G1176" s="348"/>
      <c r="H1176" s="883"/>
      <c r="I1176" s="1175"/>
    </row>
    <row r="1177" spans="1:9" ht="18.75">
      <c r="A1177" s="211" t="s">
        <v>297</v>
      </c>
      <c r="B1177" s="348"/>
      <c r="C1177" s="814"/>
      <c r="D1177" s="757" t="s">
        <v>795</v>
      </c>
      <c r="E1177" s="941" t="s">
        <v>1649</v>
      </c>
      <c r="F1177" s="308"/>
      <c r="G1177" s="348"/>
      <c r="H1177" s="883"/>
      <c r="I1177" s="1175"/>
    </row>
    <row r="1178" spans="1:9" ht="18.75">
      <c r="A1178" s="211" t="s">
        <v>297</v>
      </c>
      <c r="B1178" s="348"/>
      <c r="C1178" s="814"/>
      <c r="D1178" s="277" t="s">
        <v>1650</v>
      </c>
      <c r="E1178" s="941" t="s">
        <v>696</v>
      </c>
      <c r="F1178" s="308"/>
      <c r="G1178" s="348"/>
      <c r="H1178" s="883"/>
      <c r="I1178" s="1175"/>
    </row>
    <row r="1179" spans="1:9" ht="18.75">
      <c r="A1179" s="593" t="s">
        <v>297</v>
      </c>
      <c r="B1179" s="348"/>
      <c r="C1179" s="936"/>
      <c r="D1179" s="226" t="s">
        <v>781</v>
      </c>
      <c r="E1179" s="938" t="s">
        <v>782</v>
      </c>
      <c r="F1179" s="308"/>
      <c r="G1179" s="348"/>
      <c r="H1179" s="883"/>
      <c r="I1179" s="1175"/>
    </row>
    <row r="1180" spans="1:9" ht="24">
      <c r="A1180" s="1196" t="s">
        <v>297</v>
      </c>
      <c r="B1180" s="267"/>
      <c r="C1180" s="1219"/>
      <c r="D1180" s="226" t="s">
        <v>762</v>
      </c>
      <c r="E1180" s="940" t="s">
        <v>763</v>
      </c>
      <c r="F1180" s="308"/>
      <c r="G1180" s="220"/>
      <c r="H1180" s="883"/>
      <c r="I1180" s="1175"/>
    </row>
    <row r="1181" spans="1:9" ht="18.75">
      <c r="A1181" s="211" t="s">
        <v>297</v>
      </c>
      <c r="B1181" s="267"/>
      <c r="C1181" s="1223"/>
      <c r="D1181" s="757" t="s">
        <v>797</v>
      </c>
      <c r="E1181" s="529" t="s">
        <v>1651</v>
      </c>
      <c r="F1181" s="308"/>
      <c r="G1181" s="220"/>
      <c r="H1181" s="883"/>
      <c r="I1181" s="1175"/>
    </row>
    <row r="1182" spans="1:9" ht="18.75">
      <c r="A1182" s="211" t="s">
        <v>297</v>
      </c>
      <c r="B1182" s="267"/>
      <c r="C1182" s="1223"/>
      <c r="D1182" s="277" t="s">
        <v>1652</v>
      </c>
      <c r="E1182" s="940" t="s">
        <v>792</v>
      </c>
      <c r="F1182" s="308"/>
      <c r="G1182" s="220"/>
      <c r="H1182" s="883"/>
      <c r="I1182" s="1175"/>
    </row>
    <row r="1183" spans="1:9" ht="18.75">
      <c r="A1183" s="235"/>
      <c r="B1183" s="318"/>
      <c r="C1183" s="1224"/>
      <c r="D1183" s="752"/>
      <c r="E1183" s="952"/>
      <c r="F1183" s="261"/>
      <c r="G1183" s="162"/>
      <c r="H1183" s="884"/>
      <c r="I1183" s="1175"/>
    </row>
    <row r="1184" spans="1:9" ht="21">
      <c r="A1184" s="1191"/>
      <c r="B1184" s="1189"/>
      <c r="C1184" s="18"/>
      <c r="D1184" s="752"/>
      <c r="E1184" s="840" t="s">
        <v>80</v>
      </c>
      <c r="F1184" s="1169">
        <f>SUM(F1166:F1183)</f>
        <v>12400000</v>
      </c>
      <c r="G1184" s="973"/>
      <c r="H1184" s="974">
        <f>SUM(H1166:H1183)</f>
        <v>248000</v>
      </c>
      <c r="I1184" s="1175"/>
    </row>
    <row r="1185" spans="1:9">
      <c r="A1185" s="1168"/>
      <c r="B1185" s="1168"/>
      <c r="C1185" s="1168"/>
      <c r="D1185" s="1168"/>
      <c r="E1185" s="32"/>
      <c r="F1185" s="1168"/>
      <c r="G1185" s="32"/>
      <c r="H1185" s="32"/>
      <c r="I1185" s="1650"/>
    </row>
    <row r="1186" spans="1:9">
      <c r="A1186" s="1168"/>
      <c r="B1186" s="1168"/>
      <c r="C1186" s="1168"/>
      <c r="D1186" s="1168"/>
      <c r="E1186" s="32"/>
      <c r="F1186" s="1168"/>
      <c r="G1186" s="32"/>
      <c r="H1186" s="32"/>
      <c r="I1186" s="1650"/>
    </row>
    <row r="1187" spans="1:9" hidden="1">
      <c r="A1187" s="1168"/>
      <c r="B1187" s="1168"/>
      <c r="C1187" s="1168"/>
      <c r="D1187" s="1168"/>
      <c r="E1187" s="32"/>
      <c r="F1187" s="1168"/>
      <c r="G1187" s="32"/>
      <c r="H1187" s="32"/>
      <c r="I1187" s="1650"/>
    </row>
    <row r="1188" spans="1:9" ht="30.75" customHeight="1">
      <c r="A1188" s="1640" t="s">
        <v>1653</v>
      </c>
      <c r="B1188" s="1640"/>
      <c r="C1188" s="1641"/>
      <c r="D1188" s="1640"/>
      <c r="E1188" s="1640"/>
      <c r="F1188" s="1640"/>
      <c r="G1188" s="1640"/>
      <c r="H1188" s="1642"/>
      <c r="I1188" s="1172"/>
    </row>
    <row r="1189" spans="1:9" ht="30.75">
      <c r="A1189" s="45" t="s">
        <v>1463</v>
      </c>
      <c r="B1189" s="646" t="s">
        <v>1497</v>
      </c>
      <c r="C1189" s="132" t="s">
        <v>1465</v>
      </c>
      <c r="D1189" s="647" t="s">
        <v>5</v>
      </c>
      <c r="E1189" s="47" t="s">
        <v>1466</v>
      </c>
      <c r="F1189" s="48" t="s">
        <v>1467</v>
      </c>
      <c r="G1189" s="48" t="s">
        <v>7</v>
      </c>
      <c r="H1189" s="62" t="s">
        <v>1468</v>
      </c>
      <c r="I1189" s="1174" t="s">
        <v>1624</v>
      </c>
    </row>
    <row r="1190" spans="1:9" ht="18.75">
      <c r="A1190" s="701" t="s">
        <v>786</v>
      </c>
      <c r="B1190" s="233">
        <v>0.1</v>
      </c>
      <c r="C1190" s="238">
        <v>12</v>
      </c>
      <c r="D1190" s="136" t="s">
        <v>787</v>
      </c>
      <c r="E1190" s="581"/>
      <c r="F1190" s="558">
        <v>1700000</v>
      </c>
      <c r="G1190" s="138">
        <v>0.04</v>
      </c>
      <c r="H1190" s="882">
        <f>F1190*G1190</f>
        <v>68000</v>
      </c>
      <c r="I1190" s="1175" t="s">
        <v>1625</v>
      </c>
    </row>
    <row r="1191" spans="1:9" ht="18.75">
      <c r="A1191" s="701">
        <v>12918</v>
      </c>
      <c r="B1191" s="233">
        <v>0.1</v>
      </c>
      <c r="C1191" s="238">
        <v>12</v>
      </c>
      <c r="D1191" s="136" t="s">
        <v>765</v>
      </c>
      <c r="E1191" s="581"/>
      <c r="F1191" s="558">
        <v>1400000</v>
      </c>
      <c r="G1191" s="138">
        <v>0.04</v>
      </c>
      <c r="H1191" s="882">
        <f t="shared" ref="H1191:H1202" si="39">F1191*G1191</f>
        <v>56000</v>
      </c>
      <c r="I1191" s="1175" t="s">
        <v>1625</v>
      </c>
    </row>
    <row r="1192" spans="1:9" ht="18.75">
      <c r="A1192" s="701">
        <v>12926</v>
      </c>
      <c r="B1192" s="233">
        <v>0.1</v>
      </c>
      <c r="C1192" s="238">
        <v>12</v>
      </c>
      <c r="D1192" s="136" t="s">
        <v>728</v>
      </c>
      <c r="E1192" s="581"/>
      <c r="F1192" s="558">
        <v>1150000</v>
      </c>
      <c r="G1192" s="138">
        <v>0.04</v>
      </c>
      <c r="H1192" s="882">
        <f t="shared" si="39"/>
        <v>46000</v>
      </c>
      <c r="I1192" s="1175" t="s">
        <v>1625</v>
      </c>
    </row>
    <row r="1193" spans="1:9" ht="18.75">
      <c r="A1193" s="135">
        <v>12951</v>
      </c>
      <c r="B1193" s="233">
        <v>0.1</v>
      </c>
      <c r="C1193" s="238">
        <v>12</v>
      </c>
      <c r="D1193" s="136" t="s">
        <v>731</v>
      </c>
      <c r="E1193" s="581"/>
      <c r="F1193" s="558">
        <v>1500000</v>
      </c>
      <c r="G1193" s="138">
        <v>0.04</v>
      </c>
      <c r="H1193" s="882">
        <f t="shared" si="39"/>
        <v>60000</v>
      </c>
      <c r="I1193" s="1175" t="s">
        <v>1625</v>
      </c>
    </row>
    <row r="1194" spans="1:9" ht="18.75">
      <c r="A1194" s="135">
        <v>12985</v>
      </c>
      <c r="B1194" s="233">
        <v>0.09</v>
      </c>
      <c r="C1194" s="238">
        <v>12</v>
      </c>
      <c r="D1194" s="136" t="s">
        <v>767</v>
      </c>
      <c r="E1194" s="581"/>
      <c r="F1194" s="558">
        <v>1300000</v>
      </c>
      <c r="G1194" s="138">
        <v>0.03</v>
      </c>
      <c r="H1194" s="882">
        <f t="shared" si="39"/>
        <v>39000</v>
      </c>
      <c r="I1194" s="1175" t="s">
        <v>1625</v>
      </c>
    </row>
    <row r="1195" spans="1:9" ht="18.75">
      <c r="A1195" s="701">
        <v>13087</v>
      </c>
      <c r="B1195" s="233">
        <v>0.1</v>
      </c>
      <c r="C1195" s="238">
        <v>12</v>
      </c>
      <c r="D1195" s="136" t="s">
        <v>1654</v>
      </c>
      <c r="E1195" s="581"/>
      <c r="F1195" s="558">
        <v>1100000</v>
      </c>
      <c r="G1195" s="138">
        <v>0.04</v>
      </c>
      <c r="H1195" s="882">
        <f t="shared" si="39"/>
        <v>44000</v>
      </c>
      <c r="I1195" s="1175" t="s">
        <v>1625</v>
      </c>
    </row>
    <row r="1196" spans="1:9" ht="18.75">
      <c r="A1196" s="135">
        <v>13011</v>
      </c>
      <c r="B1196" s="233">
        <v>0.1</v>
      </c>
      <c r="C1196" s="238">
        <v>12</v>
      </c>
      <c r="D1196" s="259" t="s">
        <v>738</v>
      </c>
      <c r="E1196" s="581"/>
      <c r="F1196" s="558">
        <v>1400000</v>
      </c>
      <c r="G1196" s="138">
        <v>0.04</v>
      </c>
      <c r="H1196" s="882">
        <f t="shared" si="39"/>
        <v>56000</v>
      </c>
      <c r="I1196" s="1175" t="s">
        <v>1625</v>
      </c>
    </row>
    <row r="1197" spans="1:9" ht="18.75">
      <c r="A1197" s="135">
        <v>13043</v>
      </c>
      <c r="B1197" s="233">
        <v>0.1</v>
      </c>
      <c r="C1197" s="238">
        <v>12</v>
      </c>
      <c r="D1197" s="259" t="s">
        <v>1655</v>
      </c>
      <c r="E1197" s="581"/>
      <c r="F1197" s="558">
        <v>1000000</v>
      </c>
      <c r="G1197" s="138">
        <v>0.04</v>
      </c>
      <c r="H1197" s="882">
        <f t="shared" si="39"/>
        <v>40000</v>
      </c>
      <c r="I1197" s="1175" t="s">
        <v>1625</v>
      </c>
    </row>
    <row r="1198" spans="1:9" ht="18.75">
      <c r="A1198" s="135">
        <v>13037</v>
      </c>
      <c r="B1198" s="233">
        <v>0.08</v>
      </c>
      <c r="C1198" s="238">
        <v>12</v>
      </c>
      <c r="D1198" s="259" t="s">
        <v>739</v>
      </c>
      <c r="E1198" s="581"/>
      <c r="F1198" s="558">
        <v>1300000</v>
      </c>
      <c r="G1198" s="138">
        <v>0.03</v>
      </c>
      <c r="H1198" s="882">
        <f t="shared" si="39"/>
        <v>39000</v>
      </c>
      <c r="I1198" s="1175" t="s">
        <v>1625</v>
      </c>
    </row>
    <row r="1199" spans="1:9" ht="18.75">
      <c r="A1199" s="135">
        <v>13107</v>
      </c>
      <c r="B1199" s="233">
        <v>0.1</v>
      </c>
      <c r="C1199" s="238">
        <v>12</v>
      </c>
      <c r="D1199" s="259" t="s">
        <v>789</v>
      </c>
      <c r="E1199" s="581"/>
      <c r="F1199" s="558">
        <v>1750000</v>
      </c>
      <c r="G1199" s="138">
        <v>0.04</v>
      </c>
      <c r="H1199" s="882">
        <f t="shared" si="39"/>
        <v>70000</v>
      </c>
      <c r="I1199" s="1175" t="s">
        <v>1625</v>
      </c>
    </row>
    <row r="1200" spans="1:9" ht="18.75">
      <c r="A1200" s="135">
        <v>13075</v>
      </c>
      <c r="B1200" s="233">
        <v>0.1</v>
      </c>
      <c r="C1200" s="238">
        <v>12</v>
      </c>
      <c r="D1200" s="259" t="s">
        <v>1656</v>
      </c>
      <c r="E1200" s="581"/>
      <c r="F1200" s="558">
        <v>750000</v>
      </c>
      <c r="G1200" s="138">
        <v>0.04</v>
      </c>
      <c r="H1200" s="882">
        <f t="shared" si="39"/>
        <v>30000</v>
      </c>
      <c r="I1200" s="1175" t="s">
        <v>1625</v>
      </c>
    </row>
    <row r="1201" spans="1:9" ht="18.75">
      <c r="A1201" s="135">
        <v>13081</v>
      </c>
      <c r="B1201" s="233">
        <v>0.1</v>
      </c>
      <c r="C1201" s="238">
        <v>12</v>
      </c>
      <c r="D1201" s="259" t="s">
        <v>1657</v>
      </c>
      <c r="E1201" s="581"/>
      <c r="F1201" s="558">
        <v>1300000</v>
      </c>
      <c r="G1201" s="138">
        <v>0.04</v>
      </c>
      <c r="H1201" s="882">
        <f t="shared" si="39"/>
        <v>52000</v>
      </c>
      <c r="I1201" s="1175" t="s">
        <v>1625</v>
      </c>
    </row>
    <row r="1202" spans="1:9" ht="18.75">
      <c r="A1202" s="135">
        <v>13114</v>
      </c>
      <c r="B1202" s="233">
        <v>0.1</v>
      </c>
      <c r="C1202" s="238">
        <v>12</v>
      </c>
      <c r="D1202" s="259" t="s">
        <v>729</v>
      </c>
      <c r="E1202" s="581"/>
      <c r="F1202" s="558">
        <v>1100000</v>
      </c>
      <c r="G1202" s="138">
        <v>0.04</v>
      </c>
      <c r="H1202" s="882">
        <f t="shared" si="39"/>
        <v>44000</v>
      </c>
      <c r="I1202" s="1175" t="s">
        <v>1625</v>
      </c>
    </row>
    <row r="1203" spans="1:9" ht="30.75">
      <c r="A1203" s="211" t="s">
        <v>297</v>
      </c>
      <c r="B1203" s="267"/>
      <c r="C1203" s="814"/>
      <c r="D1203" s="277" t="s">
        <v>777</v>
      </c>
      <c r="E1203" s="920" t="s">
        <v>778</v>
      </c>
      <c r="F1203" s="889"/>
      <c r="G1203" s="220"/>
      <c r="H1203" s="883"/>
      <c r="I1203" s="1175"/>
    </row>
    <row r="1204" spans="1:9" ht="18.75">
      <c r="A1204" s="211" t="s">
        <v>1071</v>
      </c>
      <c r="B1204" s="267">
        <v>0.1</v>
      </c>
      <c r="C1204" s="814">
        <v>12</v>
      </c>
      <c r="D1204" s="757" t="s">
        <v>1658</v>
      </c>
      <c r="E1204" s="567" t="s">
        <v>1659</v>
      </c>
      <c r="F1204" s="889"/>
      <c r="G1204" s="220"/>
      <c r="H1204" s="883"/>
      <c r="I1204" s="1175"/>
    </row>
    <row r="1205" spans="1:9" ht="18.75">
      <c r="A1205" s="1188"/>
      <c r="B1205" s="318"/>
      <c r="C1205" s="792"/>
      <c r="D1205" s="262"/>
      <c r="E1205" s="982" t="s">
        <v>1660</v>
      </c>
      <c r="F1205" s="261"/>
      <c r="G1205" s="659"/>
      <c r="H1205" s="983">
        <v>100000</v>
      </c>
      <c r="I1205" s="1175"/>
    </row>
    <row r="1206" spans="1:9" ht="20.25">
      <c r="A1206" s="163"/>
      <c r="B1206" s="318"/>
      <c r="C1206" s="792"/>
      <c r="D1206" s="262"/>
      <c r="E1206" s="947" t="s">
        <v>80</v>
      </c>
      <c r="F1206" s="867">
        <f>SUM(F1190:F1205)</f>
        <v>16750000</v>
      </c>
      <c r="G1206" s="908"/>
      <c r="H1206" s="863">
        <f>SUM(H1190:H1205)</f>
        <v>744000</v>
      </c>
      <c r="I1206" s="1175"/>
    </row>
    <row r="1207" spans="1:9" ht="26.25">
      <c r="A1207" s="1645"/>
      <c r="B1207" s="1645"/>
      <c r="C1207" s="1645"/>
      <c r="D1207" s="1645"/>
      <c r="E1207" s="1645"/>
      <c r="F1207" s="1645"/>
      <c r="G1207" s="1645"/>
      <c r="H1207" s="1645"/>
      <c r="I1207" s="1650"/>
    </row>
    <row r="1208" spans="1:9" ht="26.25">
      <c r="A1208" s="797"/>
      <c r="B1208" s="797"/>
      <c r="C1208" s="797"/>
      <c r="D1208" s="797"/>
      <c r="E1208" s="797"/>
      <c r="F1208" s="797"/>
      <c r="G1208" s="797"/>
      <c r="H1208" s="797"/>
      <c r="I1208" s="1650"/>
    </row>
    <row r="1209" spans="1:9" ht="26.25">
      <c r="A1209" s="1640" t="s">
        <v>1661</v>
      </c>
      <c r="B1209" s="1640"/>
      <c r="C1209" s="1640"/>
      <c r="D1209" s="1640"/>
      <c r="E1209" s="1640"/>
      <c r="F1209" s="1640"/>
      <c r="G1209" s="1640"/>
      <c r="H1209" s="1642"/>
      <c r="I1209" s="1172"/>
    </row>
    <row r="1210" spans="1:9" ht="30.75">
      <c r="A1210" s="45" t="s">
        <v>1463</v>
      </c>
      <c r="B1210" s="646" t="s">
        <v>1497</v>
      </c>
      <c r="C1210" s="251" t="s">
        <v>1465</v>
      </c>
      <c r="D1210" s="647" t="s">
        <v>5</v>
      </c>
      <c r="E1210" s="47" t="s">
        <v>1466</v>
      </c>
      <c r="F1210" s="48" t="s">
        <v>1467</v>
      </c>
      <c r="G1210" s="48" t="s">
        <v>7</v>
      </c>
      <c r="H1210" s="62" t="s">
        <v>1468</v>
      </c>
      <c r="I1210" s="1174" t="s">
        <v>1624</v>
      </c>
    </row>
    <row r="1211" spans="1:9" ht="18.75">
      <c r="A1211" s="701">
        <v>12927</v>
      </c>
      <c r="B1211" s="233">
        <v>0.1</v>
      </c>
      <c r="C1211" s="891">
        <v>12</v>
      </c>
      <c r="D1211" s="259" t="s">
        <v>730</v>
      </c>
      <c r="E1211" s="581"/>
      <c r="F1211" s="558">
        <v>1150000</v>
      </c>
      <c r="G1211" s="138">
        <v>0.05</v>
      </c>
      <c r="H1211" s="882">
        <f>F1211*G1211</f>
        <v>57500</v>
      </c>
      <c r="I1211" s="1175" t="s">
        <v>1625</v>
      </c>
    </row>
    <row r="1212" spans="1:9" ht="18.75">
      <c r="A1212" s="135" t="s">
        <v>725</v>
      </c>
      <c r="B1212" s="233">
        <v>0.1</v>
      </c>
      <c r="C1212" s="891">
        <v>12</v>
      </c>
      <c r="D1212" s="259" t="s">
        <v>726</v>
      </c>
      <c r="E1212" s="581"/>
      <c r="F1212" s="558">
        <v>1250000</v>
      </c>
      <c r="G1212" s="138">
        <v>0.05</v>
      </c>
      <c r="H1212" s="882">
        <f t="shared" ref="H1212:H1226" si="40">F1212*G1212</f>
        <v>62500</v>
      </c>
      <c r="I1212" s="1175" t="s">
        <v>1625</v>
      </c>
    </row>
    <row r="1213" spans="1:9" ht="18.75">
      <c r="A1213" s="701">
        <v>12946</v>
      </c>
      <c r="B1213" s="233">
        <v>0.09</v>
      </c>
      <c r="C1213" s="891">
        <v>12</v>
      </c>
      <c r="D1213" s="259" t="s">
        <v>733</v>
      </c>
      <c r="E1213" s="581"/>
      <c r="F1213" s="558">
        <v>1300000</v>
      </c>
      <c r="G1213" s="140">
        <v>0.04</v>
      </c>
      <c r="H1213" s="882">
        <f t="shared" si="40"/>
        <v>52000</v>
      </c>
      <c r="I1213" s="1175" t="s">
        <v>1625</v>
      </c>
    </row>
    <row r="1214" spans="1:9" ht="18.75">
      <c r="A1214" s="135">
        <v>12947</v>
      </c>
      <c r="B1214" s="233">
        <v>0.08</v>
      </c>
      <c r="C1214" s="891">
        <v>12</v>
      </c>
      <c r="D1214" s="259" t="s">
        <v>756</v>
      </c>
      <c r="E1214" s="581"/>
      <c r="F1214" s="558">
        <v>1700000</v>
      </c>
      <c r="G1214" s="140">
        <v>0.04</v>
      </c>
      <c r="H1214" s="882">
        <f t="shared" si="40"/>
        <v>68000</v>
      </c>
      <c r="I1214" s="1175" t="s">
        <v>1625</v>
      </c>
    </row>
    <row r="1215" spans="1:9" ht="18.75">
      <c r="A1215" s="701">
        <v>12931</v>
      </c>
      <c r="B1215" s="233">
        <v>0.1</v>
      </c>
      <c r="C1215" s="891">
        <v>12</v>
      </c>
      <c r="D1215" s="259" t="s">
        <v>732</v>
      </c>
      <c r="E1215" s="581"/>
      <c r="F1215" s="558">
        <v>800000</v>
      </c>
      <c r="G1215" s="138">
        <v>0.05</v>
      </c>
      <c r="H1215" s="882">
        <f t="shared" si="40"/>
        <v>40000</v>
      </c>
      <c r="I1215" s="1175" t="s">
        <v>1625</v>
      </c>
    </row>
    <row r="1216" spans="1:9" ht="18.75">
      <c r="A1216" s="701">
        <v>12959</v>
      </c>
      <c r="B1216" s="233">
        <v>0.1</v>
      </c>
      <c r="C1216" s="891">
        <v>12</v>
      </c>
      <c r="D1216" s="259" t="s">
        <v>734</v>
      </c>
      <c r="E1216" s="581"/>
      <c r="F1216" s="558">
        <v>1650000</v>
      </c>
      <c r="G1216" s="138">
        <v>0.05</v>
      </c>
      <c r="H1216" s="882">
        <f t="shared" si="40"/>
        <v>82500</v>
      </c>
      <c r="I1216" s="1175" t="s">
        <v>1625</v>
      </c>
    </row>
    <row r="1217" spans="1:9" ht="18.75">
      <c r="A1217" s="701">
        <v>12971</v>
      </c>
      <c r="B1217" s="233">
        <v>0.1</v>
      </c>
      <c r="C1217" s="891">
        <v>12</v>
      </c>
      <c r="D1217" s="259" t="s">
        <v>766</v>
      </c>
      <c r="E1217" s="581"/>
      <c r="F1217" s="558">
        <v>1350000</v>
      </c>
      <c r="G1217" s="138">
        <v>0.05</v>
      </c>
      <c r="H1217" s="882">
        <f t="shared" si="40"/>
        <v>67500</v>
      </c>
      <c r="I1217" s="1175" t="s">
        <v>1625</v>
      </c>
    </row>
    <row r="1218" spans="1:9" ht="18.75">
      <c r="A1218" s="135">
        <v>13000</v>
      </c>
      <c r="B1218" s="233">
        <v>0.1</v>
      </c>
      <c r="C1218" s="891">
        <v>12</v>
      </c>
      <c r="D1218" s="259" t="s">
        <v>735</v>
      </c>
      <c r="E1218" s="581"/>
      <c r="F1218" s="558">
        <v>2700000</v>
      </c>
      <c r="G1218" s="138">
        <v>0.05</v>
      </c>
      <c r="H1218" s="882">
        <f t="shared" si="40"/>
        <v>135000</v>
      </c>
      <c r="I1218" s="1175" t="s">
        <v>1625</v>
      </c>
    </row>
    <row r="1219" spans="1:9" ht="18.75">
      <c r="A1219" s="135">
        <v>13003</v>
      </c>
      <c r="B1219" s="233">
        <v>0.1</v>
      </c>
      <c r="C1219" s="891">
        <v>12</v>
      </c>
      <c r="D1219" s="259" t="s">
        <v>1662</v>
      </c>
      <c r="E1219" s="581"/>
      <c r="F1219" s="558">
        <v>1200000</v>
      </c>
      <c r="G1219" s="138">
        <v>0.05</v>
      </c>
      <c r="H1219" s="882">
        <f t="shared" si="40"/>
        <v>60000</v>
      </c>
      <c r="I1219" s="1175" t="s">
        <v>1625</v>
      </c>
    </row>
    <row r="1220" spans="1:9" ht="18.75">
      <c r="A1220" s="135">
        <v>13006</v>
      </c>
      <c r="B1220" s="233">
        <v>0.1</v>
      </c>
      <c r="C1220" s="891">
        <v>12</v>
      </c>
      <c r="D1220" s="259" t="s">
        <v>1663</v>
      </c>
      <c r="E1220" s="581"/>
      <c r="F1220" s="558">
        <v>1400000</v>
      </c>
      <c r="G1220" s="138">
        <v>0.05</v>
      </c>
      <c r="H1220" s="882">
        <f t="shared" si="40"/>
        <v>70000</v>
      </c>
      <c r="I1220" s="1175" t="s">
        <v>1664</v>
      </c>
    </row>
    <row r="1221" spans="1:9" ht="18.75">
      <c r="A1221" s="135">
        <v>13045</v>
      </c>
      <c r="B1221" s="233">
        <v>0.1</v>
      </c>
      <c r="C1221" s="891">
        <v>12</v>
      </c>
      <c r="D1221" s="259" t="s">
        <v>742</v>
      </c>
      <c r="E1221" s="581"/>
      <c r="F1221" s="558">
        <v>1650000</v>
      </c>
      <c r="G1221" s="138">
        <v>0.05</v>
      </c>
      <c r="H1221" s="882">
        <f t="shared" si="40"/>
        <v>82500</v>
      </c>
      <c r="I1221" s="1175" t="s">
        <v>1625</v>
      </c>
    </row>
    <row r="1222" spans="1:9" ht="18.75">
      <c r="A1222" s="135">
        <v>13047</v>
      </c>
      <c r="B1222" s="233">
        <v>0.1</v>
      </c>
      <c r="C1222" s="891">
        <v>12</v>
      </c>
      <c r="D1222" s="259" t="s">
        <v>771</v>
      </c>
      <c r="E1222" s="581"/>
      <c r="F1222" s="558">
        <v>1400000</v>
      </c>
      <c r="G1222" s="138">
        <v>0.05</v>
      </c>
      <c r="H1222" s="882">
        <f t="shared" si="40"/>
        <v>70000</v>
      </c>
      <c r="I1222" s="1175" t="s">
        <v>1625</v>
      </c>
    </row>
    <row r="1223" spans="1:9" ht="18.75">
      <c r="A1223" s="135">
        <v>13052</v>
      </c>
      <c r="B1223" s="233">
        <v>0.1</v>
      </c>
      <c r="C1223" s="891">
        <v>12</v>
      </c>
      <c r="D1223" s="651" t="s">
        <v>740</v>
      </c>
      <c r="E1223" s="581"/>
      <c r="F1223" s="558">
        <v>1450000</v>
      </c>
      <c r="G1223" s="138">
        <v>0.05</v>
      </c>
      <c r="H1223" s="882">
        <f t="shared" si="40"/>
        <v>72500</v>
      </c>
      <c r="I1223" s="1175" t="s">
        <v>1625</v>
      </c>
    </row>
    <row r="1224" spans="1:9" ht="18.75">
      <c r="A1224" s="135">
        <v>13091</v>
      </c>
      <c r="B1224" s="233">
        <v>0.08</v>
      </c>
      <c r="C1224" s="891">
        <v>12</v>
      </c>
      <c r="D1224" s="259" t="s">
        <v>1665</v>
      </c>
      <c r="E1224" s="581"/>
      <c r="F1224" s="558">
        <v>1600000</v>
      </c>
      <c r="G1224" s="140">
        <v>0.04</v>
      </c>
      <c r="H1224" s="882">
        <f t="shared" si="40"/>
        <v>64000</v>
      </c>
      <c r="I1224" s="1175" t="s">
        <v>1625</v>
      </c>
    </row>
    <row r="1225" spans="1:9" ht="18.75">
      <c r="A1225" s="135">
        <v>13113</v>
      </c>
      <c r="B1225" s="233">
        <v>0.1</v>
      </c>
      <c r="C1225" s="891">
        <v>12</v>
      </c>
      <c r="D1225" s="259" t="s">
        <v>744</v>
      </c>
      <c r="E1225" s="581"/>
      <c r="F1225" s="558">
        <v>1000000</v>
      </c>
      <c r="G1225" s="478">
        <v>0.05</v>
      </c>
      <c r="H1225" s="882">
        <f t="shared" si="40"/>
        <v>50000</v>
      </c>
      <c r="I1225" s="1175" t="s">
        <v>1625</v>
      </c>
    </row>
    <row r="1226" spans="1:9" ht="18.75">
      <c r="A1226" s="135">
        <v>13122</v>
      </c>
      <c r="B1226" s="233">
        <v>0.1</v>
      </c>
      <c r="C1226" s="891">
        <v>12</v>
      </c>
      <c r="D1226" s="259" t="s">
        <v>1666</v>
      </c>
      <c r="E1226" s="581"/>
      <c r="F1226" s="558">
        <v>1500000</v>
      </c>
      <c r="G1226" s="138">
        <v>0.05</v>
      </c>
      <c r="H1226" s="882">
        <f t="shared" si="40"/>
        <v>75000</v>
      </c>
      <c r="I1226" s="1175" t="s">
        <v>1625</v>
      </c>
    </row>
    <row r="1227" spans="1:9" ht="18.75">
      <c r="A1227" s="211" t="s">
        <v>297</v>
      </c>
      <c r="B1227" s="267"/>
      <c r="C1227" s="1225"/>
      <c r="D1227" s="757" t="s">
        <v>748</v>
      </c>
      <c r="E1227" s="567" t="s">
        <v>749</v>
      </c>
      <c r="F1227" s="889"/>
      <c r="G1227" s="220"/>
      <c r="H1227" s="883"/>
      <c r="I1227" s="1175"/>
    </row>
    <row r="1228" spans="1:9" ht="18.75">
      <c r="A1228" s="211" t="s">
        <v>297</v>
      </c>
      <c r="B1228" s="267"/>
      <c r="C1228" s="1225"/>
      <c r="D1228" s="757" t="s">
        <v>760</v>
      </c>
      <c r="E1228" s="567" t="s">
        <v>761</v>
      </c>
      <c r="F1228" s="889"/>
      <c r="G1228" s="220"/>
      <c r="H1228" s="883"/>
      <c r="I1228" s="1175"/>
    </row>
    <row r="1229" spans="1:9" ht="18.75">
      <c r="A1229" s="163"/>
      <c r="B1229" s="318"/>
      <c r="C1229" s="1131"/>
      <c r="D1229" s="266"/>
      <c r="E1229" s="787"/>
      <c r="F1229" s="793"/>
      <c r="G1229" s="162"/>
      <c r="H1229" s="884"/>
      <c r="I1229" s="1175"/>
    </row>
    <row r="1230" spans="1:9" ht="20.25">
      <c r="A1230" s="163"/>
      <c r="B1230" s="318"/>
      <c r="C1230" s="1131"/>
      <c r="D1230" s="266"/>
      <c r="E1230" s="947" t="s">
        <v>80</v>
      </c>
      <c r="F1230" s="867">
        <f>SUM(F1211:F1226)</f>
        <v>23100000</v>
      </c>
      <c r="G1230" s="908"/>
      <c r="H1230" s="863">
        <f>SUM(H1211:H1229)</f>
        <v>1109000</v>
      </c>
      <c r="I1230" s="1175"/>
    </row>
    <row r="1231" spans="1:9">
      <c r="A1231" s="1646"/>
      <c r="B1231" s="1646"/>
      <c r="C1231" s="1646"/>
      <c r="D1231" s="1646"/>
      <c r="E1231" s="1646"/>
      <c r="F1231" s="1646"/>
      <c r="G1231" s="1646"/>
      <c r="H1231" s="1646"/>
      <c r="I1231" s="1646"/>
    </row>
    <row r="1232" spans="1:9">
      <c r="A1232" s="1654"/>
      <c r="B1232" s="1654"/>
      <c r="C1232" s="1654"/>
      <c r="D1232" s="1654"/>
      <c r="E1232" s="1654"/>
      <c r="F1232" s="1654"/>
      <c r="G1232" s="1654"/>
      <c r="H1232" s="1654"/>
      <c r="I1232" s="1654"/>
    </row>
    <row r="1233" spans="1:8" ht="26.25">
      <c r="A1233" s="1640" t="s">
        <v>1667</v>
      </c>
      <c r="B1233" s="1640"/>
      <c r="C1233" s="1641"/>
      <c r="D1233" s="1640"/>
      <c r="E1233" s="1640"/>
      <c r="F1233" s="1640"/>
      <c r="G1233" s="1640"/>
      <c r="H1233" s="1640"/>
    </row>
    <row r="1234" spans="1:8" ht="30.75">
      <c r="A1234" s="45" t="s">
        <v>1463</v>
      </c>
      <c r="B1234" s="646" t="s">
        <v>1497</v>
      </c>
      <c r="C1234" s="132" t="s">
        <v>1465</v>
      </c>
      <c r="D1234" s="647" t="s">
        <v>5</v>
      </c>
      <c r="E1234" s="47" t="s">
        <v>1466</v>
      </c>
      <c r="F1234" s="48" t="s">
        <v>1467</v>
      </c>
      <c r="G1234" s="48" t="s">
        <v>7</v>
      </c>
      <c r="H1234" s="48" t="s">
        <v>1468</v>
      </c>
    </row>
    <row r="1235" spans="1:8" ht="18.75">
      <c r="A1235" s="701">
        <v>12903</v>
      </c>
      <c r="B1235" s="478">
        <v>0.1</v>
      </c>
      <c r="C1235" s="238">
        <v>12</v>
      </c>
      <c r="D1235" s="259" t="s">
        <v>1643</v>
      </c>
      <c r="E1235" s="243"/>
      <c r="F1235" s="143">
        <v>1250000</v>
      </c>
      <c r="G1235" s="138">
        <v>0.02</v>
      </c>
      <c r="H1235" s="139">
        <f>F1235*G1235</f>
        <v>25000</v>
      </c>
    </row>
    <row r="1236" spans="1:8" ht="18.75">
      <c r="A1236" s="135">
        <v>12905</v>
      </c>
      <c r="B1236" s="478">
        <v>0.1</v>
      </c>
      <c r="C1236" s="238">
        <v>12</v>
      </c>
      <c r="D1236" s="259" t="s">
        <v>727</v>
      </c>
      <c r="E1236" s="243"/>
      <c r="F1236" s="143">
        <v>1400000</v>
      </c>
      <c r="G1236" s="138">
        <v>0.02</v>
      </c>
      <c r="H1236" s="139">
        <f t="shared" ref="H1236:H1273" si="41">F1236*G1236</f>
        <v>28000</v>
      </c>
    </row>
    <row r="1237" spans="1:8" ht="18.75">
      <c r="A1237" s="135">
        <v>12919</v>
      </c>
      <c r="B1237" s="478">
        <v>0.1</v>
      </c>
      <c r="C1237" s="770">
        <v>12</v>
      </c>
      <c r="D1237" s="242" t="s">
        <v>754</v>
      </c>
      <c r="E1237" s="243"/>
      <c r="F1237" s="143">
        <v>1400000</v>
      </c>
      <c r="G1237" s="138">
        <v>0.02</v>
      </c>
      <c r="H1237" s="139">
        <f t="shared" si="41"/>
        <v>28000</v>
      </c>
    </row>
    <row r="1238" spans="1:8" ht="18.75">
      <c r="A1238" s="701">
        <v>12917</v>
      </c>
      <c r="B1238" s="478">
        <v>0.1</v>
      </c>
      <c r="C1238" s="238">
        <v>12</v>
      </c>
      <c r="D1238" s="259" t="s">
        <v>755</v>
      </c>
      <c r="E1238" s="243"/>
      <c r="F1238" s="143">
        <v>1300000</v>
      </c>
      <c r="G1238" s="138">
        <v>0.02</v>
      </c>
      <c r="H1238" s="139">
        <f t="shared" si="41"/>
        <v>26000</v>
      </c>
    </row>
    <row r="1239" spans="1:8" ht="18.75">
      <c r="A1239" s="701">
        <v>12995</v>
      </c>
      <c r="B1239" s="478">
        <v>0.1</v>
      </c>
      <c r="C1239" s="238">
        <v>12</v>
      </c>
      <c r="D1239" s="259" t="s">
        <v>769</v>
      </c>
      <c r="E1239" s="243"/>
      <c r="F1239" s="143">
        <v>1100000</v>
      </c>
      <c r="G1239" s="138">
        <v>0.02</v>
      </c>
      <c r="H1239" s="139">
        <f t="shared" si="41"/>
        <v>22000</v>
      </c>
    </row>
    <row r="1240" spans="1:8" ht="18.75">
      <c r="A1240" s="701">
        <v>13029</v>
      </c>
      <c r="B1240" s="478">
        <v>0.1</v>
      </c>
      <c r="C1240" s="238">
        <v>12</v>
      </c>
      <c r="D1240" s="259" t="s">
        <v>770</v>
      </c>
      <c r="E1240" s="888"/>
      <c r="F1240" s="143">
        <v>800000</v>
      </c>
      <c r="G1240" s="138">
        <v>0.02</v>
      </c>
      <c r="H1240" s="139">
        <f t="shared" si="41"/>
        <v>16000</v>
      </c>
    </row>
    <row r="1241" spans="1:8" ht="18.75">
      <c r="A1241" s="701">
        <v>13040</v>
      </c>
      <c r="B1241" s="478">
        <v>0.1</v>
      </c>
      <c r="C1241" s="238">
        <v>12</v>
      </c>
      <c r="D1241" s="259" t="s">
        <v>758</v>
      </c>
      <c r="E1241" s="888"/>
      <c r="F1241" s="143">
        <v>1400000</v>
      </c>
      <c r="G1241" s="138">
        <v>0.02</v>
      </c>
      <c r="H1241" s="139">
        <f t="shared" si="41"/>
        <v>28000</v>
      </c>
    </row>
    <row r="1242" spans="1:8" ht="18.75">
      <c r="A1242" s="701">
        <v>13065</v>
      </c>
      <c r="B1242" s="478">
        <v>0.1</v>
      </c>
      <c r="C1242" s="238">
        <v>12</v>
      </c>
      <c r="D1242" s="259" t="s">
        <v>1646</v>
      </c>
      <c r="E1242" s="888"/>
      <c r="F1242" s="143">
        <v>1400000</v>
      </c>
      <c r="G1242" s="138">
        <v>0.02</v>
      </c>
      <c r="H1242" s="139">
        <f t="shared" si="41"/>
        <v>28000</v>
      </c>
    </row>
    <row r="1243" spans="1:8" ht="18.75">
      <c r="A1243" s="135">
        <v>13069</v>
      </c>
      <c r="B1243" s="478">
        <v>0.1</v>
      </c>
      <c r="C1243" s="238">
        <v>12</v>
      </c>
      <c r="D1243" s="259" t="s">
        <v>1647</v>
      </c>
      <c r="E1243" s="888"/>
      <c r="F1243" s="143">
        <v>1600000</v>
      </c>
      <c r="G1243" s="138">
        <v>0.02</v>
      </c>
      <c r="H1243" s="139">
        <f t="shared" si="41"/>
        <v>32000</v>
      </c>
    </row>
    <row r="1244" spans="1:8" ht="18.75">
      <c r="A1244" s="701" t="s">
        <v>786</v>
      </c>
      <c r="B1244" s="233">
        <v>0.1</v>
      </c>
      <c r="C1244" s="238">
        <v>12</v>
      </c>
      <c r="D1244" s="136" t="s">
        <v>787</v>
      </c>
      <c r="E1244" s="581"/>
      <c r="F1244" s="558">
        <v>1700000</v>
      </c>
      <c r="G1244" s="138">
        <v>0.02</v>
      </c>
      <c r="H1244" s="139">
        <f t="shared" si="41"/>
        <v>34000</v>
      </c>
    </row>
    <row r="1245" spans="1:8" ht="18.75">
      <c r="A1245" s="701">
        <v>12918</v>
      </c>
      <c r="B1245" s="233">
        <v>0.1</v>
      </c>
      <c r="C1245" s="238">
        <v>12</v>
      </c>
      <c r="D1245" s="136" t="s">
        <v>765</v>
      </c>
      <c r="E1245" s="581"/>
      <c r="F1245" s="558">
        <v>1400000</v>
      </c>
      <c r="G1245" s="138">
        <v>0.02</v>
      </c>
      <c r="H1245" s="139">
        <f t="shared" si="41"/>
        <v>28000</v>
      </c>
    </row>
    <row r="1246" spans="1:8" ht="18.75">
      <c r="A1246" s="701">
        <v>12926</v>
      </c>
      <c r="B1246" s="233">
        <v>0.1</v>
      </c>
      <c r="C1246" s="238">
        <v>12</v>
      </c>
      <c r="D1246" s="136" t="s">
        <v>728</v>
      </c>
      <c r="E1246" s="581"/>
      <c r="F1246" s="558">
        <v>1150000</v>
      </c>
      <c r="G1246" s="138">
        <v>0.02</v>
      </c>
      <c r="H1246" s="139">
        <f t="shared" si="41"/>
        <v>23000</v>
      </c>
    </row>
    <row r="1247" spans="1:8" ht="18.75">
      <c r="A1247" s="135">
        <v>12951</v>
      </c>
      <c r="B1247" s="233">
        <v>0.1</v>
      </c>
      <c r="C1247" s="238">
        <v>12</v>
      </c>
      <c r="D1247" s="136" t="s">
        <v>731</v>
      </c>
      <c r="E1247" s="581"/>
      <c r="F1247" s="558">
        <v>1500000</v>
      </c>
      <c r="G1247" s="138">
        <v>0.02</v>
      </c>
      <c r="H1247" s="139">
        <f t="shared" si="41"/>
        <v>30000</v>
      </c>
    </row>
    <row r="1248" spans="1:8" ht="18.75">
      <c r="A1248" s="135">
        <v>12985</v>
      </c>
      <c r="B1248" s="233">
        <v>0.09</v>
      </c>
      <c r="C1248" s="238">
        <v>12</v>
      </c>
      <c r="D1248" s="136" t="s">
        <v>767</v>
      </c>
      <c r="E1248" s="581"/>
      <c r="F1248" s="558">
        <v>1300000</v>
      </c>
      <c r="G1248" s="140">
        <v>0.01</v>
      </c>
      <c r="H1248" s="139">
        <f t="shared" si="41"/>
        <v>13000</v>
      </c>
    </row>
    <row r="1249" spans="1:8" ht="18.75">
      <c r="A1249" s="701">
        <v>13087</v>
      </c>
      <c r="B1249" s="233">
        <v>0.1</v>
      </c>
      <c r="C1249" s="238">
        <v>12</v>
      </c>
      <c r="D1249" s="136" t="s">
        <v>1668</v>
      </c>
      <c r="E1249" s="581"/>
      <c r="F1249" s="558">
        <v>1100000</v>
      </c>
      <c r="G1249" s="138">
        <v>0.02</v>
      </c>
      <c r="H1249" s="139">
        <f t="shared" si="41"/>
        <v>22000</v>
      </c>
    </row>
    <row r="1250" spans="1:8" ht="18.75">
      <c r="A1250" s="135">
        <v>13011</v>
      </c>
      <c r="B1250" s="233">
        <v>0.1</v>
      </c>
      <c r="C1250" s="238">
        <v>12</v>
      </c>
      <c r="D1250" s="259" t="s">
        <v>738</v>
      </c>
      <c r="E1250" s="581"/>
      <c r="F1250" s="558">
        <v>1400000</v>
      </c>
      <c r="G1250" s="138">
        <v>0.02</v>
      </c>
      <c r="H1250" s="139">
        <f t="shared" si="41"/>
        <v>28000</v>
      </c>
    </row>
    <row r="1251" spans="1:8" ht="18.75">
      <c r="A1251" s="135">
        <v>13043</v>
      </c>
      <c r="B1251" s="233">
        <v>0.1</v>
      </c>
      <c r="C1251" s="238">
        <v>12</v>
      </c>
      <c r="D1251" s="259" t="s">
        <v>1669</v>
      </c>
      <c r="E1251" s="581"/>
      <c r="F1251" s="558">
        <v>1000000</v>
      </c>
      <c r="G1251" s="138">
        <v>0.02</v>
      </c>
      <c r="H1251" s="139">
        <f t="shared" si="41"/>
        <v>20000</v>
      </c>
    </row>
    <row r="1252" spans="1:8" ht="18.75">
      <c r="A1252" s="135">
        <v>13037</v>
      </c>
      <c r="B1252" s="233">
        <v>0.08</v>
      </c>
      <c r="C1252" s="238">
        <v>12</v>
      </c>
      <c r="D1252" s="259" t="s">
        <v>739</v>
      </c>
      <c r="E1252" s="581"/>
      <c r="F1252" s="558">
        <v>1300000</v>
      </c>
      <c r="G1252" s="140">
        <v>0.01</v>
      </c>
      <c r="H1252" s="139">
        <f t="shared" si="41"/>
        <v>13000</v>
      </c>
    </row>
    <row r="1253" spans="1:8" ht="18.75">
      <c r="A1253" s="135">
        <v>13107</v>
      </c>
      <c r="B1253" s="233">
        <v>0.1</v>
      </c>
      <c r="C1253" s="238">
        <v>12</v>
      </c>
      <c r="D1253" s="259" t="s">
        <v>789</v>
      </c>
      <c r="E1253" s="581"/>
      <c r="F1253" s="558">
        <v>1750000</v>
      </c>
      <c r="G1253" s="138">
        <v>0.02</v>
      </c>
      <c r="H1253" s="139">
        <f t="shared" si="41"/>
        <v>35000</v>
      </c>
    </row>
    <row r="1254" spans="1:8" ht="18.75">
      <c r="A1254" s="135">
        <v>13075</v>
      </c>
      <c r="B1254" s="233">
        <v>0.1</v>
      </c>
      <c r="C1254" s="238">
        <v>12</v>
      </c>
      <c r="D1254" s="259" t="s">
        <v>1670</v>
      </c>
      <c r="E1254" s="581"/>
      <c r="F1254" s="558">
        <v>750000</v>
      </c>
      <c r="G1254" s="138">
        <v>0.02</v>
      </c>
      <c r="H1254" s="139">
        <f t="shared" si="41"/>
        <v>15000</v>
      </c>
    </row>
    <row r="1255" spans="1:8" ht="18.75">
      <c r="A1255" s="135">
        <v>13081</v>
      </c>
      <c r="B1255" s="233">
        <v>0.1</v>
      </c>
      <c r="C1255" s="238">
        <v>12</v>
      </c>
      <c r="D1255" s="259" t="s">
        <v>1657</v>
      </c>
      <c r="E1255" s="581"/>
      <c r="F1255" s="558">
        <v>1300000</v>
      </c>
      <c r="G1255" s="138">
        <v>0.02</v>
      </c>
      <c r="H1255" s="139">
        <f t="shared" si="41"/>
        <v>26000</v>
      </c>
    </row>
    <row r="1256" spans="1:8" ht="18.75">
      <c r="A1256" s="135">
        <v>13114</v>
      </c>
      <c r="B1256" s="233">
        <v>0.1</v>
      </c>
      <c r="C1256" s="238">
        <v>12</v>
      </c>
      <c r="D1256" s="259" t="s">
        <v>729</v>
      </c>
      <c r="E1256" s="581"/>
      <c r="F1256" s="558">
        <v>1100000</v>
      </c>
      <c r="G1256" s="138">
        <v>0.02</v>
      </c>
      <c r="H1256" s="139">
        <f t="shared" si="41"/>
        <v>22000</v>
      </c>
    </row>
    <row r="1257" spans="1:8" ht="18.75">
      <c r="A1257" s="701">
        <v>12927</v>
      </c>
      <c r="B1257" s="233">
        <v>0.1</v>
      </c>
      <c r="C1257" s="891">
        <v>12</v>
      </c>
      <c r="D1257" s="259" t="s">
        <v>730</v>
      </c>
      <c r="E1257" s="581"/>
      <c r="F1257" s="558">
        <v>1150000</v>
      </c>
      <c r="G1257" s="138">
        <v>0.02</v>
      </c>
      <c r="H1257" s="139">
        <f t="shared" si="41"/>
        <v>23000</v>
      </c>
    </row>
    <row r="1258" spans="1:8" ht="18.75">
      <c r="A1258" s="135" t="s">
        <v>725</v>
      </c>
      <c r="B1258" s="233">
        <v>0.1</v>
      </c>
      <c r="C1258" s="891">
        <v>12</v>
      </c>
      <c r="D1258" s="259" t="s">
        <v>726</v>
      </c>
      <c r="E1258" s="581"/>
      <c r="F1258" s="558">
        <v>1250000</v>
      </c>
      <c r="G1258" s="138">
        <v>0.02</v>
      </c>
      <c r="H1258" s="139">
        <f t="shared" si="41"/>
        <v>25000</v>
      </c>
    </row>
    <row r="1259" spans="1:8" ht="18.75">
      <c r="A1259" s="701">
        <v>12946</v>
      </c>
      <c r="B1259" s="233">
        <v>0.09</v>
      </c>
      <c r="C1259" s="891">
        <v>12</v>
      </c>
      <c r="D1259" s="259" t="s">
        <v>733</v>
      </c>
      <c r="E1259" s="581"/>
      <c r="F1259" s="558">
        <v>1300000</v>
      </c>
      <c r="G1259" s="140">
        <v>0.01</v>
      </c>
      <c r="H1259" s="139">
        <f t="shared" si="41"/>
        <v>13000</v>
      </c>
    </row>
    <row r="1260" spans="1:8" ht="18.75">
      <c r="A1260" s="135">
        <v>12947</v>
      </c>
      <c r="B1260" s="233">
        <v>0.08</v>
      </c>
      <c r="C1260" s="891">
        <v>12</v>
      </c>
      <c r="D1260" s="259" t="s">
        <v>756</v>
      </c>
      <c r="E1260" s="581"/>
      <c r="F1260" s="558">
        <v>1700000</v>
      </c>
      <c r="G1260" s="140">
        <v>0.01</v>
      </c>
      <c r="H1260" s="139">
        <f t="shared" si="41"/>
        <v>17000</v>
      </c>
    </row>
    <row r="1261" spans="1:8" ht="18.75">
      <c r="A1261" s="701">
        <v>12931</v>
      </c>
      <c r="B1261" s="233">
        <v>0.1</v>
      </c>
      <c r="C1261" s="891">
        <v>12</v>
      </c>
      <c r="D1261" s="259" t="s">
        <v>732</v>
      </c>
      <c r="E1261" s="581"/>
      <c r="F1261" s="558">
        <v>800000</v>
      </c>
      <c r="G1261" s="138">
        <v>0.02</v>
      </c>
      <c r="H1261" s="139">
        <f t="shared" si="41"/>
        <v>16000</v>
      </c>
    </row>
    <row r="1262" spans="1:8" ht="18.75">
      <c r="A1262" s="701">
        <v>12959</v>
      </c>
      <c r="B1262" s="233">
        <v>0.1</v>
      </c>
      <c r="C1262" s="891">
        <v>12</v>
      </c>
      <c r="D1262" s="259" t="s">
        <v>734</v>
      </c>
      <c r="E1262" s="581"/>
      <c r="F1262" s="558">
        <v>1650000</v>
      </c>
      <c r="G1262" s="138">
        <v>0.02</v>
      </c>
      <c r="H1262" s="139">
        <f t="shared" si="41"/>
        <v>33000</v>
      </c>
    </row>
    <row r="1263" spans="1:8" ht="18.75">
      <c r="A1263" s="701">
        <v>12971</v>
      </c>
      <c r="B1263" s="233">
        <v>0.1</v>
      </c>
      <c r="C1263" s="891">
        <v>12</v>
      </c>
      <c r="D1263" s="259" t="s">
        <v>766</v>
      </c>
      <c r="E1263" s="581"/>
      <c r="F1263" s="558">
        <v>1350000</v>
      </c>
      <c r="G1263" s="138">
        <v>0.02</v>
      </c>
      <c r="H1263" s="139">
        <f t="shared" si="41"/>
        <v>27000</v>
      </c>
    </row>
    <row r="1264" spans="1:8" ht="18.75">
      <c r="A1264" s="135">
        <v>13000</v>
      </c>
      <c r="B1264" s="233">
        <v>0.1</v>
      </c>
      <c r="C1264" s="891">
        <v>12</v>
      </c>
      <c r="D1264" s="259" t="s">
        <v>735</v>
      </c>
      <c r="E1264" s="581"/>
      <c r="F1264" s="558">
        <v>2700000</v>
      </c>
      <c r="G1264" s="138">
        <v>0.02</v>
      </c>
      <c r="H1264" s="139">
        <f t="shared" si="41"/>
        <v>54000</v>
      </c>
    </row>
    <row r="1265" spans="1:9" ht="18.75">
      <c r="A1265" s="135">
        <v>13003</v>
      </c>
      <c r="B1265" s="233">
        <v>0.1</v>
      </c>
      <c r="C1265" s="891">
        <v>12</v>
      </c>
      <c r="D1265" s="259" t="s">
        <v>1662</v>
      </c>
      <c r="E1265" s="581"/>
      <c r="F1265" s="558">
        <v>1200000</v>
      </c>
      <c r="G1265" s="138">
        <v>0.02</v>
      </c>
      <c r="H1265" s="139">
        <f t="shared" si="41"/>
        <v>24000</v>
      </c>
    </row>
    <row r="1266" spans="1:9" ht="18.75">
      <c r="A1266" s="135">
        <v>13006</v>
      </c>
      <c r="B1266" s="233">
        <v>0.1</v>
      </c>
      <c r="C1266" s="891">
        <v>12</v>
      </c>
      <c r="D1266" s="259" t="s">
        <v>1663</v>
      </c>
      <c r="E1266" s="581"/>
      <c r="F1266" s="558">
        <v>1400000</v>
      </c>
      <c r="G1266" s="138">
        <v>0.02</v>
      </c>
      <c r="H1266" s="139">
        <f t="shared" si="41"/>
        <v>28000</v>
      </c>
    </row>
    <row r="1267" spans="1:9" ht="18.75">
      <c r="A1267" s="135">
        <v>13045</v>
      </c>
      <c r="B1267" s="233">
        <v>0.1</v>
      </c>
      <c r="C1267" s="891">
        <v>12</v>
      </c>
      <c r="D1267" s="259" t="s">
        <v>742</v>
      </c>
      <c r="E1267" s="581"/>
      <c r="F1267" s="558">
        <v>1650000</v>
      </c>
      <c r="G1267" s="138">
        <v>0.02</v>
      </c>
      <c r="H1267" s="139">
        <f t="shared" si="41"/>
        <v>33000</v>
      </c>
    </row>
    <row r="1268" spans="1:9" ht="18.75">
      <c r="A1268" s="135">
        <v>13047</v>
      </c>
      <c r="B1268" s="233">
        <v>0.1</v>
      </c>
      <c r="C1268" s="891">
        <v>12</v>
      </c>
      <c r="D1268" s="259" t="s">
        <v>771</v>
      </c>
      <c r="E1268" s="581"/>
      <c r="F1268" s="558">
        <v>1400000</v>
      </c>
      <c r="G1268" s="138">
        <v>0.02</v>
      </c>
      <c r="H1268" s="139">
        <f t="shared" si="41"/>
        <v>28000</v>
      </c>
    </row>
    <row r="1269" spans="1:9" ht="18.75">
      <c r="A1269" s="135">
        <v>13052</v>
      </c>
      <c r="B1269" s="233">
        <v>0.1</v>
      </c>
      <c r="C1269" s="891">
        <v>12</v>
      </c>
      <c r="D1269" s="651" t="s">
        <v>740</v>
      </c>
      <c r="E1269" s="581"/>
      <c r="F1269" s="558">
        <v>1450000</v>
      </c>
      <c r="G1269" s="138">
        <v>0.02</v>
      </c>
      <c r="H1269" s="139">
        <f t="shared" si="41"/>
        <v>29000</v>
      </c>
    </row>
    <row r="1270" spans="1:9" ht="18.75">
      <c r="A1270" s="135">
        <v>13091</v>
      </c>
      <c r="B1270" s="233">
        <v>0.08</v>
      </c>
      <c r="C1270" s="891">
        <v>12</v>
      </c>
      <c r="D1270" s="259" t="s">
        <v>1665</v>
      </c>
      <c r="E1270" s="581"/>
      <c r="F1270" s="558">
        <v>1600000</v>
      </c>
      <c r="G1270" s="140">
        <v>0.01</v>
      </c>
      <c r="H1270" s="139">
        <f t="shared" si="41"/>
        <v>16000</v>
      </c>
    </row>
    <row r="1271" spans="1:9" ht="18.75">
      <c r="A1271" s="135">
        <v>13113</v>
      </c>
      <c r="B1271" s="233">
        <v>0.1</v>
      </c>
      <c r="C1271" s="891">
        <v>12</v>
      </c>
      <c r="D1271" s="259" t="s">
        <v>744</v>
      </c>
      <c r="E1271" s="581"/>
      <c r="F1271" s="558">
        <v>1000000</v>
      </c>
      <c r="G1271" s="138">
        <v>0.02</v>
      </c>
      <c r="H1271" s="139">
        <f t="shared" si="41"/>
        <v>20000</v>
      </c>
    </row>
    <row r="1272" spans="1:9" ht="18.75">
      <c r="A1272" s="135">
        <v>13122</v>
      </c>
      <c r="B1272" s="233">
        <v>0.1</v>
      </c>
      <c r="C1272" s="891">
        <v>12</v>
      </c>
      <c r="D1272" s="259" t="s">
        <v>1666</v>
      </c>
      <c r="E1272" s="662"/>
      <c r="F1272" s="558">
        <v>1500000</v>
      </c>
      <c r="G1272" s="138">
        <v>0.02</v>
      </c>
      <c r="H1272" s="139">
        <f t="shared" si="41"/>
        <v>30000</v>
      </c>
    </row>
    <row r="1273" spans="1:9" ht="18.75">
      <c r="A1273" s="135">
        <v>13127</v>
      </c>
      <c r="B1273" s="576">
        <v>0.1</v>
      </c>
      <c r="C1273" s="891">
        <v>12</v>
      </c>
      <c r="D1273" s="1226" t="s">
        <v>776</v>
      </c>
      <c r="E1273" s="581"/>
      <c r="F1273" s="558">
        <v>750000</v>
      </c>
      <c r="G1273" s="138">
        <v>0.02</v>
      </c>
      <c r="H1273" s="139">
        <f t="shared" si="41"/>
        <v>15000</v>
      </c>
    </row>
    <row r="1274" spans="1:9" ht="18.75">
      <c r="A1274" s="163"/>
      <c r="B1274" s="1214"/>
      <c r="C1274" s="1188"/>
      <c r="D1274" s="262"/>
      <c r="E1274" s="980"/>
      <c r="F1274" s="261"/>
      <c r="G1274" s="162"/>
      <c r="H1274" s="550"/>
    </row>
    <row r="1275" spans="1:9" ht="20.25">
      <c r="A1275" s="163"/>
      <c r="B1275" s="1214"/>
      <c r="C1275" s="1188"/>
      <c r="D1275" s="262"/>
      <c r="E1275" s="833" t="s">
        <v>80</v>
      </c>
      <c r="F1275" s="867">
        <f>SUM(F1235:F1274)</f>
        <v>52250000</v>
      </c>
      <c r="G1275" s="868"/>
      <c r="H1275" s="869">
        <f>SUM(H1235:H1274)</f>
        <v>973000</v>
      </c>
    </row>
    <row r="1277" spans="1:9" ht="18.75"/>
    <row r="1278" spans="1:9" ht="18.75"/>
    <row r="1279" spans="1:9" ht="26.25">
      <c r="A1279" s="1643" t="s">
        <v>1671</v>
      </c>
      <c r="B1279" s="1643"/>
      <c r="C1279" s="1643"/>
      <c r="D1279" s="1643"/>
      <c r="E1279" s="1643"/>
      <c r="F1279" s="1643"/>
      <c r="G1279" s="1643"/>
      <c r="H1279" s="1644"/>
      <c r="I1279" s="1172"/>
    </row>
    <row r="1280" spans="1:9">
      <c r="A1280" s="1168"/>
      <c r="B1280" s="1168"/>
      <c r="C1280" s="1168"/>
      <c r="D1280" s="1168"/>
      <c r="E1280" s="32"/>
      <c r="F1280" s="1168"/>
      <c r="G1280" s="32"/>
      <c r="H1280" s="32"/>
      <c r="I1280" s="1650"/>
    </row>
    <row r="1281" spans="1:9">
      <c r="A1281" s="1168"/>
      <c r="B1281" s="1168"/>
      <c r="C1281" s="1168"/>
      <c r="D1281" s="1168"/>
      <c r="E1281" s="32"/>
      <c r="F1281" s="1168"/>
      <c r="G1281" s="32"/>
      <c r="H1281" s="32"/>
      <c r="I1281" s="1650"/>
    </row>
    <row r="1282" spans="1:9" ht="26.25">
      <c r="A1282" s="1640" t="s">
        <v>1672</v>
      </c>
      <c r="B1282" s="1640"/>
      <c r="C1282" s="1641"/>
      <c r="D1282" s="1640"/>
      <c r="E1282" s="1640"/>
      <c r="F1282" s="1640"/>
      <c r="G1282" s="1640"/>
      <c r="H1282" s="1642"/>
      <c r="I1282" s="1172"/>
    </row>
    <row r="1283" spans="1:9" ht="30.75">
      <c r="A1283" s="45" t="s">
        <v>1463</v>
      </c>
      <c r="B1283" s="646" t="s">
        <v>1497</v>
      </c>
      <c r="C1283" s="132" t="s">
        <v>1465</v>
      </c>
      <c r="D1283" s="647" t="s">
        <v>5</v>
      </c>
      <c r="E1283" s="47" t="s">
        <v>1466</v>
      </c>
      <c r="F1283" s="48" t="s">
        <v>1467</v>
      </c>
      <c r="G1283" s="48" t="s">
        <v>7</v>
      </c>
      <c r="H1283" s="62" t="s">
        <v>1468</v>
      </c>
      <c r="I1283" s="1174" t="s">
        <v>1624</v>
      </c>
    </row>
    <row r="1284" spans="1:9" ht="18.75">
      <c r="A1284" s="135">
        <v>13157</v>
      </c>
      <c r="B1284" s="233">
        <v>0.1</v>
      </c>
      <c r="C1284" s="238">
        <v>12</v>
      </c>
      <c r="D1284" s="259" t="s">
        <v>1673</v>
      </c>
      <c r="E1284" s="581"/>
      <c r="F1284" s="558">
        <v>1500000</v>
      </c>
      <c r="G1284" s="138">
        <v>0.05</v>
      </c>
      <c r="H1284" s="882">
        <f>F1284*G1284</f>
        <v>75000</v>
      </c>
      <c r="I1284" s="1175" t="s">
        <v>1625</v>
      </c>
    </row>
    <row r="1285" spans="1:9" ht="18.75">
      <c r="A1285" s="135">
        <v>13163</v>
      </c>
      <c r="B1285" s="233">
        <v>0.1</v>
      </c>
      <c r="C1285" s="238">
        <v>12</v>
      </c>
      <c r="D1285" s="136" t="s">
        <v>803</v>
      </c>
      <c r="E1285" s="581"/>
      <c r="F1285" s="558">
        <v>800000</v>
      </c>
      <c r="G1285" s="138">
        <v>0.05</v>
      </c>
      <c r="H1285" s="882">
        <f t="shared" ref="H1285:H1303" si="42">F1285*G1285</f>
        <v>40000</v>
      </c>
      <c r="I1285" s="1175" t="s">
        <v>1625</v>
      </c>
    </row>
    <row r="1286" spans="1:9" ht="18.75">
      <c r="A1286" s="135">
        <v>13192</v>
      </c>
      <c r="B1286" s="233">
        <v>0.1</v>
      </c>
      <c r="C1286" s="238">
        <v>12</v>
      </c>
      <c r="D1286" s="136" t="s">
        <v>832</v>
      </c>
      <c r="E1286" s="581"/>
      <c r="F1286" s="558">
        <v>1300000</v>
      </c>
      <c r="G1286" s="138">
        <v>0.05</v>
      </c>
      <c r="H1286" s="882">
        <f t="shared" si="42"/>
        <v>65000</v>
      </c>
      <c r="I1286" s="1175" t="s">
        <v>1625</v>
      </c>
    </row>
    <row r="1287" spans="1:9" ht="18.75">
      <c r="A1287" s="135">
        <v>13209</v>
      </c>
      <c r="B1287" s="233">
        <v>0.1</v>
      </c>
      <c r="C1287" s="238">
        <v>12</v>
      </c>
      <c r="D1287" s="136" t="s">
        <v>822</v>
      </c>
      <c r="E1287" s="581"/>
      <c r="F1287" s="558">
        <v>1400000</v>
      </c>
      <c r="G1287" s="138">
        <v>0.05</v>
      </c>
      <c r="H1287" s="882">
        <f t="shared" si="42"/>
        <v>70000</v>
      </c>
      <c r="I1287" s="1175" t="s">
        <v>1625</v>
      </c>
    </row>
    <row r="1288" spans="1:9" ht="18.75">
      <c r="A1288" s="135">
        <v>13194</v>
      </c>
      <c r="B1288" s="233">
        <v>0.09</v>
      </c>
      <c r="C1288" s="238">
        <v>12</v>
      </c>
      <c r="D1288" s="259" t="s">
        <v>833</v>
      </c>
      <c r="E1288" s="581"/>
      <c r="F1288" s="558">
        <v>1400000</v>
      </c>
      <c r="G1288" s="140">
        <v>0.04</v>
      </c>
      <c r="H1288" s="882">
        <f t="shared" si="42"/>
        <v>56000</v>
      </c>
      <c r="I1288" s="1175" t="s">
        <v>1625</v>
      </c>
    </row>
    <row r="1289" spans="1:9" ht="18.75">
      <c r="A1289" s="135">
        <v>13218</v>
      </c>
      <c r="B1289" s="233">
        <v>0.1</v>
      </c>
      <c r="C1289" s="238">
        <v>12</v>
      </c>
      <c r="D1289" s="259" t="s">
        <v>834</v>
      </c>
      <c r="E1289" s="581"/>
      <c r="F1289" s="558">
        <v>1400000</v>
      </c>
      <c r="G1289" s="138">
        <v>0.05</v>
      </c>
      <c r="H1289" s="882">
        <f t="shared" si="42"/>
        <v>70000</v>
      </c>
      <c r="I1289" s="1175" t="s">
        <v>1625</v>
      </c>
    </row>
    <row r="1290" spans="1:9" ht="18.75">
      <c r="A1290" s="135">
        <v>13240</v>
      </c>
      <c r="B1290" s="233">
        <v>0.08</v>
      </c>
      <c r="C1290" s="238">
        <v>12</v>
      </c>
      <c r="D1290" s="136" t="s">
        <v>823</v>
      </c>
      <c r="E1290" s="581"/>
      <c r="F1290" s="558">
        <v>1500000</v>
      </c>
      <c r="G1290" s="140">
        <v>0.04</v>
      </c>
      <c r="H1290" s="882">
        <f t="shared" si="42"/>
        <v>60000</v>
      </c>
      <c r="I1290" s="1175" t="s">
        <v>1625</v>
      </c>
    </row>
    <row r="1291" spans="1:9" ht="18.75">
      <c r="A1291" s="135">
        <v>13243</v>
      </c>
      <c r="B1291" s="233">
        <v>0.1</v>
      </c>
      <c r="C1291" s="238">
        <v>12</v>
      </c>
      <c r="D1291" s="259" t="s">
        <v>851</v>
      </c>
      <c r="E1291" s="581"/>
      <c r="F1291" s="558">
        <v>1300000</v>
      </c>
      <c r="G1291" s="138">
        <v>0.05</v>
      </c>
      <c r="H1291" s="882">
        <f t="shared" si="42"/>
        <v>65000</v>
      </c>
      <c r="I1291" s="1175" t="s">
        <v>1645</v>
      </c>
    </row>
    <row r="1292" spans="1:9" ht="18.75">
      <c r="A1292" s="135">
        <v>13262</v>
      </c>
      <c r="B1292" s="233">
        <v>0.1</v>
      </c>
      <c r="C1292" s="238">
        <v>12</v>
      </c>
      <c r="D1292" s="259" t="s">
        <v>1674</v>
      </c>
      <c r="E1292" s="581"/>
      <c r="F1292" s="558">
        <v>800000</v>
      </c>
      <c r="G1292" s="138">
        <v>0.05</v>
      </c>
      <c r="H1292" s="882">
        <f t="shared" si="42"/>
        <v>40000</v>
      </c>
      <c r="I1292" s="1172" t="s">
        <v>1645</v>
      </c>
    </row>
    <row r="1293" spans="1:9" ht="18.75">
      <c r="A1293" s="135">
        <v>13256</v>
      </c>
      <c r="B1293" s="233">
        <v>0.1</v>
      </c>
      <c r="C1293" s="238">
        <v>12</v>
      </c>
      <c r="D1293" s="259" t="s">
        <v>1675</v>
      </c>
      <c r="E1293" s="581"/>
      <c r="F1293" s="558">
        <v>1300000</v>
      </c>
      <c r="G1293" s="138">
        <v>0.05</v>
      </c>
      <c r="H1293" s="882">
        <f t="shared" si="42"/>
        <v>65000</v>
      </c>
      <c r="I1293" s="1175" t="s">
        <v>1625</v>
      </c>
    </row>
    <row r="1294" spans="1:9" ht="18.75">
      <c r="A1294" s="135">
        <v>13266</v>
      </c>
      <c r="B1294" s="233">
        <v>0.1</v>
      </c>
      <c r="C1294" s="238">
        <v>12</v>
      </c>
      <c r="D1294" s="259" t="s">
        <v>839</v>
      </c>
      <c r="E1294" s="581"/>
      <c r="F1294" s="558">
        <v>1300000</v>
      </c>
      <c r="G1294" s="138">
        <v>0.05</v>
      </c>
      <c r="H1294" s="882">
        <f t="shared" si="42"/>
        <v>65000</v>
      </c>
      <c r="I1294" s="1175" t="s">
        <v>1625</v>
      </c>
    </row>
    <row r="1295" spans="1:9" ht="18.75">
      <c r="A1295" s="135">
        <v>13270</v>
      </c>
      <c r="B1295" s="233">
        <v>0.1</v>
      </c>
      <c r="C1295" s="238">
        <v>12</v>
      </c>
      <c r="D1295" s="259" t="s">
        <v>902</v>
      </c>
      <c r="E1295" s="581"/>
      <c r="F1295" s="558">
        <v>1100000</v>
      </c>
      <c r="G1295" s="138">
        <v>0.05</v>
      </c>
      <c r="H1295" s="882">
        <f t="shared" si="42"/>
        <v>55000</v>
      </c>
      <c r="I1295" s="1175" t="s">
        <v>1625</v>
      </c>
    </row>
    <row r="1296" spans="1:9" ht="18.75">
      <c r="A1296" s="135">
        <v>13268</v>
      </c>
      <c r="B1296" s="233">
        <v>0.1</v>
      </c>
      <c r="C1296" s="238">
        <v>12</v>
      </c>
      <c r="D1296" s="259" t="s">
        <v>840</v>
      </c>
      <c r="E1296" s="581"/>
      <c r="F1296" s="558">
        <v>1400000</v>
      </c>
      <c r="G1296" s="138">
        <v>0.05</v>
      </c>
      <c r="H1296" s="882">
        <f t="shared" si="42"/>
        <v>70000</v>
      </c>
      <c r="I1296" s="1175" t="s">
        <v>1645</v>
      </c>
    </row>
    <row r="1297" spans="1:9" ht="18.75">
      <c r="A1297" s="135">
        <v>13298</v>
      </c>
      <c r="B1297" s="233">
        <v>0.1</v>
      </c>
      <c r="C1297" s="238">
        <v>12</v>
      </c>
      <c r="D1297" s="259" t="s">
        <v>813</v>
      </c>
      <c r="E1297" s="581"/>
      <c r="F1297" s="558">
        <v>900000</v>
      </c>
      <c r="G1297" s="138">
        <v>0.05</v>
      </c>
      <c r="H1297" s="882">
        <f t="shared" si="42"/>
        <v>45000</v>
      </c>
      <c r="I1297" s="1175" t="s">
        <v>1625</v>
      </c>
    </row>
    <row r="1298" spans="1:9" ht="18.75">
      <c r="A1298" s="135">
        <v>13305</v>
      </c>
      <c r="B1298" s="233">
        <v>0.09</v>
      </c>
      <c r="C1298" s="238">
        <v>12</v>
      </c>
      <c r="D1298" s="259" t="s">
        <v>852</v>
      </c>
      <c r="E1298" s="581"/>
      <c r="F1298" s="558">
        <v>1460000</v>
      </c>
      <c r="G1298" s="140">
        <v>0.04</v>
      </c>
      <c r="H1298" s="882">
        <f t="shared" si="42"/>
        <v>58400</v>
      </c>
      <c r="I1298" s="1175" t="s">
        <v>1625</v>
      </c>
    </row>
    <row r="1299" spans="1:9" ht="18.75">
      <c r="A1299" s="135">
        <v>13331</v>
      </c>
      <c r="B1299" s="233">
        <v>0.1</v>
      </c>
      <c r="C1299" s="238">
        <v>12</v>
      </c>
      <c r="D1299" s="136" t="s">
        <v>1676</v>
      </c>
      <c r="E1299" s="581"/>
      <c r="F1299" s="558">
        <v>1400000</v>
      </c>
      <c r="G1299" s="138">
        <v>0.05</v>
      </c>
      <c r="H1299" s="882">
        <f t="shared" si="42"/>
        <v>70000</v>
      </c>
      <c r="I1299" s="1175" t="s">
        <v>1625</v>
      </c>
    </row>
    <row r="1300" spans="1:9" ht="18.75">
      <c r="A1300" s="135">
        <v>13353</v>
      </c>
      <c r="B1300" s="233">
        <v>0.1</v>
      </c>
      <c r="C1300" s="238">
        <v>12</v>
      </c>
      <c r="D1300" s="136" t="s">
        <v>853</v>
      </c>
      <c r="E1300" s="581"/>
      <c r="F1300" s="558">
        <v>1500000</v>
      </c>
      <c r="G1300" s="138">
        <v>0.05</v>
      </c>
      <c r="H1300" s="882">
        <f t="shared" si="42"/>
        <v>75000</v>
      </c>
      <c r="I1300" s="1175" t="s">
        <v>1645</v>
      </c>
    </row>
    <row r="1301" spans="1:9" ht="18.75">
      <c r="A1301" s="135">
        <v>13398</v>
      </c>
      <c r="B1301" s="233">
        <v>0.1</v>
      </c>
      <c r="C1301" s="238">
        <v>12</v>
      </c>
      <c r="D1301" s="136" t="s">
        <v>854</v>
      </c>
      <c r="E1301" s="581"/>
      <c r="F1301" s="558">
        <v>2500000</v>
      </c>
      <c r="G1301" s="138">
        <v>0.05</v>
      </c>
      <c r="H1301" s="882">
        <f t="shared" si="42"/>
        <v>125000</v>
      </c>
      <c r="I1301" s="1175" t="s">
        <v>1645</v>
      </c>
    </row>
    <row r="1302" spans="1:9" ht="18.75">
      <c r="A1302" s="144">
        <v>13396</v>
      </c>
      <c r="B1302" s="233">
        <v>0.1</v>
      </c>
      <c r="C1302" s="238">
        <v>12</v>
      </c>
      <c r="D1302" s="136" t="s">
        <v>821</v>
      </c>
      <c r="E1302" s="581"/>
      <c r="F1302" s="558">
        <v>1050000</v>
      </c>
      <c r="G1302" s="138">
        <v>0.05</v>
      </c>
      <c r="H1302" s="882">
        <f t="shared" si="42"/>
        <v>52500</v>
      </c>
      <c r="I1302" s="1175" t="s">
        <v>1645</v>
      </c>
    </row>
    <row r="1303" spans="1:9" ht="18.75">
      <c r="A1303" s="135" t="s">
        <v>830</v>
      </c>
      <c r="B1303" s="233">
        <v>0.08</v>
      </c>
      <c r="C1303" s="238">
        <v>12</v>
      </c>
      <c r="D1303" s="136" t="s">
        <v>831</v>
      </c>
      <c r="E1303" s="581"/>
      <c r="F1303" s="558">
        <v>1350000</v>
      </c>
      <c r="G1303" s="140">
        <v>0.04</v>
      </c>
      <c r="H1303" s="882">
        <f t="shared" si="42"/>
        <v>54000</v>
      </c>
      <c r="I1303" s="1175" t="s">
        <v>1645</v>
      </c>
    </row>
    <row r="1304" spans="1:9" ht="18.75">
      <c r="A1304" s="747" t="s">
        <v>297</v>
      </c>
      <c r="B1304" s="267"/>
      <c r="C1304" s="814"/>
      <c r="D1304" s="277" t="s">
        <v>1677</v>
      </c>
      <c r="E1304" s="567" t="s">
        <v>1678</v>
      </c>
      <c r="F1304" s="889"/>
      <c r="G1304" s="220"/>
      <c r="H1304" s="883"/>
      <c r="I1304" s="1175"/>
    </row>
    <row r="1305" spans="1:9" ht="18.75">
      <c r="A1305" s="503" t="s">
        <v>297</v>
      </c>
      <c r="B1305" s="267"/>
      <c r="C1305" s="814"/>
      <c r="D1305" s="277" t="s">
        <v>904</v>
      </c>
      <c r="E1305" s="567" t="s">
        <v>1146</v>
      </c>
      <c r="F1305" s="889"/>
      <c r="G1305" s="220"/>
      <c r="H1305" s="883"/>
      <c r="I1305" s="1175"/>
    </row>
    <row r="1306" spans="1:9" ht="18.75">
      <c r="A1306" s="1188"/>
      <c r="B1306" s="318"/>
      <c r="C1306" s="792"/>
      <c r="D1306" s="262"/>
      <c r="E1306" s="1050" t="s">
        <v>1660</v>
      </c>
      <c r="F1306" s="1051"/>
      <c r="G1306" s="1052"/>
      <c r="H1306" s="1053">
        <v>100000</v>
      </c>
      <c r="I1306" s="1175"/>
    </row>
    <row r="1307" spans="1:9" ht="20.25">
      <c r="A1307" s="163"/>
      <c r="B1307" s="318"/>
      <c r="C1307" s="792"/>
      <c r="D1307" s="262"/>
      <c r="E1307" s="947"/>
      <c r="F1307" s="948">
        <f>SUM(F1284:F1306)</f>
        <v>26660000</v>
      </c>
      <c r="G1307" s="949"/>
      <c r="H1307" s="863">
        <f>SUM(H1284:H1306)</f>
        <v>1375900</v>
      </c>
      <c r="I1307" s="1175"/>
    </row>
    <row r="1308" spans="1:9" ht="26.25">
      <c r="A1308" s="1645"/>
      <c r="B1308" s="1645"/>
      <c r="C1308" s="1645"/>
      <c r="D1308" s="1645"/>
      <c r="E1308" s="1645"/>
      <c r="F1308" s="1645"/>
      <c r="G1308" s="1645"/>
      <c r="H1308" s="1645"/>
      <c r="I1308" s="1650"/>
    </row>
    <row r="1309" spans="1:9" ht="26.25">
      <c r="A1309" s="797"/>
      <c r="B1309" s="797"/>
      <c r="C1309" s="797"/>
      <c r="D1309" s="797"/>
      <c r="E1309" s="797"/>
      <c r="F1309" s="797"/>
      <c r="G1309" s="797"/>
      <c r="H1309" s="797"/>
      <c r="I1309" s="1650"/>
    </row>
    <row r="1310" spans="1:9" ht="26.25">
      <c r="A1310" s="1640" t="s">
        <v>1679</v>
      </c>
      <c r="B1310" s="1640"/>
      <c r="C1310" s="1640"/>
      <c r="D1310" s="1640"/>
      <c r="E1310" s="1640"/>
      <c r="F1310" s="1640"/>
      <c r="G1310" s="1640"/>
      <c r="H1310" s="1642"/>
      <c r="I1310" s="1172"/>
    </row>
    <row r="1311" spans="1:9" ht="30.75">
      <c r="A1311" s="45" t="s">
        <v>1463</v>
      </c>
      <c r="B1311" s="646" t="s">
        <v>1497</v>
      </c>
      <c r="C1311" s="251" t="s">
        <v>1465</v>
      </c>
      <c r="D1311" s="647" t="s">
        <v>5</v>
      </c>
      <c r="E1311" s="47" t="s">
        <v>1466</v>
      </c>
      <c r="F1311" s="48" t="s">
        <v>1467</v>
      </c>
      <c r="G1311" s="48" t="s">
        <v>7</v>
      </c>
      <c r="H1311" s="62" t="s">
        <v>1468</v>
      </c>
      <c r="I1311" s="1174" t="s">
        <v>1624</v>
      </c>
    </row>
    <row r="1312" spans="1:9" ht="18.75">
      <c r="A1312" s="135">
        <v>13148</v>
      </c>
      <c r="B1312" s="233">
        <v>0.1</v>
      </c>
      <c r="C1312" s="891">
        <v>12</v>
      </c>
      <c r="D1312" s="259" t="s">
        <v>800</v>
      </c>
      <c r="E1312" s="581"/>
      <c r="F1312" s="558">
        <v>1150000</v>
      </c>
      <c r="G1312" s="138">
        <v>0.05</v>
      </c>
      <c r="H1312" s="882">
        <f>F1312*G1312</f>
        <v>57500</v>
      </c>
      <c r="I1312" s="1175" t="s">
        <v>1625</v>
      </c>
    </row>
    <row r="1313" spans="1:9" ht="18.75">
      <c r="A1313" s="135">
        <v>13167</v>
      </c>
      <c r="B1313" s="233">
        <v>0.1</v>
      </c>
      <c r="C1313" s="891">
        <v>12</v>
      </c>
      <c r="D1313" s="259" t="s">
        <v>804</v>
      </c>
      <c r="E1313" s="581"/>
      <c r="F1313" s="558">
        <v>900000</v>
      </c>
      <c r="G1313" s="138">
        <v>0.05</v>
      </c>
      <c r="H1313" s="882">
        <f t="shared" ref="H1313:H1332" si="43">F1313*G1313</f>
        <v>45000</v>
      </c>
      <c r="I1313" s="1175" t="s">
        <v>1625</v>
      </c>
    </row>
    <row r="1314" spans="1:9" ht="18.75">
      <c r="A1314" s="135">
        <v>13183</v>
      </c>
      <c r="B1314" s="233">
        <v>0.1</v>
      </c>
      <c r="C1314" s="891">
        <v>12</v>
      </c>
      <c r="D1314" s="259" t="s">
        <v>1680</v>
      </c>
      <c r="E1314" s="581"/>
      <c r="F1314" s="558">
        <v>1280000</v>
      </c>
      <c r="G1314" s="138">
        <v>0.05</v>
      </c>
      <c r="H1314" s="882">
        <f t="shared" si="43"/>
        <v>64000</v>
      </c>
      <c r="I1314" s="1175" t="s">
        <v>1625</v>
      </c>
    </row>
    <row r="1315" spans="1:9" ht="18.75">
      <c r="A1315" s="135">
        <v>13200</v>
      </c>
      <c r="B1315" s="233">
        <v>0.1</v>
      </c>
      <c r="C1315" s="891">
        <v>12</v>
      </c>
      <c r="D1315" s="259" t="s">
        <v>806</v>
      </c>
      <c r="E1315" s="581"/>
      <c r="F1315" s="558">
        <v>1300000</v>
      </c>
      <c r="G1315" s="138">
        <v>0.05</v>
      </c>
      <c r="H1315" s="882">
        <f t="shared" si="43"/>
        <v>65000</v>
      </c>
      <c r="I1315" s="1175" t="s">
        <v>1625</v>
      </c>
    </row>
    <row r="1316" spans="1:9" ht="18.75">
      <c r="A1316" s="135">
        <v>13174</v>
      </c>
      <c r="B1316" s="233">
        <v>0.1</v>
      </c>
      <c r="C1316" s="891">
        <v>6</v>
      </c>
      <c r="D1316" s="259" t="s">
        <v>805</v>
      </c>
      <c r="E1316" s="581"/>
      <c r="F1316" s="558">
        <v>1300000</v>
      </c>
      <c r="G1316" s="138">
        <v>0.05</v>
      </c>
      <c r="H1316" s="882">
        <f t="shared" si="43"/>
        <v>65000</v>
      </c>
      <c r="I1316" s="1175" t="s">
        <v>1625</v>
      </c>
    </row>
    <row r="1317" spans="1:9" ht="18.75">
      <c r="A1317" s="135">
        <v>13204</v>
      </c>
      <c r="B1317" s="233">
        <v>0.1</v>
      </c>
      <c r="C1317" s="891">
        <v>12</v>
      </c>
      <c r="D1317" s="259" t="s">
        <v>808</v>
      </c>
      <c r="E1317" s="581"/>
      <c r="F1317" s="558">
        <v>1600000</v>
      </c>
      <c r="G1317" s="138">
        <v>0.05</v>
      </c>
      <c r="H1317" s="882">
        <f t="shared" si="43"/>
        <v>80000</v>
      </c>
      <c r="I1317" s="1175" t="s">
        <v>1625</v>
      </c>
    </row>
    <row r="1318" spans="1:9" ht="18.75">
      <c r="A1318" s="135">
        <v>13220</v>
      </c>
      <c r="B1318" s="233">
        <v>0.1</v>
      </c>
      <c r="C1318" s="891">
        <v>12</v>
      </c>
      <c r="D1318" s="259" t="s">
        <v>1681</v>
      </c>
      <c r="E1318" s="581"/>
      <c r="F1318" s="558">
        <v>750000</v>
      </c>
      <c r="G1318" s="138">
        <v>0.05</v>
      </c>
      <c r="H1318" s="882">
        <f t="shared" si="43"/>
        <v>37500</v>
      </c>
      <c r="I1318" s="1175" t="s">
        <v>1625</v>
      </c>
    </row>
    <row r="1319" spans="1:9" ht="18.75">
      <c r="A1319" s="135">
        <v>13196</v>
      </c>
      <c r="B1319" s="233">
        <v>0.1</v>
      </c>
      <c r="C1319" s="891">
        <v>12</v>
      </c>
      <c r="D1319" s="259" t="s">
        <v>1682</v>
      </c>
      <c r="E1319" s="581"/>
      <c r="F1319" s="558">
        <v>1400000</v>
      </c>
      <c r="G1319" s="138">
        <v>0.05</v>
      </c>
      <c r="H1319" s="882">
        <f t="shared" si="43"/>
        <v>70000</v>
      </c>
      <c r="I1319" s="1175" t="s">
        <v>1625</v>
      </c>
    </row>
    <row r="1320" spans="1:9" ht="18.75">
      <c r="A1320" s="135">
        <v>13231</v>
      </c>
      <c r="B1320" s="233">
        <v>0.1</v>
      </c>
      <c r="C1320" s="891">
        <v>12</v>
      </c>
      <c r="D1320" s="136" t="s">
        <v>810</v>
      </c>
      <c r="E1320" s="581"/>
      <c r="F1320" s="558">
        <v>2000000</v>
      </c>
      <c r="G1320" s="138">
        <v>0.05</v>
      </c>
      <c r="H1320" s="882">
        <f t="shared" si="43"/>
        <v>100000</v>
      </c>
      <c r="I1320" s="1175" t="s">
        <v>1625</v>
      </c>
    </row>
    <row r="1321" spans="1:9" ht="18.75">
      <c r="A1321" s="135">
        <v>13253</v>
      </c>
      <c r="B1321" s="233">
        <v>0.1</v>
      </c>
      <c r="C1321" s="891">
        <v>12</v>
      </c>
      <c r="D1321" s="259" t="s">
        <v>837</v>
      </c>
      <c r="E1321" s="581"/>
      <c r="F1321" s="558">
        <v>1500000</v>
      </c>
      <c r="G1321" s="138">
        <v>0.05</v>
      </c>
      <c r="H1321" s="882">
        <f t="shared" si="43"/>
        <v>75000</v>
      </c>
      <c r="I1321" s="1175" t="s">
        <v>1625</v>
      </c>
    </row>
    <row r="1322" spans="1:9" ht="18.75">
      <c r="A1322" s="135">
        <v>13267</v>
      </c>
      <c r="B1322" s="233">
        <v>0.1</v>
      </c>
      <c r="C1322" s="891">
        <v>12</v>
      </c>
      <c r="D1322" s="259" t="s">
        <v>812</v>
      </c>
      <c r="E1322" s="581"/>
      <c r="F1322" s="558">
        <v>1250000</v>
      </c>
      <c r="G1322" s="138">
        <v>0.05</v>
      </c>
      <c r="H1322" s="882">
        <f t="shared" si="43"/>
        <v>62500</v>
      </c>
      <c r="I1322" s="1175" t="s">
        <v>1625</v>
      </c>
    </row>
    <row r="1323" spans="1:9" ht="18.75">
      <c r="A1323" s="135">
        <v>13284</v>
      </c>
      <c r="B1323" s="233">
        <v>0.1</v>
      </c>
      <c r="C1323" s="891">
        <v>12</v>
      </c>
      <c r="D1323" s="259" t="s">
        <v>841</v>
      </c>
      <c r="E1323" s="581"/>
      <c r="F1323" s="558">
        <v>1350000</v>
      </c>
      <c r="G1323" s="138">
        <v>0.05</v>
      </c>
      <c r="H1323" s="882">
        <f t="shared" si="43"/>
        <v>67500</v>
      </c>
      <c r="I1323" s="1175" t="s">
        <v>1625</v>
      </c>
    </row>
    <row r="1324" spans="1:9" ht="18.75">
      <c r="A1324" s="135">
        <v>13313</v>
      </c>
      <c r="B1324" s="233">
        <v>0.1</v>
      </c>
      <c r="C1324" s="891">
        <v>12</v>
      </c>
      <c r="D1324" s="259" t="s">
        <v>814</v>
      </c>
      <c r="E1324" s="581"/>
      <c r="F1324" s="558">
        <v>1500000</v>
      </c>
      <c r="G1324" s="138">
        <v>0.05</v>
      </c>
      <c r="H1324" s="882">
        <f t="shared" si="43"/>
        <v>75000</v>
      </c>
      <c r="I1324" s="1175" t="s">
        <v>1625</v>
      </c>
    </row>
    <row r="1325" spans="1:9" ht="18.75">
      <c r="A1325" s="135">
        <v>13334</v>
      </c>
      <c r="B1325" s="233">
        <v>0.08</v>
      </c>
      <c r="C1325" s="891">
        <v>12</v>
      </c>
      <c r="D1325" s="1235" t="s">
        <v>842</v>
      </c>
      <c r="E1325" s="581"/>
      <c r="F1325" s="558">
        <v>1500000</v>
      </c>
      <c r="G1325" s="140">
        <v>0.04</v>
      </c>
      <c r="H1325" s="882">
        <f t="shared" si="43"/>
        <v>60000</v>
      </c>
      <c r="I1325" s="1175" t="s">
        <v>1625</v>
      </c>
    </row>
    <row r="1326" spans="1:9" ht="18.75">
      <c r="A1326" s="135">
        <v>13327</v>
      </c>
      <c r="B1326" s="233">
        <v>0.1</v>
      </c>
      <c r="C1326" s="891">
        <v>12</v>
      </c>
      <c r="D1326" s="1235" t="s">
        <v>843</v>
      </c>
      <c r="E1326" s="581"/>
      <c r="F1326" s="558">
        <v>1550000</v>
      </c>
      <c r="G1326" s="138">
        <v>0.05</v>
      </c>
      <c r="H1326" s="882">
        <f t="shared" si="43"/>
        <v>77500</v>
      </c>
      <c r="I1326" s="1175" t="s">
        <v>1625</v>
      </c>
    </row>
    <row r="1327" spans="1:9" ht="18.75">
      <c r="A1327" s="135">
        <v>13342</v>
      </c>
      <c r="B1327" s="233">
        <v>0.1</v>
      </c>
      <c r="C1327" s="891">
        <v>12</v>
      </c>
      <c r="D1327" s="1236" t="s">
        <v>1683</v>
      </c>
      <c r="E1327" s="581"/>
      <c r="F1327" s="558">
        <v>1350000</v>
      </c>
      <c r="G1327" s="138">
        <v>0.05</v>
      </c>
      <c r="H1327" s="882">
        <f t="shared" si="43"/>
        <v>67500</v>
      </c>
      <c r="I1327" s="1175" t="s">
        <v>1625</v>
      </c>
    </row>
    <row r="1328" spans="1:9" ht="18.75">
      <c r="A1328" s="135">
        <v>13350</v>
      </c>
      <c r="B1328" s="233">
        <v>0.08</v>
      </c>
      <c r="C1328" s="891">
        <v>12</v>
      </c>
      <c r="D1328" s="259" t="s">
        <v>1684</v>
      </c>
      <c r="E1328" s="581"/>
      <c r="F1328" s="558">
        <v>1300000</v>
      </c>
      <c r="G1328" s="140">
        <v>0.04</v>
      </c>
      <c r="H1328" s="882">
        <f t="shared" si="43"/>
        <v>52000</v>
      </c>
      <c r="I1328" s="1175" t="s">
        <v>1625</v>
      </c>
    </row>
    <row r="1329" spans="1:9" ht="18.75">
      <c r="A1329" s="135">
        <v>13383</v>
      </c>
      <c r="B1329" s="233">
        <v>0.1</v>
      </c>
      <c r="C1329" s="891">
        <v>12</v>
      </c>
      <c r="D1329" s="259" t="s">
        <v>817</v>
      </c>
      <c r="E1329" s="581"/>
      <c r="F1329" s="558">
        <v>1600000</v>
      </c>
      <c r="G1329" s="138">
        <v>0.05</v>
      </c>
      <c r="H1329" s="882">
        <f t="shared" si="43"/>
        <v>80000</v>
      </c>
      <c r="I1329" s="1175" t="s">
        <v>1625</v>
      </c>
    </row>
    <row r="1330" spans="1:9" ht="18.75">
      <c r="A1330" s="135">
        <v>13411</v>
      </c>
      <c r="B1330" s="233">
        <v>0.1</v>
      </c>
      <c r="C1330" s="891">
        <v>12</v>
      </c>
      <c r="D1330" s="259" t="s">
        <v>818</v>
      </c>
      <c r="E1330" s="581"/>
      <c r="F1330" s="558">
        <v>900000</v>
      </c>
      <c r="G1330" s="138">
        <v>0.05</v>
      </c>
      <c r="H1330" s="882">
        <f t="shared" si="43"/>
        <v>45000</v>
      </c>
      <c r="I1330" s="1175" t="s">
        <v>1645</v>
      </c>
    </row>
    <row r="1331" spans="1:9" ht="18.75">
      <c r="A1331" s="135">
        <v>13403</v>
      </c>
      <c r="B1331" s="233">
        <v>0.1</v>
      </c>
      <c r="C1331" s="891">
        <v>12</v>
      </c>
      <c r="D1331" s="259" t="s">
        <v>811</v>
      </c>
      <c r="E1331" s="581"/>
      <c r="F1331" s="558">
        <v>1400000</v>
      </c>
      <c r="G1331" s="138">
        <v>0.05</v>
      </c>
      <c r="H1331" s="882">
        <f t="shared" si="43"/>
        <v>70000</v>
      </c>
      <c r="I1331" s="1175"/>
    </row>
    <row r="1332" spans="1:9" ht="18.75">
      <c r="A1332" s="135">
        <v>13388</v>
      </c>
      <c r="B1332" s="233">
        <v>0.1</v>
      </c>
      <c r="C1332" s="891">
        <v>12</v>
      </c>
      <c r="D1332" s="259" t="s">
        <v>819</v>
      </c>
      <c r="E1332" s="581"/>
      <c r="F1332" s="558">
        <v>1100000</v>
      </c>
      <c r="G1332" s="138">
        <v>0.05</v>
      </c>
      <c r="H1332" s="882">
        <f t="shared" si="43"/>
        <v>55000</v>
      </c>
      <c r="I1332" s="1175" t="s">
        <v>1625</v>
      </c>
    </row>
    <row r="1333" spans="1:9" ht="18.75">
      <c r="A1333" s="747" t="s">
        <v>297</v>
      </c>
      <c r="B1333" s="267"/>
      <c r="C1333" s="1225"/>
      <c r="D1333" s="277" t="s">
        <v>826</v>
      </c>
      <c r="E1333" s="567" t="s">
        <v>827</v>
      </c>
      <c r="F1333" s="889"/>
      <c r="G1333" s="220"/>
      <c r="H1333" s="883"/>
      <c r="I1333" s="1175"/>
    </row>
    <row r="1334" spans="1:9" ht="30.75">
      <c r="A1334" s="211"/>
      <c r="B1334" s="267"/>
      <c r="C1334" s="1225"/>
      <c r="D1334" s="757" t="s">
        <v>847</v>
      </c>
      <c r="E1334" s="920" t="s">
        <v>848</v>
      </c>
      <c r="F1334" s="889"/>
      <c r="G1334" s="220"/>
      <c r="H1334" s="883"/>
      <c r="I1334" s="1175"/>
    </row>
    <row r="1335" spans="1:9" ht="30.75">
      <c r="A1335" s="211"/>
      <c r="B1335" s="267"/>
      <c r="C1335" s="1225"/>
      <c r="D1335" s="757" t="s">
        <v>849</v>
      </c>
      <c r="E1335" s="920" t="s">
        <v>850</v>
      </c>
      <c r="F1335" s="889"/>
      <c r="G1335" s="220"/>
      <c r="H1335" s="883"/>
      <c r="I1335" s="1175"/>
    </row>
    <row r="1336" spans="1:9" ht="18.75">
      <c r="A1336" s="163"/>
      <c r="B1336" s="318"/>
      <c r="C1336" s="1131"/>
      <c r="D1336" s="266"/>
      <c r="E1336" s="720"/>
      <c r="F1336" s="793"/>
      <c r="G1336" s="162"/>
      <c r="H1336" s="884"/>
      <c r="I1336" s="1175"/>
    </row>
    <row r="1337" spans="1:9" ht="20.25">
      <c r="A1337" s="163"/>
      <c r="B1337" s="318"/>
      <c r="C1337" s="1131"/>
      <c r="D1337" s="266"/>
      <c r="E1337" s="947"/>
      <c r="F1337" s="948">
        <f>SUM(F1312:F1336)</f>
        <v>27980000</v>
      </c>
      <c r="G1337" s="949"/>
      <c r="H1337" s="863">
        <f>SUM(H1312:H1332)</f>
        <v>1371000</v>
      </c>
      <c r="I1337" s="1175"/>
    </row>
    <row r="1338" spans="1:9" ht="18.75">
      <c r="A1338" s="1646"/>
      <c r="B1338" s="1646"/>
      <c r="C1338" s="1646"/>
      <c r="D1338" s="1646"/>
      <c r="E1338" s="1646"/>
      <c r="F1338" s="1646"/>
      <c r="G1338" s="1646"/>
      <c r="H1338" s="1646"/>
    </row>
    <row r="1339" spans="1:9" ht="15" customHeight="1">
      <c r="A1339" s="1647"/>
      <c r="B1339" s="1647"/>
      <c r="C1339" s="1647"/>
      <c r="D1339" s="1647"/>
      <c r="E1339" s="1647"/>
      <c r="F1339" s="1647"/>
      <c r="G1339" s="1647"/>
      <c r="H1339" s="1647"/>
    </row>
    <row r="1340" spans="1:9" ht="26.25">
      <c r="A1340" s="1640" t="s">
        <v>1685</v>
      </c>
      <c r="B1340" s="1640"/>
      <c r="C1340" s="1641"/>
      <c r="D1340" s="1640"/>
      <c r="E1340" s="1640"/>
      <c r="F1340" s="1640"/>
      <c r="G1340" s="1640"/>
      <c r="H1340" s="1640"/>
    </row>
    <row r="1341" spans="1:9" ht="30.75">
      <c r="A1341" s="45" t="s">
        <v>1463</v>
      </c>
      <c r="B1341" s="646" t="s">
        <v>1497</v>
      </c>
      <c r="C1341" s="132" t="s">
        <v>1465</v>
      </c>
      <c r="D1341" s="647" t="s">
        <v>5</v>
      </c>
      <c r="E1341" s="47" t="s">
        <v>1466</v>
      </c>
      <c r="F1341" s="48" t="s">
        <v>1467</v>
      </c>
      <c r="G1341" s="48" t="s">
        <v>7</v>
      </c>
      <c r="H1341" s="48" t="s">
        <v>1468</v>
      </c>
    </row>
    <row r="1342" spans="1:9" ht="18.75">
      <c r="A1342" s="135">
        <v>13273</v>
      </c>
      <c r="B1342" s="478">
        <v>0.1</v>
      </c>
      <c r="C1342" s="238">
        <v>6</v>
      </c>
      <c r="D1342" s="136" t="s">
        <v>855</v>
      </c>
      <c r="E1342" s="137"/>
      <c r="F1342" s="558">
        <v>1287845</v>
      </c>
      <c r="G1342" s="189">
        <v>0.03</v>
      </c>
      <c r="H1342" s="139">
        <f>F1342*G1342</f>
        <v>38635.35</v>
      </c>
    </row>
    <row r="1343" spans="1:9" ht="18.75">
      <c r="A1343" s="135">
        <v>13157</v>
      </c>
      <c r="B1343" s="233">
        <v>0.1</v>
      </c>
      <c r="C1343" s="238">
        <v>12</v>
      </c>
      <c r="D1343" s="259" t="s">
        <v>1673</v>
      </c>
      <c r="E1343" s="581"/>
      <c r="F1343" s="558">
        <v>1500000</v>
      </c>
      <c r="G1343" s="189">
        <v>0.03</v>
      </c>
      <c r="H1343" s="139">
        <f t="shared" ref="H1343:H1383" si="44">F1343*G1343</f>
        <v>45000</v>
      </c>
    </row>
    <row r="1344" spans="1:9" ht="18.75">
      <c r="A1344" s="135">
        <v>13163</v>
      </c>
      <c r="B1344" s="233">
        <v>0.1</v>
      </c>
      <c r="C1344" s="238">
        <v>12</v>
      </c>
      <c r="D1344" s="136" t="s">
        <v>803</v>
      </c>
      <c r="E1344" s="581"/>
      <c r="F1344" s="558">
        <v>800000</v>
      </c>
      <c r="G1344" s="189">
        <v>0.03</v>
      </c>
      <c r="H1344" s="139">
        <f t="shared" si="44"/>
        <v>24000</v>
      </c>
    </row>
    <row r="1345" spans="1:8" ht="18.75">
      <c r="A1345" s="135">
        <v>13192</v>
      </c>
      <c r="B1345" s="233">
        <v>0.1</v>
      </c>
      <c r="C1345" s="238">
        <v>12</v>
      </c>
      <c r="D1345" s="136" t="s">
        <v>832</v>
      </c>
      <c r="E1345" s="581"/>
      <c r="F1345" s="558">
        <v>1300000</v>
      </c>
      <c r="G1345" s="189">
        <v>0.03</v>
      </c>
      <c r="H1345" s="139">
        <f t="shared" si="44"/>
        <v>39000</v>
      </c>
    </row>
    <row r="1346" spans="1:8" ht="18.75">
      <c r="A1346" s="135">
        <v>13209</v>
      </c>
      <c r="B1346" s="233">
        <v>0.1</v>
      </c>
      <c r="C1346" s="238">
        <v>12</v>
      </c>
      <c r="D1346" s="136" t="s">
        <v>822</v>
      </c>
      <c r="E1346" s="581"/>
      <c r="F1346" s="558">
        <v>1400000</v>
      </c>
      <c r="G1346" s="189">
        <v>0.03</v>
      </c>
      <c r="H1346" s="139">
        <f t="shared" si="44"/>
        <v>42000</v>
      </c>
    </row>
    <row r="1347" spans="1:8" ht="18.75">
      <c r="A1347" s="135">
        <v>13194</v>
      </c>
      <c r="B1347" s="233">
        <v>0.09</v>
      </c>
      <c r="C1347" s="238">
        <v>12</v>
      </c>
      <c r="D1347" s="259" t="s">
        <v>833</v>
      </c>
      <c r="E1347" s="581"/>
      <c r="F1347" s="558">
        <v>1400000</v>
      </c>
      <c r="G1347" s="1032">
        <v>0.02</v>
      </c>
      <c r="H1347" s="139">
        <f t="shared" si="44"/>
        <v>28000</v>
      </c>
    </row>
    <row r="1348" spans="1:8" ht="18.75">
      <c r="A1348" s="135">
        <v>13218</v>
      </c>
      <c r="B1348" s="233">
        <v>0.1</v>
      </c>
      <c r="C1348" s="238">
        <v>12</v>
      </c>
      <c r="D1348" s="259" t="s">
        <v>834</v>
      </c>
      <c r="E1348" s="581"/>
      <c r="F1348" s="558">
        <v>1400000</v>
      </c>
      <c r="G1348" s="189">
        <v>0.03</v>
      </c>
      <c r="H1348" s="139">
        <f t="shared" si="44"/>
        <v>42000</v>
      </c>
    </row>
    <row r="1349" spans="1:8" ht="18.75">
      <c r="A1349" s="135">
        <v>13240</v>
      </c>
      <c r="B1349" s="233">
        <v>0.08</v>
      </c>
      <c r="C1349" s="238">
        <v>12</v>
      </c>
      <c r="D1349" s="136" t="s">
        <v>823</v>
      </c>
      <c r="E1349" s="581"/>
      <c r="F1349" s="558">
        <v>1500000</v>
      </c>
      <c r="G1349" s="1032">
        <v>0.02</v>
      </c>
      <c r="H1349" s="139">
        <f t="shared" si="44"/>
        <v>30000</v>
      </c>
    </row>
    <row r="1350" spans="1:8" ht="18.75">
      <c r="A1350" s="135">
        <v>13243</v>
      </c>
      <c r="B1350" s="233">
        <v>0.1</v>
      </c>
      <c r="C1350" s="238">
        <v>12</v>
      </c>
      <c r="D1350" s="259" t="s">
        <v>851</v>
      </c>
      <c r="E1350" s="581"/>
      <c r="F1350" s="558">
        <v>1300000</v>
      </c>
      <c r="G1350" s="189">
        <v>0.03</v>
      </c>
      <c r="H1350" s="139">
        <f t="shared" si="44"/>
        <v>39000</v>
      </c>
    </row>
    <row r="1351" spans="1:8" ht="18.75">
      <c r="A1351" s="135">
        <v>13262</v>
      </c>
      <c r="B1351" s="233">
        <v>0.1</v>
      </c>
      <c r="C1351" s="238">
        <v>12</v>
      </c>
      <c r="D1351" s="259" t="s">
        <v>1674</v>
      </c>
      <c r="E1351" s="581"/>
      <c r="F1351" s="558">
        <v>800000</v>
      </c>
      <c r="G1351" s="189">
        <v>0.03</v>
      </c>
      <c r="H1351" s="139">
        <f t="shared" si="44"/>
        <v>24000</v>
      </c>
    </row>
    <row r="1352" spans="1:8" ht="18.75">
      <c r="A1352" s="135">
        <v>13256</v>
      </c>
      <c r="B1352" s="233">
        <v>0.1</v>
      </c>
      <c r="C1352" s="238">
        <v>12</v>
      </c>
      <c r="D1352" s="259" t="s">
        <v>1675</v>
      </c>
      <c r="E1352" s="581"/>
      <c r="F1352" s="558">
        <v>1300000</v>
      </c>
      <c r="G1352" s="189">
        <v>0.03</v>
      </c>
      <c r="H1352" s="139">
        <f t="shared" si="44"/>
        <v>39000</v>
      </c>
    </row>
    <row r="1353" spans="1:8" ht="18.75">
      <c r="A1353" s="135">
        <v>13266</v>
      </c>
      <c r="B1353" s="233">
        <v>0.1</v>
      </c>
      <c r="C1353" s="238">
        <v>12</v>
      </c>
      <c r="D1353" s="259" t="s">
        <v>839</v>
      </c>
      <c r="E1353" s="581"/>
      <c r="F1353" s="558">
        <v>1300000</v>
      </c>
      <c r="G1353" s="189">
        <v>0.03</v>
      </c>
      <c r="H1353" s="139">
        <f t="shared" si="44"/>
        <v>39000</v>
      </c>
    </row>
    <row r="1354" spans="1:8" ht="18.75">
      <c r="A1354" s="135">
        <v>13270</v>
      </c>
      <c r="B1354" s="233">
        <v>0.1</v>
      </c>
      <c r="C1354" s="238">
        <v>12</v>
      </c>
      <c r="D1354" s="259" t="s">
        <v>838</v>
      </c>
      <c r="E1354" s="581"/>
      <c r="F1354" s="558">
        <v>1100000</v>
      </c>
      <c r="G1354" s="189">
        <v>0.03</v>
      </c>
      <c r="H1354" s="139">
        <f t="shared" si="44"/>
        <v>33000</v>
      </c>
    </row>
    <row r="1355" spans="1:8" ht="18.75">
      <c r="A1355" s="135">
        <v>13268</v>
      </c>
      <c r="B1355" s="233">
        <v>0.1</v>
      </c>
      <c r="C1355" s="238">
        <v>12</v>
      </c>
      <c r="D1355" s="259" t="s">
        <v>840</v>
      </c>
      <c r="E1355" s="581"/>
      <c r="F1355" s="558">
        <v>1400000</v>
      </c>
      <c r="G1355" s="189">
        <v>0.03</v>
      </c>
      <c r="H1355" s="139">
        <f t="shared" si="44"/>
        <v>42000</v>
      </c>
    </row>
    <row r="1356" spans="1:8" ht="18.75">
      <c r="A1356" s="135">
        <v>13298</v>
      </c>
      <c r="B1356" s="233">
        <v>0.1</v>
      </c>
      <c r="C1356" s="238">
        <v>12</v>
      </c>
      <c r="D1356" s="259" t="s">
        <v>813</v>
      </c>
      <c r="E1356" s="581"/>
      <c r="F1356" s="558">
        <v>900000</v>
      </c>
      <c r="G1356" s="189">
        <v>0.03</v>
      </c>
      <c r="H1356" s="139">
        <f t="shared" si="44"/>
        <v>27000</v>
      </c>
    </row>
    <row r="1357" spans="1:8" ht="18.75">
      <c r="A1357" s="135">
        <v>13305</v>
      </c>
      <c r="B1357" s="233">
        <v>0.09</v>
      </c>
      <c r="C1357" s="238">
        <v>12</v>
      </c>
      <c r="D1357" s="259" t="s">
        <v>852</v>
      </c>
      <c r="E1357" s="581"/>
      <c r="F1357" s="558">
        <v>1460000</v>
      </c>
      <c r="G1357" s="1032">
        <v>0.02</v>
      </c>
      <c r="H1357" s="139">
        <f t="shared" si="44"/>
        <v>29200</v>
      </c>
    </row>
    <row r="1358" spans="1:8" ht="18.75">
      <c r="A1358" s="135">
        <v>13331</v>
      </c>
      <c r="B1358" s="233">
        <v>0.1</v>
      </c>
      <c r="C1358" s="238">
        <v>12</v>
      </c>
      <c r="D1358" s="136" t="s">
        <v>1686</v>
      </c>
      <c r="E1358" s="581"/>
      <c r="F1358" s="558">
        <v>1400000</v>
      </c>
      <c r="G1358" s="189">
        <v>0.03</v>
      </c>
      <c r="H1358" s="139">
        <f t="shared" si="44"/>
        <v>42000</v>
      </c>
    </row>
    <row r="1359" spans="1:8" ht="18.75">
      <c r="A1359" s="135">
        <v>13353</v>
      </c>
      <c r="B1359" s="233">
        <v>0.1</v>
      </c>
      <c r="C1359" s="238">
        <v>12</v>
      </c>
      <c r="D1359" s="136" t="s">
        <v>853</v>
      </c>
      <c r="E1359" s="581"/>
      <c r="F1359" s="558">
        <v>1500000</v>
      </c>
      <c r="G1359" s="189">
        <v>0.03</v>
      </c>
      <c r="H1359" s="139">
        <f t="shared" si="44"/>
        <v>45000</v>
      </c>
    </row>
    <row r="1360" spans="1:8" ht="18.75">
      <c r="A1360" s="135">
        <v>13398</v>
      </c>
      <c r="B1360" s="233">
        <v>0.1</v>
      </c>
      <c r="C1360" s="238">
        <v>12</v>
      </c>
      <c r="D1360" s="136" t="s">
        <v>854</v>
      </c>
      <c r="E1360" s="581"/>
      <c r="F1360" s="558">
        <v>2500000</v>
      </c>
      <c r="G1360" s="189">
        <v>0.03</v>
      </c>
      <c r="H1360" s="139">
        <f t="shared" si="44"/>
        <v>75000</v>
      </c>
    </row>
    <row r="1361" spans="1:8" ht="18.75">
      <c r="A1361" s="144">
        <v>13396</v>
      </c>
      <c r="B1361" s="233">
        <v>0.1</v>
      </c>
      <c r="C1361" s="238">
        <v>12</v>
      </c>
      <c r="D1361" s="136" t="s">
        <v>821</v>
      </c>
      <c r="E1361" s="581"/>
      <c r="F1361" s="558">
        <v>1050000</v>
      </c>
      <c r="G1361" s="189">
        <v>0.03</v>
      </c>
      <c r="H1361" s="139">
        <f t="shared" si="44"/>
        <v>31500</v>
      </c>
    </row>
    <row r="1362" spans="1:8" ht="18.75">
      <c r="A1362" s="135" t="s">
        <v>830</v>
      </c>
      <c r="B1362" s="233">
        <v>0.08</v>
      </c>
      <c r="C1362" s="238">
        <v>12</v>
      </c>
      <c r="D1362" s="136" t="s">
        <v>831</v>
      </c>
      <c r="E1362" s="581"/>
      <c r="F1362" s="558">
        <v>1350000</v>
      </c>
      <c r="G1362" s="1032">
        <v>0.02</v>
      </c>
      <c r="H1362" s="139">
        <f t="shared" si="44"/>
        <v>27000</v>
      </c>
    </row>
    <row r="1363" spans="1:8" ht="18.75">
      <c r="A1363" s="135">
        <v>13148</v>
      </c>
      <c r="B1363" s="233">
        <v>0.1</v>
      </c>
      <c r="C1363" s="891">
        <v>12</v>
      </c>
      <c r="D1363" s="259" t="s">
        <v>800</v>
      </c>
      <c r="E1363" s="581"/>
      <c r="F1363" s="558">
        <v>1150000</v>
      </c>
      <c r="G1363" s="189">
        <v>0.03</v>
      </c>
      <c r="H1363" s="139">
        <f t="shared" si="44"/>
        <v>34500</v>
      </c>
    </row>
    <row r="1364" spans="1:8" ht="18.75">
      <c r="A1364" s="135">
        <v>13167</v>
      </c>
      <c r="B1364" s="233">
        <v>0.1</v>
      </c>
      <c r="C1364" s="891">
        <v>12</v>
      </c>
      <c r="D1364" s="259" t="s">
        <v>804</v>
      </c>
      <c r="E1364" s="581"/>
      <c r="F1364" s="558">
        <v>900000</v>
      </c>
      <c r="G1364" s="189">
        <v>0.03</v>
      </c>
      <c r="H1364" s="139">
        <f t="shared" si="44"/>
        <v>27000</v>
      </c>
    </row>
    <row r="1365" spans="1:8" ht="18.75">
      <c r="A1365" s="135">
        <v>13183</v>
      </c>
      <c r="B1365" s="233">
        <v>0.1</v>
      </c>
      <c r="C1365" s="891">
        <v>12</v>
      </c>
      <c r="D1365" s="259" t="s">
        <v>1680</v>
      </c>
      <c r="E1365" s="581"/>
      <c r="F1365" s="558">
        <v>1280000</v>
      </c>
      <c r="G1365" s="189">
        <v>0.03</v>
      </c>
      <c r="H1365" s="139">
        <f t="shared" si="44"/>
        <v>38400</v>
      </c>
    </row>
    <row r="1366" spans="1:8" ht="18.75">
      <c r="A1366" s="135">
        <v>13200</v>
      </c>
      <c r="B1366" s="233">
        <v>0.1</v>
      </c>
      <c r="C1366" s="891">
        <v>12</v>
      </c>
      <c r="D1366" s="259" t="s">
        <v>806</v>
      </c>
      <c r="E1366" s="581"/>
      <c r="F1366" s="558">
        <v>1300000</v>
      </c>
      <c r="G1366" s="189">
        <v>0.03</v>
      </c>
      <c r="H1366" s="139">
        <f t="shared" si="44"/>
        <v>39000</v>
      </c>
    </row>
    <row r="1367" spans="1:8" ht="18.75">
      <c r="A1367" s="135">
        <v>13174</v>
      </c>
      <c r="B1367" s="233">
        <v>0.1</v>
      </c>
      <c r="C1367" s="891">
        <v>6</v>
      </c>
      <c r="D1367" s="259" t="s">
        <v>805</v>
      </c>
      <c r="E1367" s="581"/>
      <c r="F1367" s="558">
        <v>1300000</v>
      </c>
      <c r="G1367" s="189">
        <v>0.03</v>
      </c>
      <c r="H1367" s="139">
        <f t="shared" si="44"/>
        <v>39000</v>
      </c>
    </row>
    <row r="1368" spans="1:8" ht="18.75">
      <c r="A1368" s="135">
        <v>13204</v>
      </c>
      <c r="B1368" s="233">
        <v>0.1</v>
      </c>
      <c r="C1368" s="891">
        <v>12</v>
      </c>
      <c r="D1368" s="259" t="s">
        <v>808</v>
      </c>
      <c r="E1368" s="581"/>
      <c r="F1368" s="558">
        <v>1600000</v>
      </c>
      <c r="G1368" s="189">
        <v>0.03</v>
      </c>
      <c r="H1368" s="139">
        <f t="shared" si="44"/>
        <v>48000</v>
      </c>
    </row>
    <row r="1369" spans="1:8" ht="18.75">
      <c r="A1369" s="135">
        <v>13220</v>
      </c>
      <c r="B1369" s="233">
        <v>0.1</v>
      </c>
      <c r="C1369" s="891">
        <v>12</v>
      </c>
      <c r="D1369" s="259" t="s">
        <v>807</v>
      </c>
      <c r="E1369" s="581"/>
      <c r="F1369" s="558">
        <v>750000</v>
      </c>
      <c r="G1369" s="189">
        <v>0.03</v>
      </c>
      <c r="H1369" s="139">
        <f t="shared" si="44"/>
        <v>22500</v>
      </c>
    </row>
    <row r="1370" spans="1:8" ht="18.75">
      <c r="A1370" s="135">
        <v>13196</v>
      </c>
      <c r="B1370" s="233">
        <v>0.1</v>
      </c>
      <c r="C1370" s="891">
        <v>12</v>
      </c>
      <c r="D1370" s="259" t="s">
        <v>1682</v>
      </c>
      <c r="E1370" s="581"/>
      <c r="F1370" s="558">
        <v>1400000</v>
      </c>
      <c r="G1370" s="189">
        <v>0.03</v>
      </c>
      <c r="H1370" s="139">
        <f t="shared" si="44"/>
        <v>42000</v>
      </c>
    </row>
    <row r="1371" spans="1:8" ht="18.75">
      <c r="A1371" s="135">
        <v>13231</v>
      </c>
      <c r="B1371" s="233">
        <v>0.1</v>
      </c>
      <c r="C1371" s="891">
        <v>12</v>
      </c>
      <c r="D1371" s="136" t="s">
        <v>810</v>
      </c>
      <c r="E1371" s="581"/>
      <c r="F1371" s="558">
        <v>2000000</v>
      </c>
      <c r="G1371" s="189">
        <v>0.03</v>
      </c>
      <c r="H1371" s="139">
        <f t="shared" si="44"/>
        <v>60000</v>
      </c>
    </row>
    <row r="1372" spans="1:8" ht="18.75">
      <c r="A1372" s="135">
        <v>13253</v>
      </c>
      <c r="B1372" s="233">
        <v>0.1</v>
      </c>
      <c r="C1372" s="891">
        <v>12</v>
      </c>
      <c r="D1372" s="259" t="s">
        <v>837</v>
      </c>
      <c r="E1372" s="581"/>
      <c r="F1372" s="558">
        <v>1500000</v>
      </c>
      <c r="G1372" s="189">
        <v>0.03</v>
      </c>
      <c r="H1372" s="139">
        <f t="shared" si="44"/>
        <v>45000</v>
      </c>
    </row>
    <row r="1373" spans="1:8" ht="18.75">
      <c r="A1373" s="135">
        <v>13267</v>
      </c>
      <c r="B1373" s="233">
        <v>0.1</v>
      </c>
      <c r="C1373" s="891">
        <v>12</v>
      </c>
      <c r="D1373" s="259" t="s">
        <v>812</v>
      </c>
      <c r="E1373" s="581"/>
      <c r="F1373" s="558">
        <v>1250000</v>
      </c>
      <c r="G1373" s="189">
        <v>0.03</v>
      </c>
      <c r="H1373" s="139">
        <f t="shared" si="44"/>
        <v>37500</v>
      </c>
    </row>
    <row r="1374" spans="1:8" ht="18.75">
      <c r="A1374" s="135">
        <v>13284</v>
      </c>
      <c r="B1374" s="233">
        <v>0.1</v>
      </c>
      <c r="C1374" s="891">
        <v>12</v>
      </c>
      <c r="D1374" s="259" t="s">
        <v>841</v>
      </c>
      <c r="E1374" s="581"/>
      <c r="F1374" s="558">
        <v>1350000</v>
      </c>
      <c r="G1374" s="189">
        <v>0.03</v>
      </c>
      <c r="H1374" s="139">
        <f t="shared" si="44"/>
        <v>40500</v>
      </c>
    </row>
    <row r="1375" spans="1:8" ht="18.75">
      <c r="A1375" s="135">
        <v>13313</v>
      </c>
      <c r="B1375" s="233">
        <v>0.1</v>
      </c>
      <c r="C1375" s="891">
        <v>12</v>
      </c>
      <c r="D1375" s="259" t="s">
        <v>814</v>
      </c>
      <c r="E1375" s="581"/>
      <c r="F1375" s="558">
        <v>1500000</v>
      </c>
      <c r="G1375" s="189">
        <v>0.03</v>
      </c>
      <c r="H1375" s="139">
        <f t="shared" si="44"/>
        <v>45000</v>
      </c>
    </row>
    <row r="1376" spans="1:8" ht="18.75">
      <c r="A1376" s="135">
        <v>13334</v>
      </c>
      <c r="B1376" s="233">
        <v>0.08</v>
      </c>
      <c r="C1376" s="891">
        <v>12</v>
      </c>
      <c r="D1376" s="1235" t="s">
        <v>842</v>
      </c>
      <c r="E1376" s="581"/>
      <c r="F1376" s="558">
        <v>1500000</v>
      </c>
      <c r="G1376" s="1032">
        <v>0.02</v>
      </c>
      <c r="H1376" s="139">
        <f t="shared" si="44"/>
        <v>30000</v>
      </c>
    </row>
    <row r="1377" spans="1:9" ht="18.75">
      <c r="A1377" s="135">
        <v>13327</v>
      </c>
      <c r="B1377" s="233">
        <v>0.1</v>
      </c>
      <c r="C1377" s="891">
        <v>12</v>
      </c>
      <c r="D1377" s="1235" t="s">
        <v>843</v>
      </c>
      <c r="E1377" s="581"/>
      <c r="F1377" s="558">
        <v>1550000</v>
      </c>
      <c r="G1377" s="189">
        <v>0.03</v>
      </c>
      <c r="H1377" s="139">
        <f t="shared" si="44"/>
        <v>46500</v>
      </c>
    </row>
    <row r="1378" spans="1:9" ht="18.75">
      <c r="A1378" s="135">
        <v>13342</v>
      </c>
      <c r="B1378" s="233">
        <v>0.1</v>
      </c>
      <c r="C1378" s="891">
        <v>12</v>
      </c>
      <c r="D1378" s="1236" t="s">
        <v>1683</v>
      </c>
      <c r="E1378" s="581"/>
      <c r="F1378" s="558">
        <v>1350000</v>
      </c>
      <c r="G1378" s="189">
        <v>0.03</v>
      </c>
      <c r="H1378" s="139">
        <f t="shared" si="44"/>
        <v>40500</v>
      </c>
    </row>
    <row r="1379" spans="1:9" ht="18.75">
      <c r="A1379" s="135">
        <v>13350</v>
      </c>
      <c r="B1379" s="233">
        <v>0.08</v>
      </c>
      <c r="C1379" s="891">
        <v>12</v>
      </c>
      <c r="D1379" s="259" t="s">
        <v>1684</v>
      </c>
      <c r="E1379" s="581"/>
      <c r="F1379" s="558">
        <v>1300000</v>
      </c>
      <c r="G1379" s="1032">
        <v>0.02</v>
      </c>
      <c r="H1379" s="139">
        <f t="shared" si="44"/>
        <v>26000</v>
      </c>
    </row>
    <row r="1380" spans="1:9" ht="18.75">
      <c r="A1380" s="135">
        <v>13383</v>
      </c>
      <c r="B1380" s="233">
        <v>0.1</v>
      </c>
      <c r="C1380" s="891">
        <v>12</v>
      </c>
      <c r="D1380" s="259" t="s">
        <v>817</v>
      </c>
      <c r="E1380" s="581"/>
      <c r="F1380" s="558">
        <v>1600000</v>
      </c>
      <c r="G1380" s="189">
        <v>0.03</v>
      </c>
      <c r="H1380" s="139">
        <f t="shared" si="44"/>
        <v>48000</v>
      </c>
    </row>
    <row r="1381" spans="1:9" ht="18.75">
      <c r="A1381" s="135">
        <v>13411</v>
      </c>
      <c r="B1381" s="233">
        <v>0.1</v>
      </c>
      <c r="C1381" s="891">
        <v>12</v>
      </c>
      <c r="D1381" s="259" t="s">
        <v>818</v>
      </c>
      <c r="E1381" s="581"/>
      <c r="F1381" s="558">
        <v>900000</v>
      </c>
      <c r="G1381" s="189">
        <v>0.03</v>
      </c>
      <c r="H1381" s="139">
        <f t="shared" si="44"/>
        <v>27000</v>
      </c>
    </row>
    <row r="1382" spans="1:9" ht="18.75">
      <c r="A1382" s="135">
        <v>13403</v>
      </c>
      <c r="B1382" s="233">
        <v>0.1</v>
      </c>
      <c r="C1382" s="891">
        <v>12</v>
      </c>
      <c r="D1382" s="259" t="s">
        <v>811</v>
      </c>
      <c r="E1382" s="581"/>
      <c r="F1382" s="558">
        <v>1400000</v>
      </c>
      <c r="G1382" s="189">
        <v>0.03</v>
      </c>
      <c r="H1382" s="139">
        <f t="shared" si="44"/>
        <v>42000</v>
      </c>
    </row>
    <row r="1383" spans="1:9" ht="18.75">
      <c r="A1383" s="135">
        <v>13388</v>
      </c>
      <c r="B1383" s="233">
        <v>0.1</v>
      </c>
      <c r="C1383" s="891">
        <v>12</v>
      </c>
      <c r="D1383" s="259" t="s">
        <v>819</v>
      </c>
      <c r="E1383" s="581"/>
      <c r="F1383" s="558">
        <v>1100000</v>
      </c>
      <c r="G1383" s="189">
        <v>0.03</v>
      </c>
      <c r="H1383" s="139">
        <f t="shared" si="44"/>
        <v>33000</v>
      </c>
    </row>
    <row r="1384" spans="1:9" ht="18.75">
      <c r="A1384" s="1188"/>
      <c r="B1384" s="1214"/>
      <c r="C1384" s="1185"/>
      <c r="D1384" s="266"/>
      <c r="E1384" s="796"/>
      <c r="F1384" s="329"/>
      <c r="G1384" s="183"/>
      <c r="H1384" s="550"/>
    </row>
    <row r="1385" spans="1:9" ht="21">
      <c r="A1385" s="163"/>
      <c r="B1385" s="1214"/>
      <c r="C1385" s="1188"/>
      <c r="D1385" s="262"/>
      <c r="E1385" s="1031" t="s">
        <v>80</v>
      </c>
      <c r="F1385" s="867">
        <f>SUM(F1342:F1384)</f>
        <v>55927845</v>
      </c>
      <c r="G1385" s="910"/>
      <c r="H1385" s="1033">
        <f>SUM(H1342:H1384)</f>
        <v>1592735.35</v>
      </c>
    </row>
    <row r="1386" spans="1:9" ht="18.75">
      <c r="A1386" s="1639"/>
      <c r="B1386" s="1639"/>
      <c r="C1386" s="1639"/>
      <c r="D1386" s="1639"/>
      <c r="E1386" s="1639"/>
      <c r="F1386" s="1639"/>
      <c r="G1386" s="1639"/>
      <c r="H1386" s="1639"/>
    </row>
    <row r="1387" spans="1:9" ht="18.75">
      <c r="A1387" s="1627"/>
      <c r="B1387" s="1627"/>
      <c r="C1387" s="1627"/>
      <c r="D1387" s="1627"/>
      <c r="E1387" s="1627"/>
      <c r="F1387" s="1627"/>
      <c r="G1387" s="1627"/>
      <c r="H1387" s="1627"/>
    </row>
    <row r="1388" spans="1:9" ht="18.75">
      <c r="A1388" s="1649"/>
      <c r="B1388" s="1649"/>
      <c r="C1388" s="1649"/>
      <c r="D1388" s="1649"/>
      <c r="E1388" s="1649"/>
      <c r="F1388" s="1649"/>
      <c r="G1388" s="1649"/>
      <c r="H1388" s="1649"/>
    </row>
    <row r="1389" spans="1:9" ht="26.25">
      <c r="A1389" s="1643" t="s">
        <v>1687</v>
      </c>
      <c r="B1389" s="1643"/>
      <c r="C1389" s="1643"/>
      <c r="D1389" s="1643"/>
      <c r="E1389" s="1643"/>
      <c r="F1389" s="1643"/>
      <c r="G1389" s="1643"/>
      <c r="H1389" s="1644"/>
      <c r="I1389" s="1172"/>
    </row>
    <row r="1390" spans="1:9" ht="18.75">
      <c r="I1390" s="1172"/>
    </row>
    <row r="1391" spans="1:9" ht="26.25">
      <c r="A1391" s="1640" t="s">
        <v>1688</v>
      </c>
      <c r="B1391" s="1640"/>
      <c r="C1391" s="1641"/>
      <c r="D1391" s="1640"/>
      <c r="E1391" s="1640"/>
      <c r="F1391" s="1640"/>
      <c r="G1391" s="1640"/>
      <c r="H1391" s="1642"/>
      <c r="I1391" s="1172"/>
    </row>
    <row r="1392" spans="1:9" ht="30.75">
      <c r="A1392" s="45" t="s">
        <v>1463</v>
      </c>
      <c r="B1392" s="646" t="s">
        <v>1497</v>
      </c>
      <c r="C1392" s="132" t="s">
        <v>1465</v>
      </c>
      <c r="D1392" s="647" t="s">
        <v>5</v>
      </c>
      <c r="E1392" s="47" t="s">
        <v>1466</v>
      </c>
      <c r="F1392" s="48" t="s">
        <v>1467</v>
      </c>
      <c r="G1392" s="48" t="s">
        <v>7</v>
      </c>
      <c r="H1392" s="62" t="s">
        <v>1468</v>
      </c>
      <c r="I1392" s="1174" t="s">
        <v>1624</v>
      </c>
    </row>
    <row r="1393" spans="1:9" ht="18.75">
      <c r="A1393" s="135">
        <v>13421</v>
      </c>
      <c r="B1393" s="233">
        <v>0.1</v>
      </c>
      <c r="C1393" s="238">
        <v>12</v>
      </c>
      <c r="D1393" s="136" t="s">
        <v>1689</v>
      </c>
      <c r="E1393" s="581"/>
      <c r="F1393" s="558">
        <v>1500000</v>
      </c>
      <c r="G1393" s="138">
        <v>0.05</v>
      </c>
      <c r="H1393" s="882">
        <f>F1393*G1393</f>
        <v>75000</v>
      </c>
      <c r="I1393" s="1175" t="s">
        <v>1625</v>
      </c>
    </row>
    <row r="1394" spans="1:9" ht="18.75">
      <c r="A1394" s="135" t="s">
        <v>863</v>
      </c>
      <c r="B1394" s="233">
        <v>0.1</v>
      </c>
      <c r="C1394" s="238">
        <v>12</v>
      </c>
      <c r="D1394" s="259" t="s">
        <v>864</v>
      </c>
      <c r="E1394" s="581"/>
      <c r="F1394" s="558">
        <v>1300000</v>
      </c>
      <c r="G1394" s="138">
        <v>0.05</v>
      </c>
      <c r="H1394" s="882">
        <f t="shared" ref="H1394:H1412" si="45">F1394*G1394</f>
        <v>65000</v>
      </c>
      <c r="I1394" s="1175" t="s">
        <v>1625</v>
      </c>
    </row>
    <row r="1395" spans="1:9" ht="18.75">
      <c r="A1395" s="135">
        <v>13428</v>
      </c>
      <c r="B1395" s="233">
        <v>0.1</v>
      </c>
      <c r="C1395" s="238">
        <v>12</v>
      </c>
      <c r="D1395" s="259" t="s">
        <v>886</v>
      </c>
      <c r="E1395" s="581"/>
      <c r="F1395" s="558">
        <v>1500000</v>
      </c>
      <c r="G1395" s="138">
        <v>0.05</v>
      </c>
      <c r="H1395" s="882">
        <f t="shared" si="45"/>
        <v>75000</v>
      </c>
      <c r="I1395" s="1175" t="s">
        <v>1625</v>
      </c>
    </row>
    <row r="1396" spans="1:9" ht="18.75">
      <c r="A1396" s="135">
        <v>13450</v>
      </c>
      <c r="B1396" s="233">
        <v>0.1</v>
      </c>
      <c r="C1396" s="238">
        <v>12</v>
      </c>
      <c r="D1396" s="1237" t="s">
        <v>890</v>
      </c>
      <c r="E1396" s="581"/>
      <c r="F1396" s="558">
        <v>1300000</v>
      </c>
      <c r="G1396" s="138">
        <v>0.05</v>
      </c>
      <c r="H1396" s="882">
        <f t="shared" si="45"/>
        <v>65000</v>
      </c>
      <c r="I1396" s="1175" t="s">
        <v>1625</v>
      </c>
    </row>
    <row r="1397" spans="1:9" ht="18.75">
      <c r="A1397" s="135">
        <v>13475</v>
      </c>
      <c r="B1397" s="233">
        <v>0.1</v>
      </c>
      <c r="C1397" s="238">
        <v>12</v>
      </c>
      <c r="D1397" s="259" t="s">
        <v>140</v>
      </c>
      <c r="E1397" s="581"/>
      <c r="F1397" s="558">
        <v>1300000</v>
      </c>
      <c r="G1397" s="138">
        <v>0.05</v>
      </c>
      <c r="H1397" s="882">
        <f t="shared" si="45"/>
        <v>65000</v>
      </c>
      <c r="I1397" s="1175" t="s">
        <v>1625</v>
      </c>
    </row>
    <row r="1398" spans="1:9" ht="18.75">
      <c r="A1398" s="135">
        <v>13484</v>
      </c>
      <c r="B1398" s="233">
        <v>0.1</v>
      </c>
      <c r="C1398" s="238">
        <v>12</v>
      </c>
      <c r="D1398" s="1237" t="s">
        <v>1690</v>
      </c>
      <c r="E1398" s="581"/>
      <c r="F1398" s="558">
        <v>1100000</v>
      </c>
      <c r="G1398" s="138">
        <v>0.05</v>
      </c>
      <c r="H1398" s="882">
        <f t="shared" si="45"/>
        <v>55000</v>
      </c>
      <c r="I1398" s="1175" t="s">
        <v>1625</v>
      </c>
    </row>
    <row r="1399" spans="1:9" ht="18.75">
      <c r="A1399" s="135">
        <v>13492</v>
      </c>
      <c r="B1399" s="233">
        <v>0.1</v>
      </c>
      <c r="C1399" s="238">
        <v>12</v>
      </c>
      <c r="D1399" s="1237" t="s">
        <v>892</v>
      </c>
      <c r="E1399" s="581"/>
      <c r="F1399" s="558">
        <v>1450000</v>
      </c>
      <c r="G1399" s="138">
        <v>0.05</v>
      </c>
      <c r="H1399" s="882">
        <f t="shared" si="45"/>
        <v>72500</v>
      </c>
      <c r="I1399" s="1175" t="s">
        <v>1625</v>
      </c>
    </row>
    <row r="1400" spans="1:9" ht="18.75">
      <c r="A1400" s="135">
        <v>13486</v>
      </c>
      <c r="B1400" s="233">
        <v>0.1</v>
      </c>
      <c r="C1400" s="238">
        <v>12</v>
      </c>
      <c r="D1400" s="259" t="s">
        <v>126</v>
      </c>
      <c r="E1400" s="581"/>
      <c r="F1400" s="558">
        <v>1350000</v>
      </c>
      <c r="G1400" s="138">
        <v>0.05</v>
      </c>
      <c r="H1400" s="882">
        <f t="shared" si="45"/>
        <v>67500</v>
      </c>
      <c r="I1400" s="1175" t="s">
        <v>1625</v>
      </c>
    </row>
    <row r="1401" spans="1:9" ht="18.75">
      <c r="A1401" s="135">
        <v>13491</v>
      </c>
      <c r="B1401" s="233">
        <v>0.1</v>
      </c>
      <c r="C1401" s="238">
        <v>12</v>
      </c>
      <c r="D1401" s="136" t="s">
        <v>893</v>
      </c>
      <c r="E1401" s="581"/>
      <c r="F1401" s="558">
        <v>1100000</v>
      </c>
      <c r="G1401" s="138">
        <v>0.05</v>
      </c>
      <c r="H1401" s="882">
        <f t="shared" si="45"/>
        <v>55000</v>
      </c>
      <c r="I1401" s="1175" t="s">
        <v>1625</v>
      </c>
    </row>
    <row r="1402" spans="1:9" ht="18.75">
      <c r="A1402" s="135">
        <v>13480</v>
      </c>
      <c r="B1402" s="233">
        <v>0.1</v>
      </c>
      <c r="C1402" s="238">
        <v>12</v>
      </c>
      <c r="D1402" s="651" t="s">
        <v>1691</v>
      </c>
      <c r="E1402" s="581"/>
      <c r="F1402" s="558">
        <v>1200000</v>
      </c>
      <c r="G1402" s="138">
        <v>0.05</v>
      </c>
      <c r="H1402" s="882">
        <f t="shared" si="45"/>
        <v>60000</v>
      </c>
      <c r="I1402" s="1175" t="s">
        <v>1625</v>
      </c>
    </row>
    <row r="1403" spans="1:9" ht="18.75">
      <c r="A1403" s="135">
        <v>13497</v>
      </c>
      <c r="B1403" s="233">
        <v>0.1</v>
      </c>
      <c r="C1403" s="238">
        <v>12</v>
      </c>
      <c r="D1403" s="259" t="s">
        <v>896</v>
      </c>
      <c r="E1403" s="581"/>
      <c r="F1403" s="558">
        <v>1350000</v>
      </c>
      <c r="G1403" s="138">
        <v>0.05</v>
      </c>
      <c r="H1403" s="882">
        <f t="shared" si="45"/>
        <v>67500</v>
      </c>
      <c r="I1403" s="1175" t="s">
        <v>1625</v>
      </c>
    </row>
    <row r="1404" spans="1:9" ht="18.75">
      <c r="A1404" s="135">
        <v>13499</v>
      </c>
      <c r="B1404" s="233">
        <v>0.1</v>
      </c>
      <c r="C1404" s="238">
        <v>12</v>
      </c>
      <c r="D1404" s="259" t="s">
        <v>871</v>
      </c>
      <c r="E1404" s="581"/>
      <c r="F1404" s="558">
        <v>1000000</v>
      </c>
      <c r="G1404" s="138">
        <v>0.05</v>
      </c>
      <c r="H1404" s="882">
        <f t="shared" si="45"/>
        <v>50000</v>
      </c>
      <c r="I1404" s="1175" t="s">
        <v>1625</v>
      </c>
    </row>
    <row r="1405" spans="1:9" ht="18.75">
      <c r="A1405" s="135">
        <v>13527</v>
      </c>
      <c r="B1405" s="233">
        <v>0.08</v>
      </c>
      <c r="C1405" s="238">
        <v>12</v>
      </c>
      <c r="D1405" s="136" t="s">
        <v>897</v>
      </c>
      <c r="E1405" s="581"/>
      <c r="F1405" s="558">
        <v>1500000</v>
      </c>
      <c r="G1405" s="140">
        <v>0.04</v>
      </c>
      <c r="H1405" s="882">
        <f t="shared" si="45"/>
        <v>60000</v>
      </c>
      <c r="I1405" s="1175" t="s">
        <v>1625</v>
      </c>
    </row>
    <row r="1406" spans="1:9" ht="18.75">
      <c r="A1406" s="135">
        <v>13563</v>
      </c>
      <c r="B1406" s="233">
        <v>0.1</v>
      </c>
      <c r="C1406" s="238">
        <v>12</v>
      </c>
      <c r="D1406" s="259" t="s">
        <v>885</v>
      </c>
      <c r="E1406" s="581"/>
      <c r="F1406" s="558">
        <v>1100000</v>
      </c>
      <c r="G1406" s="138">
        <v>0.05</v>
      </c>
      <c r="H1406" s="882">
        <f t="shared" si="45"/>
        <v>55000</v>
      </c>
      <c r="I1406" s="1175" t="s">
        <v>1625</v>
      </c>
    </row>
    <row r="1407" spans="1:9" ht="18.75">
      <c r="A1407" s="135">
        <v>13554</v>
      </c>
      <c r="B1407" s="233">
        <v>0.1</v>
      </c>
      <c r="C1407" s="238">
        <v>12</v>
      </c>
      <c r="D1407" s="259" t="s">
        <v>1692</v>
      </c>
      <c r="E1407" s="581"/>
      <c r="F1407" s="558">
        <v>1100000</v>
      </c>
      <c r="G1407" s="138">
        <v>0.05</v>
      </c>
      <c r="H1407" s="882">
        <f t="shared" si="45"/>
        <v>55000</v>
      </c>
      <c r="I1407" s="1175" t="s">
        <v>1625</v>
      </c>
    </row>
    <row r="1408" spans="1:9" ht="18.75">
      <c r="A1408" s="135">
        <v>13579</v>
      </c>
      <c r="B1408" s="233">
        <v>0.1</v>
      </c>
      <c r="C1408" s="238">
        <v>12</v>
      </c>
      <c r="D1408" s="259" t="s">
        <v>875</v>
      </c>
      <c r="E1408" s="581"/>
      <c r="F1408" s="558">
        <v>750000</v>
      </c>
      <c r="G1408" s="138">
        <v>0.05</v>
      </c>
      <c r="H1408" s="882">
        <f t="shared" si="45"/>
        <v>37500</v>
      </c>
      <c r="I1408" s="1175" t="s">
        <v>1625</v>
      </c>
    </row>
    <row r="1409" spans="1:10" ht="18.75">
      <c r="A1409" s="135">
        <v>13598</v>
      </c>
      <c r="B1409" s="233">
        <v>0.1</v>
      </c>
      <c r="C1409" s="238">
        <v>12</v>
      </c>
      <c r="D1409" s="259" t="s">
        <v>862</v>
      </c>
      <c r="E1409" s="581"/>
      <c r="F1409" s="558">
        <v>1400000</v>
      </c>
      <c r="G1409" s="138">
        <v>0.05</v>
      </c>
      <c r="H1409" s="882">
        <f t="shared" si="45"/>
        <v>70000</v>
      </c>
      <c r="I1409" s="1175" t="s">
        <v>1625</v>
      </c>
    </row>
    <row r="1410" spans="1:10" ht="18.75">
      <c r="A1410" s="135">
        <v>13617</v>
      </c>
      <c r="B1410" s="233">
        <v>0.1</v>
      </c>
      <c r="C1410" s="238">
        <v>12</v>
      </c>
      <c r="D1410" s="259" t="s">
        <v>901</v>
      </c>
      <c r="E1410" s="581"/>
      <c r="F1410" s="558">
        <v>1350000</v>
      </c>
      <c r="G1410" s="138">
        <v>0.05</v>
      </c>
      <c r="H1410" s="882">
        <f t="shared" si="45"/>
        <v>67500</v>
      </c>
      <c r="I1410" s="1175" t="s">
        <v>1625</v>
      </c>
    </row>
    <row r="1411" spans="1:10" ht="18.75">
      <c r="A1411" s="135">
        <v>13620</v>
      </c>
      <c r="B1411" s="233">
        <v>0.09</v>
      </c>
      <c r="C1411" s="238">
        <v>12</v>
      </c>
      <c r="D1411" s="259" t="s">
        <v>900</v>
      </c>
      <c r="E1411" s="581"/>
      <c r="F1411" s="558">
        <v>1350000</v>
      </c>
      <c r="G1411" s="140">
        <v>0.04</v>
      </c>
      <c r="H1411" s="882">
        <f t="shared" si="45"/>
        <v>54000</v>
      </c>
      <c r="I1411" s="1175"/>
      <c r="J1411" t="s">
        <v>1693</v>
      </c>
    </row>
    <row r="1412" spans="1:10" ht="18.75">
      <c r="A1412" s="135">
        <v>13638</v>
      </c>
      <c r="B1412" s="233">
        <v>0.1</v>
      </c>
      <c r="C1412" s="238">
        <v>12</v>
      </c>
      <c r="D1412" s="259" t="s">
        <v>909</v>
      </c>
      <c r="E1412" s="581"/>
      <c r="F1412" s="558">
        <v>1400000</v>
      </c>
      <c r="G1412" s="138">
        <v>0.05</v>
      </c>
      <c r="H1412" s="882">
        <f t="shared" si="45"/>
        <v>70000</v>
      </c>
      <c r="I1412" s="1175" t="s">
        <v>1625</v>
      </c>
      <c r="J1412" t="s">
        <v>1694</v>
      </c>
    </row>
    <row r="1413" spans="1:10" ht="18.75">
      <c r="A1413" s="211" t="s">
        <v>297</v>
      </c>
      <c r="B1413" s="267"/>
      <c r="C1413" s="814"/>
      <c r="D1413" s="277" t="s">
        <v>904</v>
      </c>
      <c r="E1413" s="567" t="s">
        <v>977</v>
      </c>
      <c r="F1413" s="889"/>
      <c r="G1413" s="220"/>
      <c r="H1413" s="883"/>
      <c r="I1413" s="1175"/>
    </row>
    <row r="1414" spans="1:10" ht="18.75">
      <c r="A1414" s="211" t="s">
        <v>297</v>
      </c>
      <c r="B1414" s="267"/>
      <c r="C1414" s="814"/>
      <c r="D1414" s="757" t="s">
        <v>902</v>
      </c>
      <c r="E1414" s="567" t="s">
        <v>977</v>
      </c>
      <c r="F1414" s="889"/>
      <c r="G1414" s="220"/>
      <c r="H1414" s="883"/>
      <c r="I1414" s="1175"/>
    </row>
    <row r="1415" spans="1:10" ht="18.75">
      <c r="A1415" s="211" t="s">
        <v>297</v>
      </c>
      <c r="B1415" s="267"/>
      <c r="C1415" s="814"/>
      <c r="D1415" s="757" t="s">
        <v>910</v>
      </c>
      <c r="E1415" s="878" t="s">
        <v>911</v>
      </c>
      <c r="F1415" s="889"/>
      <c r="G1415" s="220"/>
      <c r="H1415" s="883"/>
      <c r="I1415" s="1175"/>
    </row>
    <row r="1416" spans="1:10" ht="18.75">
      <c r="A1416" s="163"/>
      <c r="B1416" s="318"/>
      <c r="C1416" s="792"/>
      <c r="D1416" s="262"/>
      <c r="E1416" s="720"/>
      <c r="F1416" s="793"/>
      <c r="G1416" s="162"/>
      <c r="H1416" s="884"/>
      <c r="I1416" s="1175"/>
    </row>
    <row r="1417" spans="1:10" ht="18.75">
      <c r="A1417" s="1188"/>
      <c r="B1417" s="318"/>
      <c r="C1417" s="792"/>
      <c r="D1417" s="262"/>
      <c r="E1417" s="720"/>
      <c r="F1417" s="261"/>
      <c r="G1417" s="659"/>
      <c r="H1417" s="886"/>
      <c r="I1417" s="1175"/>
    </row>
    <row r="1418" spans="1:10" ht="20.25">
      <c r="A1418" s="163"/>
      <c r="B1418" s="318"/>
      <c r="C1418" s="792"/>
      <c r="D1418" s="262"/>
      <c r="E1418" s="947"/>
      <c r="F1418" s="948">
        <f>SUM(F1393:F1416)</f>
        <v>25400000</v>
      </c>
      <c r="G1418" s="949"/>
      <c r="H1418" s="950">
        <f>SUM(H1393:H1412)</f>
        <v>1241500</v>
      </c>
      <c r="I1418" s="1175"/>
    </row>
    <row r="1419" spans="1:10" ht="26.25">
      <c r="A1419" s="1645"/>
      <c r="B1419" s="1645"/>
      <c r="C1419" s="1645"/>
      <c r="D1419" s="1645"/>
      <c r="E1419" s="1645"/>
      <c r="F1419" s="1645"/>
      <c r="G1419" s="1645"/>
      <c r="H1419" s="1645"/>
      <c r="I1419" s="1650"/>
    </row>
    <row r="1420" spans="1:10" ht="26.25">
      <c r="A1420" s="797"/>
      <c r="B1420" s="797"/>
      <c r="C1420" s="797"/>
      <c r="D1420" s="797"/>
      <c r="E1420" s="797"/>
      <c r="F1420" s="797"/>
      <c r="G1420" s="797"/>
      <c r="H1420" s="797"/>
      <c r="I1420" s="1650"/>
    </row>
    <row r="1421" spans="1:10" ht="26.25">
      <c r="A1421" s="1640" t="s">
        <v>1695</v>
      </c>
      <c r="B1421" s="1640"/>
      <c r="C1421" s="1640"/>
      <c r="D1421" s="1640"/>
      <c r="E1421" s="1640"/>
      <c r="F1421" s="1640"/>
      <c r="G1421" s="1640"/>
      <c r="H1421" s="1642"/>
      <c r="I1421" s="1172"/>
    </row>
    <row r="1422" spans="1:10" ht="30.75">
      <c r="A1422" s="45" t="s">
        <v>1463</v>
      </c>
      <c r="B1422" s="646" t="s">
        <v>1497</v>
      </c>
      <c r="C1422" s="251" t="s">
        <v>1465</v>
      </c>
      <c r="D1422" s="647" t="s">
        <v>5</v>
      </c>
      <c r="E1422" s="47" t="s">
        <v>1466</v>
      </c>
      <c r="F1422" s="48" t="s">
        <v>1467</v>
      </c>
      <c r="G1422" s="48" t="s">
        <v>7</v>
      </c>
      <c r="H1422" s="62" t="s">
        <v>1468</v>
      </c>
      <c r="I1422" s="1174" t="s">
        <v>1624</v>
      </c>
    </row>
    <row r="1423" spans="1:10" ht="18.75">
      <c r="A1423" s="135">
        <v>13415</v>
      </c>
      <c r="B1423" s="233">
        <v>0.1</v>
      </c>
      <c r="C1423" s="891">
        <v>12</v>
      </c>
      <c r="D1423" s="259" t="s">
        <v>861</v>
      </c>
      <c r="E1423" s="581"/>
      <c r="F1423" s="558">
        <v>1350000</v>
      </c>
      <c r="G1423" s="138">
        <v>0.05</v>
      </c>
      <c r="H1423" s="882">
        <f>F1423*G1423</f>
        <v>67500</v>
      </c>
      <c r="I1423" s="1175" t="s">
        <v>1625</v>
      </c>
    </row>
    <row r="1424" spans="1:10" ht="18.75">
      <c r="A1424" s="135">
        <v>13430</v>
      </c>
      <c r="B1424" s="233">
        <v>0.1</v>
      </c>
      <c r="C1424" s="891">
        <v>12</v>
      </c>
      <c r="D1424" s="259" t="s">
        <v>866</v>
      </c>
      <c r="E1424" s="581"/>
      <c r="F1424" s="558">
        <v>1100000</v>
      </c>
      <c r="G1424" s="138">
        <v>0.05</v>
      </c>
      <c r="H1424" s="882">
        <f t="shared" ref="H1424:H1440" si="46">F1424*G1424</f>
        <v>55000</v>
      </c>
      <c r="I1424" s="1175" t="s">
        <v>1625</v>
      </c>
    </row>
    <row r="1425" spans="1:9" ht="18.75">
      <c r="A1425" s="135">
        <v>13417</v>
      </c>
      <c r="B1425" s="233">
        <v>0.1</v>
      </c>
      <c r="C1425" s="891">
        <v>12</v>
      </c>
      <c r="D1425" s="136" t="s">
        <v>884</v>
      </c>
      <c r="E1425" s="581"/>
      <c r="F1425" s="558">
        <v>800000</v>
      </c>
      <c r="G1425" s="138">
        <v>0.05</v>
      </c>
      <c r="H1425" s="882">
        <f t="shared" si="46"/>
        <v>40000</v>
      </c>
      <c r="I1425" s="1175" t="s">
        <v>1625</v>
      </c>
    </row>
    <row r="1426" spans="1:9" ht="18.75">
      <c r="A1426" s="135">
        <v>13447</v>
      </c>
      <c r="B1426" s="233">
        <v>0.1</v>
      </c>
      <c r="C1426" s="891">
        <v>12</v>
      </c>
      <c r="D1426" s="136" t="s">
        <v>888</v>
      </c>
      <c r="E1426" s="581"/>
      <c r="F1426" s="558">
        <v>1300000</v>
      </c>
      <c r="G1426" s="138">
        <v>0.05</v>
      </c>
      <c r="H1426" s="882">
        <f t="shared" si="46"/>
        <v>65000</v>
      </c>
      <c r="I1426" s="1175" t="s">
        <v>1625</v>
      </c>
    </row>
    <row r="1427" spans="1:9" ht="18.75">
      <c r="A1427" s="135">
        <v>13449</v>
      </c>
      <c r="B1427" s="233">
        <v>0.1</v>
      </c>
      <c r="C1427" s="891">
        <v>12</v>
      </c>
      <c r="D1427" s="259" t="s">
        <v>1696</v>
      </c>
      <c r="E1427" s="581"/>
      <c r="F1427" s="558">
        <v>750000</v>
      </c>
      <c r="G1427" s="138">
        <v>0.05</v>
      </c>
      <c r="H1427" s="882">
        <f t="shared" si="46"/>
        <v>37500</v>
      </c>
      <c r="I1427" s="1175" t="s">
        <v>1625</v>
      </c>
    </row>
    <row r="1428" spans="1:9" ht="18.75">
      <c r="A1428" s="135">
        <v>13459</v>
      </c>
      <c r="B1428" s="233">
        <v>0.1</v>
      </c>
      <c r="C1428" s="891">
        <v>12</v>
      </c>
      <c r="D1428" s="259" t="s">
        <v>868</v>
      </c>
      <c r="E1428" s="581"/>
      <c r="F1428" s="558">
        <v>1300000</v>
      </c>
      <c r="G1428" s="138">
        <v>0.05</v>
      </c>
      <c r="H1428" s="882">
        <f t="shared" si="46"/>
        <v>65000</v>
      </c>
      <c r="I1428" s="1175" t="s">
        <v>1625</v>
      </c>
    </row>
    <row r="1429" spans="1:9" ht="18.75">
      <c r="A1429" s="135">
        <v>13479</v>
      </c>
      <c r="B1429" s="233">
        <v>0.1</v>
      </c>
      <c r="C1429" s="891">
        <v>12</v>
      </c>
      <c r="D1429" s="259" t="s">
        <v>869</v>
      </c>
      <c r="E1429" s="581"/>
      <c r="F1429" s="558">
        <v>1100000</v>
      </c>
      <c r="G1429" s="138">
        <v>0.05</v>
      </c>
      <c r="H1429" s="882">
        <f t="shared" si="46"/>
        <v>55000</v>
      </c>
      <c r="I1429" s="1175" t="s">
        <v>1625</v>
      </c>
    </row>
    <row r="1430" spans="1:9" ht="18.75">
      <c r="A1430" s="135">
        <v>13501</v>
      </c>
      <c r="B1430" s="233">
        <v>0.1</v>
      </c>
      <c r="C1430" s="891">
        <v>12</v>
      </c>
      <c r="D1430" s="259" t="s">
        <v>1697</v>
      </c>
      <c r="E1430" s="581"/>
      <c r="F1430" s="558">
        <v>1500000</v>
      </c>
      <c r="G1430" s="138">
        <v>0.05</v>
      </c>
      <c r="H1430" s="882">
        <f t="shared" si="46"/>
        <v>75000</v>
      </c>
      <c r="I1430" s="1175" t="s">
        <v>1625</v>
      </c>
    </row>
    <row r="1431" spans="1:9" ht="18.75">
      <c r="A1431" s="135">
        <v>13512</v>
      </c>
      <c r="B1431" s="233">
        <v>0.1</v>
      </c>
      <c r="C1431" s="891">
        <v>12</v>
      </c>
      <c r="D1431" s="136" t="s">
        <v>870</v>
      </c>
      <c r="E1431" s="581"/>
      <c r="F1431" s="558">
        <v>1450000</v>
      </c>
      <c r="G1431" s="138">
        <v>0.05</v>
      </c>
      <c r="H1431" s="882">
        <f t="shared" si="46"/>
        <v>72500</v>
      </c>
      <c r="I1431" s="1175" t="s">
        <v>1625</v>
      </c>
    </row>
    <row r="1432" spans="1:9" ht="18.75">
      <c r="A1432" s="135">
        <v>13514</v>
      </c>
      <c r="B1432" s="233">
        <v>0.1</v>
      </c>
      <c r="C1432" s="891">
        <v>12</v>
      </c>
      <c r="D1432" s="259" t="s">
        <v>1698</v>
      </c>
      <c r="E1432" s="581"/>
      <c r="F1432" s="558">
        <v>1850000</v>
      </c>
      <c r="G1432" s="138">
        <v>0.05</v>
      </c>
      <c r="H1432" s="882">
        <f t="shared" si="46"/>
        <v>92500</v>
      </c>
      <c r="I1432" s="1175" t="s">
        <v>1625</v>
      </c>
    </row>
    <row r="1433" spans="1:9" ht="18.75">
      <c r="A1433" s="135">
        <v>13525</v>
      </c>
      <c r="B1433" s="233">
        <v>0.1</v>
      </c>
      <c r="C1433" s="891">
        <v>12</v>
      </c>
      <c r="D1433" s="1237" t="s">
        <v>895</v>
      </c>
      <c r="E1433" s="581"/>
      <c r="F1433" s="558">
        <v>1450000</v>
      </c>
      <c r="G1433" s="138">
        <v>0.05</v>
      </c>
      <c r="H1433" s="882">
        <f t="shared" si="46"/>
        <v>72500</v>
      </c>
      <c r="I1433" s="1175" t="s">
        <v>1625</v>
      </c>
    </row>
    <row r="1434" spans="1:9" ht="18.75">
      <c r="A1434" s="135">
        <v>13534</v>
      </c>
      <c r="B1434" s="233">
        <v>0.1</v>
      </c>
      <c r="C1434" s="238">
        <v>12</v>
      </c>
      <c r="D1434" s="136" t="s">
        <v>898</v>
      </c>
      <c r="E1434" s="581"/>
      <c r="F1434" s="558">
        <v>1450000</v>
      </c>
      <c r="G1434" s="138">
        <v>0.05</v>
      </c>
      <c r="H1434" s="882">
        <f t="shared" si="46"/>
        <v>72500</v>
      </c>
      <c r="I1434" s="1175" t="s">
        <v>1625</v>
      </c>
    </row>
    <row r="1435" spans="1:9" ht="18.75">
      <c r="A1435" s="135">
        <v>13553</v>
      </c>
      <c r="B1435" s="233">
        <v>0.1</v>
      </c>
      <c r="C1435" s="891">
        <v>6</v>
      </c>
      <c r="D1435" s="259" t="s">
        <v>872</v>
      </c>
      <c r="E1435" s="581"/>
      <c r="F1435" s="558">
        <v>950000</v>
      </c>
      <c r="G1435" s="138">
        <v>0.05</v>
      </c>
      <c r="H1435" s="882">
        <f t="shared" si="46"/>
        <v>47500</v>
      </c>
      <c r="I1435" s="1175" t="s">
        <v>1625</v>
      </c>
    </row>
    <row r="1436" spans="1:9" ht="18.75">
      <c r="A1436" s="135">
        <v>13566</v>
      </c>
      <c r="B1436" s="233">
        <v>0.1</v>
      </c>
      <c r="C1436" s="891">
        <v>12</v>
      </c>
      <c r="D1436" s="259" t="s">
        <v>873</v>
      </c>
      <c r="E1436" s="581"/>
      <c r="F1436" s="558">
        <v>800000</v>
      </c>
      <c r="G1436" s="138">
        <v>0.05</v>
      </c>
      <c r="H1436" s="882">
        <f t="shared" si="46"/>
        <v>40000</v>
      </c>
      <c r="I1436" s="1175" t="s">
        <v>1625</v>
      </c>
    </row>
    <row r="1437" spans="1:9" ht="18.75">
      <c r="A1437" s="135">
        <v>13580</v>
      </c>
      <c r="B1437" s="233">
        <v>0.08</v>
      </c>
      <c r="C1437" s="891">
        <v>12</v>
      </c>
      <c r="D1437" s="259" t="s">
        <v>899</v>
      </c>
      <c r="E1437" s="581"/>
      <c r="F1437" s="558">
        <v>1350000</v>
      </c>
      <c r="G1437" s="140">
        <v>0.04</v>
      </c>
      <c r="H1437" s="882">
        <f t="shared" si="46"/>
        <v>54000</v>
      </c>
      <c r="I1437" s="1175" t="s">
        <v>1625</v>
      </c>
    </row>
    <row r="1438" spans="1:9" ht="18.75">
      <c r="A1438" s="135">
        <v>13589</v>
      </c>
      <c r="B1438" s="233">
        <v>0.08</v>
      </c>
      <c r="C1438" s="891">
        <v>12</v>
      </c>
      <c r="D1438" s="1235" t="s">
        <v>874</v>
      </c>
      <c r="E1438" s="581"/>
      <c r="F1438" s="558">
        <v>1200000</v>
      </c>
      <c r="G1438" s="140">
        <v>0.04</v>
      </c>
      <c r="H1438" s="882">
        <f t="shared" si="46"/>
        <v>48000</v>
      </c>
      <c r="I1438" s="1175" t="s">
        <v>1625</v>
      </c>
    </row>
    <row r="1439" spans="1:9" ht="18.75">
      <c r="A1439" s="135">
        <v>13592</v>
      </c>
      <c r="B1439" s="233">
        <v>0.1</v>
      </c>
      <c r="C1439" s="891">
        <v>12</v>
      </c>
      <c r="D1439" s="1235" t="s">
        <v>1699</v>
      </c>
      <c r="E1439" s="581"/>
      <c r="F1439" s="558">
        <v>1400000</v>
      </c>
      <c r="G1439" s="138">
        <v>0.05</v>
      </c>
      <c r="H1439" s="882">
        <f t="shared" si="46"/>
        <v>70000</v>
      </c>
      <c r="I1439" s="1175" t="s">
        <v>1625</v>
      </c>
    </row>
    <row r="1440" spans="1:9" ht="18.75">
      <c r="A1440" s="211" t="s">
        <v>1448</v>
      </c>
      <c r="B1440" s="267"/>
      <c r="C1440" s="1225"/>
      <c r="D1440" s="1238" t="s">
        <v>876</v>
      </c>
      <c r="E1440" s="567" t="s">
        <v>1700</v>
      </c>
      <c r="F1440" s="889"/>
      <c r="G1440" s="220"/>
      <c r="H1440" s="883">
        <f t="shared" si="46"/>
        <v>0</v>
      </c>
      <c r="I1440" s="1175"/>
    </row>
    <row r="1441" spans="1:9" ht="18.75">
      <c r="A1441" s="211" t="s">
        <v>297</v>
      </c>
      <c r="B1441" s="267"/>
      <c r="C1441" s="1225"/>
      <c r="D1441" s="1238" t="s">
        <v>878</v>
      </c>
      <c r="E1441" s="567" t="s">
        <v>1701</v>
      </c>
      <c r="F1441" s="889"/>
      <c r="G1441" s="220"/>
      <c r="H1441" s="883"/>
      <c r="I1441" s="1175"/>
    </row>
    <row r="1442" spans="1:9" ht="18.75">
      <c r="A1442" s="211" t="s">
        <v>297</v>
      </c>
      <c r="B1442" s="267"/>
      <c r="C1442" s="1225"/>
      <c r="D1442" s="1238" t="s">
        <v>913</v>
      </c>
      <c r="E1442" s="567" t="s">
        <v>1702</v>
      </c>
      <c r="F1442" s="889"/>
      <c r="G1442" s="220"/>
      <c r="H1442" s="883"/>
      <c r="I1442" s="1175"/>
    </row>
    <row r="1443" spans="1:9" ht="18.75">
      <c r="A1443" s="503" t="s">
        <v>297</v>
      </c>
      <c r="B1443" s="267"/>
      <c r="C1443" s="1225"/>
      <c r="D1443" s="757" t="s">
        <v>880</v>
      </c>
      <c r="E1443" s="567" t="s">
        <v>881</v>
      </c>
      <c r="F1443" s="889"/>
      <c r="G1443" s="220"/>
      <c r="H1443" s="883"/>
      <c r="I1443" s="1175"/>
    </row>
    <row r="1444" spans="1:9" ht="18.75">
      <c r="A1444" s="271"/>
      <c r="B1444" s="318"/>
      <c r="C1444" s="1131"/>
      <c r="D1444" s="266"/>
      <c r="E1444" s="720"/>
      <c r="F1444" s="793"/>
      <c r="G1444" s="162"/>
      <c r="H1444" s="884"/>
      <c r="I1444" s="1175"/>
    </row>
    <row r="1445" spans="1:9" ht="20.25">
      <c r="A1445" s="163"/>
      <c r="B1445" s="318"/>
      <c r="C1445" s="1131"/>
      <c r="D1445" s="266"/>
      <c r="E1445" s="947"/>
      <c r="F1445" s="948">
        <f>SUM(F1423:F1444)</f>
        <v>21100000</v>
      </c>
      <c r="G1445" s="1088"/>
      <c r="H1445" s="950">
        <f>SUM(H1423:H1444)</f>
        <v>1029500</v>
      </c>
      <c r="I1445" s="1175"/>
    </row>
    <row r="1446" spans="1:9" ht="15" customHeight="1">
      <c r="A1446" s="1646"/>
      <c r="B1446" s="1646"/>
      <c r="C1446" s="1646"/>
      <c r="D1446" s="1646"/>
      <c r="E1446" s="1646"/>
      <c r="F1446" s="1646"/>
      <c r="G1446" s="1646"/>
      <c r="H1446" s="1646"/>
    </row>
    <row r="1447" spans="1:9" ht="15" customHeight="1">
      <c r="A1447" s="1647"/>
      <c r="B1447" s="1647"/>
      <c r="C1447" s="1647"/>
      <c r="D1447" s="1647"/>
      <c r="E1447" s="1647"/>
      <c r="F1447" s="1647"/>
      <c r="G1447" s="1647"/>
      <c r="H1447" s="1647"/>
    </row>
    <row r="1448" spans="1:9" ht="26.25">
      <c r="A1448" s="1640" t="s">
        <v>1703</v>
      </c>
      <c r="B1448" s="1640"/>
      <c r="C1448" s="1641"/>
      <c r="D1448" s="1640"/>
      <c r="E1448" s="1640"/>
      <c r="F1448" s="1640"/>
      <c r="G1448" s="1640"/>
      <c r="H1448" s="1640"/>
    </row>
    <row r="1449" spans="1:9" ht="30.75">
      <c r="A1449" s="45" t="s">
        <v>1463</v>
      </c>
      <c r="B1449" s="646" t="s">
        <v>1497</v>
      </c>
      <c r="C1449" s="132" t="s">
        <v>1465</v>
      </c>
      <c r="D1449" s="647" t="s">
        <v>5</v>
      </c>
      <c r="E1449" s="47" t="s">
        <v>1466</v>
      </c>
      <c r="F1449" s="48" t="s">
        <v>1467</v>
      </c>
      <c r="G1449" s="48" t="s">
        <v>7</v>
      </c>
      <c r="H1449" s="48" t="s">
        <v>1468</v>
      </c>
    </row>
    <row r="1450" spans="1:9" ht="18.75">
      <c r="A1450" s="135">
        <v>13421</v>
      </c>
      <c r="B1450" s="233">
        <v>0.1</v>
      </c>
      <c r="C1450" s="238">
        <v>12</v>
      </c>
      <c r="D1450" s="136" t="s">
        <v>1689</v>
      </c>
      <c r="E1450" s="581"/>
      <c r="F1450" s="558">
        <v>1500000</v>
      </c>
      <c r="G1450" s="166">
        <v>2.5000000000000001E-2</v>
      </c>
      <c r="H1450" s="139">
        <f>F1450*G1450</f>
        <v>37500</v>
      </c>
    </row>
    <row r="1451" spans="1:9" ht="18.75">
      <c r="A1451" s="135" t="s">
        <v>863</v>
      </c>
      <c r="B1451" s="233">
        <v>0.1</v>
      </c>
      <c r="C1451" s="238">
        <v>12</v>
      </c>
      <c r="D1451" s="259" t="s">
        <v>864</v>
      </c>
      <c r="E1451" s="581"/>
      <c r="F1451" s="558">
        <v>1300000</v>
      </c>
      <c r="G1451" s="166">
        <v>2.5000000000000001E-2</v>
      </c>
      <c r="H1451" s="139">
        <f t="shared" ref="H1451:H1486" si="47">F1451*G1451</f>
        <v>32500</v>
      </c>
    </row>
    <row r="1452" spans="1:9" ht="18.75">
      <c r="A1452" s="135">
        <v>13428</v>
      </c>
      <c r="B1452" s="233">
        <v>0.1</v>
      </c>
      <c r="C1452" s="238">
        <v>12</v>
      </c>
      <c r="D1452" s="259" t="s">
        <v>886</v>
      </c>
      <c r="E1452" s="581"/>
      <c r="F1452" s="558">
        <v>1500000</v>
      </c>
      <c r="G1452" s="166">
        <v>2.5000000000000001E-2</v>
      </c>
      <c r="H1452" s="139">
        <f t="shared" si="47"/>
        <v>37500</v>
      </c>
    </row>
    <row r="1453" spans="1:9" ht="18.75">
      <c r="A1453" s="135">
        <v>13450</v>
      </c>
      <c r="B1453" s="233">
        <v>0.1</v>
      </c>
      <c r="C1453" s="238">
        <v>12</v>
      </c>
      <c r="D1453" s="1237" t="s">
        <v>890</v>
      </c>
      <c r="E1453" s="581"/>
      <c r="F1453" s="558">
        <v>1300000</v>
      </c>
      <c r="G1453" s="166">
        <v>2.5000000000000001E-2</v>
      </c>
      <c r="H1453" s="139">
        <f t="shared" si="47"/>
        <v>32500</v>
      </c>
    </row>
    <row r="1454" spans="1:9" ht="18.75">
      <c r="A1454" s="135">
        <v>13475</v>
      </c>
      <c r="B1454" s="233">
        <v>0.1</v>
      </c>
      <c r="C1454" s="238">
        <v>12</v>
      </c>
      <c r="D1454" s="259" t="s">
        <v>140</v>
      </c>
      <c r="E1454" s="581"/>
      <c r="F1454" s="558">
        <v>1300000</v>
      </c>
      <c r="G1454" s="166">
        <v>2.5000000000000001E-2</v>
      </c>
      <c r="H1454" s="139">
        <f t="shared" si="47"/>
        <v>32500</v>
      </c>
    </row>
    <row r="1455" spans="1:9" ht="18.75">
      <c r="A1455" s="135">
        <v>13484</v>
      </c>
      <c r="B1455" s="233">
        <v>0.1</v>
      </c>
      <c r="C1455" s="238">
        <v>12</v>
      </c>
      <c r="D1455" s="1237" t="s">
        <v>1690</v>
      </c>
      <c r="E1455" s="581"/>
      <c r="F1455" s="558">
        <v>1100000</v>
      </c>
      <c r="G1455" s="166">
        <v>2.5000000000000001E-2</v>
      </c>
      <c r="H1455" s="139">
        <f t="shared" si="47"/>
        <v>27500</v>
      </c>
    </row>
    <row r="1456" spans="1:9" ht="18.75">
      <c r="A1456" s="135">
        <v>13492</v>
      </c>
      <c r="B1456" s="233">
        <v>0.1</v>
      </c>
      <c r="C1456" s="238">
        <v>12</v>
      </c>
      <c r="D1456" s="1237" t="s">
        <v>892</v>
      </c>
      <c r="E1456" s="581"/>
      <c r="F1456" s="558">
        <v>1450000</v>
      </c>
      <c r="G1456" s="166">
        <v>2.5000000000000001E-2</v>
      </c>
      <c r="H1456" s="139">
        <f t="shared" si="47"/>
        <v>36250</v>
      </c>
    </row>
    <row r="1457" spans="1:8" ht="18.75">
      <c r="A1457" s="135">
        <v>13486</v>
      </c>
      <c r="B1457" s="233">
        <v>0.1</v>
      </c>
      <c r="C1457" s="238">
        <v>12</v>
      </c>
      <c r="D1457" s="259" t="s">
        <v>126</v>
      </c>
      <c r="E1457" s="581"/>
      <c r="F1457" s="558">
        <v>1350000</v>
      </c>
      <c r="G1457" s="166">
        <v>2.5000000000000001E-2</v>
      </c>
      <c r="H1457" s="139">
        <f t="shared" si="47"/>
        <v>33750</v>
      </c>
    </row>
    <row r="1458" spans="1:8" ht="18.75">
      <c r="A1458" s="135">
        <v>13491</v>
      </c>
      <c r="B1458" s="233">
        <v>0.1</v>
      </c>
      <c r="C1458" s="238">
        <v>12</v>
      </c>
      <c r="D1458" s="136" t="s">
        <v>893</v>
      </c>
      <c r="E1458" s="581"/>
      <c r="F1458" s="558">
        <v>1100000</v>
      </c>
      <c r="G1458" s="166">
        <v>2.5000000000000001E-2</v>
      </c>
      <c r="H1458" s="139">
        <f t="shared" si="47"/>
        <v>27500</v>
      </c>
    </row>
    <row r="1459" spans="1:8" ht="18.75">
      <c r="A1459" s="135">
        <v>13480</v>
      </c>
      <c r="B1459" s="233">
        <v>0.1</v>
      </c>
      <c r="C1459" s="238">
        <v>12</v>
      </c>
      <c r="D1459" s="651" t="s">
        <v>1691</v>
      </c>
      <c r="E1459" s="581"/>
      <c r="F1459" s="558">
        <v>1200000</v>
      </c>
      <c r="G1459" s="166">
        <v>2.5000000000000001E-2</v>
      </c>
      <c r="H1459" s="139">
        <f t="shared" si="47"/>
        <v>30000</v>
      </c>
    </row>
    <row r="1460" spans="1:8" ht="18.75">
      <c r="A1460" s="135">
        <v>13497</v>
      </c>
      <c r="B1460" s="233">
        <v>0.1</v>
      </c>
      <c r="C1460" s="238">
        <v>12</v>
      </c>
      <c r="D1460" s="259" t="s">
        <v>896</v>
      </c>
      <c r="E1460" s="581"/>
      <c r="F1460" s="558">
        <v>1350000</v>
      </c>
      <c r="G1460" s="166">
        <v>2.5000000000000001E-2</v>
      </c>
      <c r="H1460" s="139">
        <f t="shared" si="47"/>
        <v>33750</v>
      </c>
    </row>
    <row r="1461" spans="1:8" ht="18.75">
      <c r="A1461" s="135">
        <v>13499</v>
      </c>
      <c r="B1461" s="233">
        <v>0.1</v>
      </c>
      <c r="C1461" s="238">
        <v>12</v>
      </c>
      <c r="D1461" s="259" t="s">
        <v>871</v>
      </c>
      <c r="E1461" s="581"/>
      <c r="F1461" s="558">
        <v>1000000</v>
      </c>
      <c r="G1461" s="166">
        <v>2.5000000000000001E-2</v>
      </c>
      <c r="H1461" s="139">
        <f t="shared" si="47"/>
        <v>25000</v>
      </c>
    </row>
    <row r="1462" spans="1:8" ht="18.75">
      <c r="A1462" s="135">
        <v>13527</v>
      </c>
      <c r="B1462" s="233">
        <v>0.08</v>
      </c>
      <c r="C1462" s="238">
        <v>12</v>
      </c>
      <c r="D1462" s="136" t="s">
        <v>897</v>
      </c>
      <c r="E1462" s="581"/>
      <c r="F1462" s="558">
        <v>1500000</v>
      </c>
      <c r="G1462" s="1111">
        <v>1.4999999999999999E-2</v>
      </c>
      <c r="H1462" s="139">
        <f t="shared" si="47"/>
        <v>22500</v>
      </c>
    </row>
    <row r="1463" spans="1:8" ht="18.75">
      <c r="A1463" s="135">
        <v>13563</v>
      </c>
      <c r="B1463" s="233">
        <v>0.1</v>
      </c>
      <c r="C1463" s="238">
        <v>12</v>
      </c>
      <c r="D1463" s="259" t="s">
        <v>885</v>
      </c>
      <c r="E1463" s="581"/>
      <c r="F1463" s="558">
        <v>1100000</v>
      </c>
      <c r="G1463" s="166">
        <v>2.5000000000000001E-2</v>
      </c>
      <c r="H1463" s="139">
        <f t="shared" si="47"/>
        <v>27500</v>
      </c>
    </row>
    <row r="1464" spans="1:8" ht="18.75">
      <c r="A1464" s="135">
        <v>13554</v>
      </c>
      <c r="B1464" s="233">
        <v>0.1</v>
      </c>
      <c r="C1464" s="238">
        <v>12</v>
      </c>
      <c r="D1464" s="259" t="s">
        <v>1692</v>
      </c>
      <c r="E1464" s="581"/>
      <c r="F1464" s="558">
        <v>1100000</v>
      </c>
      <c r="G1464" s="166">
        <v>2.5000000000000001E-2</v>
      </c>
      <c r="H1464" s="139">
        <f t="shared" si="47"/>
        <v>27500</v>
      </c>
    </row>
    <row r="1465" spans="1:8" ht="18.75">
      <c r="A1465" s="135">
        <v>13579</v>
      </c>
      <c r="B1465" s="233">
        <v>0.1</v>
      </c>
      <c r="C1465" s="238">
        <v>12</v>
      </c>
      <c r="D1465" s="259" t="s">
        <v>875</v>
      </c>
      <c r="E1465" s="581"/>
      <c r="F1465" s="558">
        <v>750000</v>
      </c>
      <c r="G1465" s="166">
        <v>2.5000000000000001E-2</v>
      </c>
      <c r="H1465" s="139">
        <f t="shared" si="47"/>
        <v>18750</v>
      </c>
    </row>
    <row r="1466" spans="1:8" ht="18.75">
      <c r="A1466" s="135">
        <v>13598</v>
      </c>
      <c r="B1466" s="233">
        <v>0.1</v>
      </c>
      <c r="C1466" s="238">
        <v>12</v>
      </c>
      <c r="D1466" s="259" t="s">
        <v>862</v>
      </c>
      <c r="E1466" s="581"/>
      <c r="F1466" s="558">
        <v>1400000</v>
      </c>
      <c r="G1466" s="166">
        <v>2.5000000000000001E-2</v>
      </c>
      <c r="H1466" s="139">
        <f t="shared" si="47"/>
        <v>35000</v>
      </c>
    </row>
    <row r="1467" spans="1:8" ht="18.75">
      <c r="A1467" s="135">
        <v>13617</v>
      </c>
      <c r="B1467" s="233">
        <v>0.1</v>
      </c>
      <c r="C1467" s="238">
        <v>12</v>
      </c>
      <c r="D1467" s="259" t="s">
        <v>901</v>
      </c>
      <c r="E1467" s="581"/>
      <c r="F1467" s="558">
        <v>1350000</v>
      </c>
      <c r="G1467" s="166">
        <v>2.5000000000000001E-2</v>
      </c>
      <c r="H1467" s="139">
        <f t="shared" si="47"/>
        <v>33750</v>
      </c>
    </row>
    <row r="1468" spans="1:8" ht="18.75">
      <c r="A1468" s="135">
        <v>13620</v>
      </c>
      <c r="B1468" s="233">
        <v>0.09</v>
      </c>
      <c r="C1468" s="238">
        <v>12</v>
      </c>
      <c r="D1468" s="259" t="s">
        <v>900</v>
      </c>
      <c r="E1468" s="581"/>
      <c r="F1468" s="558">
        <v>1350000</v>
      </c>
      <c r="G1468" s="166">
        <v>2.5000000000000001E-2</v>
      </c>
      <c r="H1468" s="139">
        <f t="shared" si="47"/>
        <v>33750</v>
      </c>
    </row>
    <row r="1469" spans="1:8" ht="18.75">
      <c r="A1469" s="135">
        <v>13638</v>
      </c>
      <c r="B1469" s="233">
        <v>0.1</v>
      </c>
      <c r="C1469" s="238">
        <v>12</v>
      </c>
      <c r="D1469" s="259" t="s">
        <v>909</v>
      </c>
      <c r="E1469" s="581"/>
      <c r="F1469" s="558">
        <v>1400000</v>
      </c>
      <c r="G1469" s="166">
        <v>2.5000000000000001E-2</v>
      </c>
      <c r="H1469" s="139">
        <f t="shared" si="47"/>
        <v>35000</v>
      </c>
    </row>
    <row r="1470" spans="1:8" ht="18.75">
      <c r="A1470" s="135">
        <v>13415</v>
      </c>
      <c r="B1470" s="233">
        <v>0.1</v>
      </c>
      <c r="C1470" s="891">
        <v>12</v>
      </c>
      <c r="D1470" s="259" t="s">
        <v>861</v>
      </c>
      <c r="E1470" s="581"/>
      <c r="F1470" s="558">
        <v>1350000</v>
      </c>
      <c r="G1470" s="166">
        <v>2.5000000000000001E-2</v>
      </c>
      <c r="H1470" s="139">
        <f t="shared" si="47"/>
        <v>33750</v>
      </c>
    </row>
    <row r="1471" spans="1:8" ht="18.75">
      <c r="A1471" s="135">
        <v>13430</v>
      </c>
      <c r="B1471" s="233">
        <v>0.1</v>
      </c>
      <c r="C1471" s="891">
        <v>12</v>
      </c>
      <c r="D1471" s="259" t="s">
        <v>866</v>
      </c>
      <c r="E1471" s="581"/>
      <c r="F1471" s="558">
        <v>1100000</v>
      </c>
      <c r="G1471" s="166">
        <v>2.5000000000000001E-2</v>
      </c>
      <c r="H1471" s="139">
        <f t="shared" si="47"/>
        <v>27500</v>
      </c>
    </row>
    <row r="1472" spans="1:8" ht="18.75">
      <c r="A1472" s="135">
        <v>13417</v>
      </c>
      <c r="B1472" s="233">
        <v>0.1</v>
      </c>
      <c r="C1472" s="891">
        <v>12</v>
      </c>
      <c r="D1472" s="136" t="s">
        <v>884</v>
      </c>
      <c r="E1472" s="581"/>
      <c r="F1472" s="558">
        <v>800000</v>
      </c>
      <c r="G1472" s="166">
        <v>2.5000000000000001E-2</v>
      </c>
      <c r="H1472" s="139">
        <f t="shared" si="47"/>
        <v>20000</v>
      </c>
    </row>
    <row r="1473" spans="1:8" ht="18.75">
      <c r="A1473" s="135">
        <v>13447</v>
      </c>
      <c r="B1473" s="233">
        <v>0.1</v>
      </c>
      <c r="C1473" s="891">
        <v>12</v>
      </c>
      <c r="D1473" s="136" t="s">
        <v>888</v>
      </c>
      <c r="E1473" s="581"/>
      <c r="F1473" s="558">
        <v>1300000</v>
      </c>
      <c r="G1473" s="166">
        <v>2.5000000000000001E-2</v>
      </c>
      <c r="H1473" s="139">
        <f t="shared" si="47"/>
        <v>32500</v>
      </c>
    </row>
    <row r="1474" spans="1:8" ht="18.75">
      <c r="A1474" s="135">
        <v>13449</v>
      </c>
      <c r="B1474" s="233">
        <v>0.1</v>
      </c>
      <c r="C1474" s="891">
        <v>12</v>
      </c>
      <c r="D1474" s="259" t="s">
        <v>1696</v>
      </c>
      <c r="E1474" s="581"/>
      <c r="F1474" s="558">
        <v>750000</v>
      </c>
      <c r="G1474" s="166">
        <v>2.5000000000000001E-2</v>
      </c>
      <c r="H1474" s="139">
        <f t="shared" si="47"/>
        <v>18750</v>
      </c>
    </row>
    <row r="1475" spans="1:8" ht="18.75">
      <c r="A1475" s="135">
        <v>13459</v>
      </c>
      <c r="B1475" s="233">
        <v>0.1</v>
      </c>
      <c r="C1475" s="891">
        <v>12</v>
      </c>
      <c r="D1475" s="259" t="s">
        <v>868</v>
      </c>
      <c r="E1475" s="581"/>
      <c r="F1475" s="558">
        <v>1300000</v>
      </c>
      <c r="G1475" s="166">
        <v>2.5000000000000001E-2</v>
      </c>
      <c r="H1475" s="139">
        <f t="shared" si="47"/>
        <v>32500</v>
      </c>
    </row>
    <row r="1476" spans="1:8" ht="18.75">
      <c r="A1476" s="135">
        <v>13479</v>
      </c>
      <c r="B1476" s="233">
        <v>0.1</v>
      </c>
      <c r="C1476" s="891">
        <v>12</v>
      </c>
      <c r="D1476" s="259" t="s">
        <v>869</v>
      </c>
      <c r="E1476" s="581"/>
      <c r="F1476" s="558">
        <v>1100000</v>
      </c>
      <c r="G1476" s="166">
        <v>2.5000000000000001E-2</v>
      </c>
      <c r="H1476" s="139">
        <f t="shared" si="47"/>
        <v>27500</v>
      </c>
    </row>
    <row r="1477" spans="1:8" ht="18.75">
      <c r="A1477" s="135">
        <v>13501</v>
      </c>
      <c r="B1477" s="233">
        <v>0.1</v>
      </c>
      <c r="C1477" s="891">
        <v>12</v>
      </c>
      <c r="D1477" s="259" t="s">
        <v>1697</v>
      </c>
      <c r="E1477" s="581"/>
      <c r="F1477" s="558">
        <v>1500000</v>
      </c>
      <c r="G1477" s="166">
        <v>2.5000000000000001E-2</v>
      </c>
      <c r="H1477" s="139">
        <f t="shared" si="47"/>
        <v>37500</v>
      </c>
    </row>
    <row r="1478" spans="1:8" ht="18.75">
      <c r="A1478" s="135">
        <v>13512</v>
      </c>
      <c r="B1478" s="233">
        <v>0.1</v>
      </c>
      <c r="C1478" s="891">
        <v>12</v>
      </c>
      <c r="D1478" s="136" t="s">
        <v>870</v>
      </c>
      <c r="E1478" s="581"/>
      <c r="F1478" s="558">
        <v>1450000</v>
      </c>
      <c r="G1478" s="166">
        <v>2.5000000000000001E-2</v>
      </c>
      <c r="H1478" s="139">
        <f t="shared" si="47"/>
        <v>36250</v>
      </c>
    </row>
    <row r="1479" spans="1:8" ht="18.75">
      <c r="A1479" s="135">
        <v>13514</v>
      </c>
      <c r="B1479" s="233">
        <v>0.1</v>
      </c>
      <c r="C1479" s="891">
        <v>12</v>
      </c>
      <c r="D1479" s="259" t="s">
        <v>1698</v>
      </c>
      <c r="E1479" s="581"/>
      <c r="F1479" s="558">
        <v>1850000</v>
      </c>
      <c r="G1479" s="166">
        <v>2.5000000000000001E-2</v>
      </c>
      <c r="H1479" s="139">
        <f t="shared" si="47"/>
        <v>46250</v>
      </c>
    </row>
    <row r="1480" spans="1:8" ht="18.75">
      <c r="A1480" s="135">
        <v>13525</v>
      </c>
      <c r="B1480" s="233">
        <v>0.1</v>
      </c>
      <c r="C1480" s="891">
        <v>12</v>
      </c>
      <c r="D1480" s="1237" t="s">
        <v>895</v>
      </c>
      <c r="E1480" s="581"/>
      <c r="F1480" s="558">
        <v>1450000</v>
      </c>
      <c r="G1480" s="166">
        <v>2.5000000000000001E-2</v>
      </c>
      <c r="H1480" s="139">
        <f t="shared" si="47"/>
        <v>36250</v>
      </c>
    </row>
    <row r="1481" spans="1:8" ht="18.75">
      <c r="A1481" s="135">
        <v>13534</v>
      </c>
      <c r="B1481" s="233">
        <v>0.1</v>
      </c>
      <c r="C1481" s="238">
        <v>12</v>
      </c>
      <c r="D1481" s="136" t="s">
        <v>898</v>
      </c>
      <c r="E1481" s="581"/>
      <c r="F1481" s="558">
        <v>1450000</v>
      </c>
      <c r="G1481" s="166">
        <v>2.5000000000000001E-2</v>
      </c>
      <c r="H1481" s="139">
        <f t="shared" si="47"/>
        <v>36250</v>
      </c>
    </row>
    <row r="1482" spans="1:8" ht="18.75">
      <c r="A1482" s="135">
        <v>13553</v>
      </c>
      <c r="B1482" s="233">
        <v>0.1</v>
      </c>
      <c r="C1482" s="891">
        <v>6</v>
      </c>
      <c r="D1482" s="259" t="s">
        <v>872</v>
      </c>
      <c r="E1482" s="581"/>
      <c r="F1482" s="558">
        <v>950000</v>
      </c>
      <c r="G1482" s="166">
        <v>2.5000000000000001E-2</v>
      </c>
      <c r="H1482" s="139">
        <f t="shared" si="47"/>
        <v>23750</v>
      </c>
    </row>
    <row r="1483" spans="1:8" ht="18.75">
      <c r="A1483" s="135">
        <v>13566</v>
      </c>
      <c r="B1483" s="233">
        <v>0.1</v>
      </c>
      <c r="C1483" s="891">
        <v>12</v>
      </c>
      <c r="D1483" s="259" t="s">
        <v>873</v>
      </c>
      <c r="E1483" s="581"/>
      <c r="F1483" s="558">
        <v>800000</v>
      </c>
      <c r="G1483" s="166">
        <v>2.5000000000000001E-2</v>
      </c>
      <c r="H1483" s="139">
        <f t="shared" si="47"/>
        <v>20000</v>
      </c>
    </row>
    <row r="1484" spans="1:8" ht="18.75">
      <c r="A1484" s="135">
        <v>13580</v>
      </c>
      <c r="B1484" s="233">
        <v>0.08</v>
      </c>
      <c r="C1484" s="891">
        <v>12</v>
      </c>
      <c r="D1484" s="259" t="s">
        <v>899</v>
      </c>
      <c r="E1484" s="581"/>
      <c r="F1484" s="558">
        <v>1350000</v>
      </c>
      <c r="G1484" s="1111">
        <v>1.4999999999999999E-2</v>
      </c>
      <c r="H1484" s="139">
        <f t="shared" si="47"/>
        <v>20250</v>
      </c>
    </row>
    <row r="1485" spans="1:8" ht="18.75">
      <c r="A1485" s="135">
        <v>13589</v>
      </c>
      <c r="B1485" s="233">
        <v>0.08</v>
      </c>
      <c r="C1485" s="891">
        <v>12</v>
      </c>
      <c r="D1485" s="1235" t="s">
        <v>874</v>
      </c>
      <c r="E1485" s="581"/>
      <c r="F1485" s="558">
        <v>1200000</v>
      </c>
      <c r="G1485" s="1111">
        <v>1.4999999999999999E-2</v>
      </c>
      <c r="H1485" s="139">
        <f t="shared" si="47"/>
        <v>18000</v>
      </c>
    </row>
    <row r="1486" spans="1:8" ht="18.75">
      <c r="A1486" s="135">
        <v>13592</v>
      </c>
      <c r="B1486" s="233">
        <v>0.1</v>
      </c>
      <c r="C1486" s="891">
        <v>12</v>
      </c>
      <c r="D1486" s="1235" t="s">
        <v>1699</v>
      </c>
      <c r="E1486" s="581"/>
      <c r="F1486" s="558">
        <v>1400000</v>
      </c>
      <c r="G1486" s="166">
        <v>2.5000000000000001E-2</v>
      </c>
      <c r="H1486" s="139">
        <f t="shared" si="47"/>
        <v>35000</v>
      </c>
    </row>
    <row r="1487" spans="1:8" ht="18.75">
      <c r="A1487" s="163"/>
      <c r="B1487" s="1214"/>
      <c r="C1487" s="1188"/>
      <c r="D1487" s="262"/>
      <c r="E1487" s="833" t="s">
        <v>80</v>
      </c>
      <c r="F1487" s="972">
        <f>SUM(F1450:F1486)</f>
        <v>46500000</v>
      </c>
      <c r="G1487" s="910"/>
      <c r="H1487" s="1109">
        <f>SUM(H1450:H1486)</f>
        <v>1122000</v>
      </c>
    </row>
    <row r="1488" spans="1:8" ht="18.75"/>
    <row r="1489" spans="1:9" ht="18.75"/>
    <row r="1490" spans="1:9" ht="26.25">
      <c r="A1490" s="1643" t="s">
        <v>1704</v>
      </c>
      <c r="B1490" s="1643"/>
      <c r="C1490" s="1643"/>
      <c r="D1490" s="1643"/>
      <c r="E1490" s="1643"/>
      <c r="F1490" s="1643"/>
      <c r="G1490" s="1643"/>
      <c r="H1490" s="1644"/>
    </row>
    <row r="1491" spans="1:9" ht="18.75"/>
    <row r="1492" spans="1:9" ht="26.25">
      <c r="A1492" s="1640" t="s">
        <v>1705</v>
      </c>
      <c r="B1492" s="1640"/>
      <c r="C1492" s="1641"/>
      <c r="D1492" s="1640"/>
      <c r="E1492" s="1640"/>
      <c r="F1492" s="1640"/>
      <c r="G1492" s="1640"/>
      <c r="H1492" s="1642"/>
      <c r="I1492" s="1172"/>
    </row>
    <row r="1493" spans="1:9" ht="30.75">
      <c r="A1493" s="45" t="s">
        <v>1463</v>
      </c>
      <c r="B1493" s="646" t="s">
        <v>1497</v>
      </c>
      <c r="C1493" s="132" t="s">
        <v>1465</v>
      </c>
      <c r="D1493" s="647" t="s">
        <v>5</v>
      </c>
      <c r="E1493" s="47" t="s">
        <v>1466</v>
      </c>
      <c r="F1493" s="48" t="s">
        <v>1467</v>
      </c>
      <c r="G1493" s="48" t="s">
        <v>7</v>
      </c>
      <c r="H1493" s="62" t="s">
        <v>1468</v>
      </c>
      <c r="I1493" s="1174" t="s">
        <v>1624</v>
      </c>
    </row>
    <row r="1494" spans="1:9" ht="18.75">
      <c r="A1494" s="241">
        <v>13677</v>
      </c>
      <c r="B1494" s="233">
        <v>0.1</v>
      </c>
      <c r="C1494" s="238">
        <v>12</v>
      </c>
      <c r="D1494" s="259" t="s">
        <v>936</v>
      </c>
      <c r="E1494" s="581"/>
      <c r="F1494" s="558">
        <v>1350000</v>
      </c>
      <c r="G1494" s="138">
        <v>0.05</v>
      </c>
      <c r="H1494" s="882">
        <f>F1494*G1494</f>
        <v>67500</v>
      </c>
      <c r="I1494" s="1176" t="s">
        <v>1625</v>
      </c>
    </row>
    <row r="1495" spans="1:9" ht="18.75">
      <c r="A1495" s="241">
        <v>13673</v>
      </c>
      <c r="B1495" s="233">
        <v>0.1</v>
      </c>
      <c r="C1495" s="238">
        <v>12</v>
      </c>
      <c r="D1495" s="259" t="s">
        <v>960</v>
      </c>
      <c r="E1495" s="581"/>
      <c r="F1495" s="558">
        <v>1350000</v>
      </c>
      <c r="G1495" s="138">
        <v>0.05</v>
      </c>
      <c r="H1495" s="882">
        <f t="shared" ref="H1495:H1511" si="48">F1495*G1495</f>
        <v>67500</v>
      </c>
      <c r="I1495" s="1172" t="s">
        <v>1625</v>
      </c>
    </row>
    <row r="1496" spans="1:9" ht="18.75">
      <c r="A1496" s="241">
        <v>13671</v>
      </c>
      <c r="B1496" s="233">
        <v>0.08</v>
      </c>
      <c r="C1496" s="238">
        <v>12</v>
      </c>
      <c r="D1496" s="259" t="s">
        <v>1706</v>
      </c>
      <c r="E1496" s="581"/>
      <c r="F1496" s="558">
        <v>1500000</v>
      </c>
      <c r="G1496" s="138">
        <v>0.04</v>
      </c>
      <c r="H1496" s="882">
        <f t="shared" si="48"/>
        <v>60000</v>
      </c>
      <c r="I1496" s="1172" t="s">
        <v>1625</v>
      </c>
    </row>
    <row r="1497" spans="1:9" ht="18.75">
      <c r="A1497" s="241">
        <v>13674</v>
      </c>
      <c r="B1497" s="233">
        <v>0.1</v>
      </c>
      <c r="C1497" s="238">
        <v>12</v>
      </c>
      <c r="D1497" s="259" t="s">
        <v>918</v>
      </c>
      <c r="E1497" s="581"/>
      <c r="F1497" s="558">
        <v>1400000</v>
      </c>
      <c r="G1497" s="138">
        <v>0.05</v>
      </c>
      <c r="H1497" s="882">
        <f t="shared" si="48"/>
        <v>70000</v>
      </c>
      <c r="I1497" s="1172" t="s">
        <v>1625</v>
      </c>
    </row>
    <row r="1498" spans="1:9" ht="18.75">
      <c r="A1498" s="241">
        <v>13695</v>
      </c>
      <c r="B1498" s="233">
        <v>0.1</v>
      </c>
      <c r="C1498" s="238">
        <v>12</v>
      </c>
      <c r="D1498" s="1237" t="s">
        <v>938</v>
      </c>
      <c r="E1498" s="581"/>
      <c r="F1498" s="558">
        <v>1100000</v>
      </c>
      <c r="G1498" s="138">
        <v>0.05</v>
      </c>
      <c r="H1498" s="882">
        <f t="shared" si="48"/>
        <v>55000</v>
      </c>
      <c r="I1498" s="1172" t="s">
        <v>1625</v>
      </c>
    </row>
    <row r="1499" spans="1:9" ht="18.75">
      <c r="A1499" s="241">
        <v>13751</v>
      </c>
      <c r="B1499" s="233">
        <v>0.1</v>
      </c>
      <c r="C1499" s="238">
        <v>12</v>
      </c>
      <c r="D1499" s="259" t="s">
        <v>944</v>
      </c>
      <c r="E1499" s="581"/>
      <c r="F1499" s="558">
        <v>800000</v>
      </c>
      <c r="G1499" s="138">
        <v>0.05</v>
      </c>
      <c r="H1499" s="882">
        <f t="shared" si="48"/>
        <v>40000</v>
      </c>
      <c r="I1499" s="1172" t="s">
        <v>1625</v>
      </c>
    </row>
    <row r="1500" spans="1:9" ht="18.75">
      <c r="A1500" s="241">
        <v>13737</v>
      </c>
      <c r="B1500" s="233">
        <v>0.1</v>
      </c>
      <c r="C1500" s="238">
        <v>12</v>
      </c>
      <c r="D1500" s="259" t="s">
        <v>921</v>
      </c>
      <c r="E1500" s="581"/>
      <c r="F1500" s="558">
        <v>900000</v>
      </c>
      <c r="G1500" s="138">
        <v>0.05</v>
      </c>
      <c r="H1500" s="882">
        <f t="shared" si="48"/>
        <v>45000</v>
      </c>
      <c r="I1500" s="1172" t="s">
        <v>1625</v>
      </c>
    </row>
    <row r="1501" spans="1:9" ht="18.75">
      <c r="A1501" s="241">
        <v>13744</v>
      </c>
      <c r="B1501" s="233">
        <v>0.1</v>
      </c>
      <c r="C1501" s="238">
        <v>12</v>
      </c>
      <c r="D1501" s="259" t="s">
        <v>935</v>
      </c>
      <c r="E1501" s="581"/>
      <c r="F1501" s="558">
        <v>1100000</v>
      </c>
      <c r="G1501" s="138">
        <v>0.05</v>
      </c>
      <c r="H1501" s="882">
        <f t="shared" si="48"/>
        <v>55000</v>
      </c>
      <c r="I1501" s="1172" t="s">
        <v>1625</v>
      </c>
    </row>
    <row r="1502" spans="1:9" ht="18.75">
      <c r="A1502" s="241">
        <v>13762</v>
      </c>
      <c r="B1502" s="233">
        <v>0.1</v>
      </c>
      <c r="C1502" s="238">
        <v>12</v>
      </c>
      <c r="D1502" s="259" t="s">
        <v>923</v>
      </c>
      <c r="E1502" s="581"/>
      <c r="F1502" s="558">
        <v>750000</v>
      </c>
      <c r="G1502" s="138">
        <v>0.05</v>
      </c>
      <c r="H1502" s="882">
        <f t="shared" si="48"/>
        <v>37500</v>
      </c>
      <c r="I1502" s="1172" t="s">
        <v>1625</v>
      </c>
    </row>
    <row r="1503" spans="1:9" ht="18.75">
      <c r="A1503" s="241">
        <v>13766</v>
      </c>
      <c r="B1503" s="233">
        <v>0.1</v>
      </c>
      <c r="C1503" s="238">
        <v>12</v>
      </c>
      <c r="D1503" s="259" t="s">
        <v>961</v>
      </c>
      <c r="E1503" s="581"/>
      <c r="F1503" s="558">
        <v>1300000</v>
      </c>
      <c r="G1503" s="138">
        <v>0.05</v>
      </c>
      <c r="H1503" s="882">
        <f t="shared" si="48"/>
        <v>65000</v>
      </c>
      <c r="I1503" s="1172" t="s">
        <v>1625</v>
      </c>
    </row>
    <row r="1504" spans="1:9" ht="18.75">
      <c r="A1504" s="241">
        <v>13794</v>
      </c>
      <c r="B1504" s="233">
        <v>0.1</v>
      </c>
      <c r="C1504" s="238">
        <v>12</v>
      </c>
      <c r="D1504" s="259" t="s">
        <v>928</v>
      </c>
      <c r="E1504" s="581"/>
      <c r="F1504" s="558">
        <v>850000</v>
      </c>
      <c r="G1504" s="138">
        <v>0.05</v>
      </c>
      <c r="H1504" s="882">
        <f t="shared" si="48"/>
        <v>42500</v>
      </c>
      <c r="I1504" s="1172" t="s">
        <v>1625</v>
      </c>
    </row>
    <row r="1505" spans="1:9" ht="18.75">
      <c r="A1505" s="241">
        <v>13810</v>
      </c>
      <c r="B1505" s="233">
        <v>0.1</v>
      </c>
      <c r="C1505" s="238">
        <v>12</v>
      </c>
      <c r="D1505" s="259" t="s">
        <v>948</v>
      </c>
      <c r="E1505" s="581"/>
      <c r="F1505" s="558">
        <v>1500000</v>
      </c>
      <c r="G1505" s="138">
        <v>0.05</v>
      </c>
      <c r="H1505" s="882">
        <f t="shared" si="48"/>
        <v>75000</v>
      </c>
      <c r="I1505" s="1172" t="s">
        <v>1625</v>
      </c>
    </row>
    <row r="1506" spans="1:9" ht="18.75">
      <c r="A1506" s="241">
        <v>13811</v>
      </c>
      <c r="B1506" s="233">
        <v>0.1</v>
      </c>
      <c r="C1506" s="238">
        <v>12</v>
      </c>
      <c r="D1506" s="259" t="s">
        <v>1707</v>
      </c>
      <c r="E1506" s="581"/>
      <c r="F1506" s="558">
        <v>1250000</v>
      </c>
      <c r="G1506" s="478">
        <v>0.05</v>
      </c>
      <c r="H1506" s="882">
        <f t="shared" si="48"/>
        <v>62500</v>
      </c>
      <c r="I1506" s="1172" t="s">
        <v>1645</v>
      </c>
    </row>
    <row r="1507" spans="1:9" ht="18.75">
      <c r="A1507" s="241">
        <v>13851</v>
      </c>
      <c r="B1507" s="233">
        <v>0.1</v>
      </c>
      <c r="C1507" s="238">
        <v>12</v>
      </c>
      <c r="D1507" s="259" t="s">
        <v>963</v>
      </c>
      <c r="E1507" s="581"/>
      <c r="F1507" s="558">
        <v>1300000</v>
      </c>
      <c r="G1507" s="138">
        <v>0.05</v>
      </c>
      <c r="H1507" s="882">
        <f t="shared" si="48"/>
        <v>65000</v>
      </c>
      <c r="I1507" s="1172" t="s">
        <v>1625</v>
      </c>
    </row>
    <row r="1508" spans="1:9" ht="18.75">
      <c r="A1508" s="135">
        <v>13860</v>
      </c>
      <c r="B1508" s="233">
        <v>0.1</v>
      </c>
      <c r="C1508" s="238">
        <v>12</v>
      </c>
      <c r="D1508" s="259" t="s">
        <v>1708</v>
      </c>
      <c r="E1508" s="581"/>
      <c r="F1508" s="558">
        <v>1650000</v>
      </c>
      <c r="G1508" s="138">
        <v>0.05</v>
      </c>
      <c r="H1508" s="882">
        <f t="shared" si="48"/>
        <v>82500</v>
      </c>
      <c r="I1508" s="1172" t="s">
        <v>1645</v>
      </c>
    </row>
    <row r="1509" spans="1:9" ht="18.75">
      <c r="A1509" s="241">
        <v>13874</v>
      </c>
      <c r="B1509" s="233">
        <v>0.1</v>
      </c>
      <c r="C1509" s="238">
        <v>12</v>
      </c>
      <c r="D1509" s="259" t="s">
        <v>929</v>
      </c>
      <c r="E1509" s="581"/>
      <c r="F1509" s="558">
        <v>1600000</v>
      </c>
      <c r="G1509" s="138">
        <v>0.05</v>
      </c>
      <c r="H1509" s="882">
        <f t="shared" si="48"/>
        <v>80000</v>
      </c>
      <c r="I1509" s="1172" t="s">
        <v>1645</v>
      </c>
    </row>
    <row r="1510" spans="1:9" ht="18.75">
      <c r="A1510" s="241">
        <v>13852</v>
      </c>
      <c r="B1510" s="233">
        <v>0.1</v>
      </c>
      <c r="C1510" s="238">
        <v>12</v>
      </c>
      <c r="D1510" s="259" t="s">
        <v>1709</v>
      </c>
      <c r="E1510" s="581"/>
      <c r="F1510" s="558">
        <v>1700000</v>
      </c>
      <c r="G1510" s="138">
        <v>0.05</v>
      </c>
      <c r="H1510" s="882">
        <f t="shared" si="48"/>
        <v>85000</v>
      </c>
      <c r="I1510" s="1172" t="s">
        <v>1645</v>
      </c>
    </row>
    <row r="1511" spans="1:9" ht="18.75">
      <c r="A1511" s="135">
        <v>13880</v>
      </c>
      <c r="B1511" s="233">
        <v>0.1</v>
      </c>
      <c r="C1511" s="238">
        <v>12</v>
      </c>
      <c r="D1511" s="259" t="s">
        <v>954</v>
      </c>
      <c r="E1511" s="581"/>
      <c r="F1511" s="558">
        <v>850000</v>
      </c>
      <c r="G1511" s="138">
        <v>0.05</v>
      </c>
      <c r="H1511" s="882">
        <f t="shared" si="48"/>
        <v>42500</v>
      </c>
      <c r="I1511" s="1172" t="s">
        <v>1625</v>
      </c>
    </row>
    <row r="1512" spans="1:9" ht="18.75">
      <c r="A1512" s="211" t="s">
        <v>297</v>
      </c>
      <c r="B1512" s="267"/>
      <c r="C1512" s="814"/>
      <c r="D1512" s="757" t="s">
        <v>964</v>
      </c>
      <c r="E1512" s="567" t="s">
        <v>965</v>
      </c>
      <c r="F1512" s="889"/>
      <c r="G1512" s="220"/>
      <c r="H1512" s="883"/>
      <c r="I1512" s="1172"/>
    </row>
    <row r="1513" spans="1:9" ht="18.75">
      <c r="A1513" s="211" t="s">
        <v>297</v>
      </c>
      <c r="B1513" s="267"/>
      <c r="C1513" s="814"/>
      <c r="D1513" s="1239" t="s">
        <v>956</v>
      </c>
      <c r="E1513" s="567" t="s">
        <v>957</v>
      </c>
      <c r="F1513" s="889"/>
      <c r="G1513" s="220"/>
      <c r="H1513" s="883"/>
      <c r="I1513" s="1172"/>
    </row>
    <row r="1514" spans="1:9" ht="18.75">
      <c r="A1514" s="211" t="s">
        <v>297</v>
      </c>
      <c r="B1514" s="267">
        <v>0.08</v>
      </c>
      <c r="C1514" s="814"/>
      <c r="D1514" s="757" t="s">
        <v>934</v>
      </c>
      <c r="E1514" s="567" t="s">
        <v>747</v>
      </c>
      <c r="F1514" s="889"/>
      <c r="G1514" s="220"/>
      <c r="H1514" s="883"/>
      <c r="I1514" s="1172"/>
    </row>
    <row r="1515" spans="1:9" ht="18.75">
      <c r="A1515" s="211" t="s">
        <v>538</v>
      </c>
      <c r="B1515" s="267"/>
      <c r="C1515" s="814"/>
      <c r="D1515" s="757" t="s">
        <v>932</v>
      </c>
      <c r="E1515" s="567" t="s">
        <v>538</v>
      </c>
      <c r="F1515" s="889"/>
      <c r="G1515" s="220"/>
      <c r="H1515" s="883"/>
      <c r="I1515" s="1172"/>
    </row>
    <row r="1516" spans="1:9" ht="20.25">
      <c r="A1516" s="163"/>
      <c r="B1516" s="318"/>
      <c r="C1516" s="792"/>
      <c r="D1516" s="262"/>
      <c r="E1516" s="947"/>
      <c r="F1516" s="948">
        <f>SUM(F1494:F1515)</f>
        <v>22250000</v>
      </c>
      <c r="G1516" s="949"/>
      <c r="H1516" s="950">
        <f>SUM(H1494:H1515)</f>
        <v>1097500</v>
      </c>
      <c r="I1516" s="1172"/>
    </row>
    <row r="1517" spans="1:9" ht="26.25">
      <c r="A1517" s="1645"/>
      <c r="B1517" s="1645"/>
      <c r="C1517" s="1645"/>
      <c r="D1517" s="1645"/>
      <c r="E1517" s="1645"/>
      <c r="F1517" s="1645"/>
      <c r="G1517" s="1645"/>
      <c r="H1517" s="1645"/>
    </row>
    <row r="1518" spans="1:9" ht="26.25">
      <c r="A1518" s="797"/>
      <c r="B1518" s="797"/>
      <c r="C1518" s="797"/>
      <c r="D1518" s="797"/>
      <c r="E1518" s="797"/>
      <c r="F1518" s="797"/>
      <c r="G1518" s="797"/>
      <c r="H1518" s="797"/>
    </row>
    <row r="1519" spans="1:9" ht="26.25">
      <c r="A1519" s="1640" t="s">
        <v>1710</v>
      </c>
      <c r="B1519" s="1640"/>
      <c r="C1519" s="1640"/>
      <c r="D1519" s="1640"/>
      <c r="E1519" s="1640"/>
      <c r="F1519" s="1640"/>
      <c r="G1519" s="1640"/>
      <c r="H1519" s="1642"/>
      <c r="I1519" s="1172"/>
    </row>
    <row r="1520" spans="1:9" ht="30.75">
      <c r="A1520" s="45" t="s">
        <v>1463</v>
      </c>
      <c r="B1520" s="646" t="s">
        <v>1497</v>
      </c>
      <c r="C1520" s="251" t="s">
        <v>1465</v>
      </c>
      <c r="D1520" s="647" t="s">
        <v>5</v>
      </c>
      <c r="E1520" s="47" t="s">
        <v>1466</v>
      </c>
      <c r="F1520" s="48" t="s">
        <v>1467</v>
      </c>
      <c r="G1520" s="48" t="s">
        <v>7</v>
      </c>
      <c r="H1520" s="62" t="s">
        <v>1468</v>
      </c>
      <c r="I1520" s="1173" t="s">
        <v>1624</v>
      </c>
    </row>
    <row r="1521" spans="1:9" ht="18.75">
      <c r="A1521" s="241">
        <v>13665</v>
      </c>
      <c r="B1521" s="233">
        <v>0.1</v>
      </c>
      <c r="C1521" s="891">
        <v>12</v>
      </c>
      <c r="D1521" s="1235" t="s">
        <v>917</v>
      </c>
      <c r="E1521" s="581"/>
      <c r="F1521" s="558">
        <v>1100000</v>
      </c>
      <c r="G1521" s="138">
        <v>0.05</v>
      </c>
      <c r="H1521" s="882">
        <f>F1521*G1521</f>
        <v>55000</v>
      </c>
      <c r="I1521" s="1172" t="s">
        <v>1625</v>
      </c>
    </row>
    <row r="1522" spans="1:9" ht="18.75">
      <c r="A1522" s="241">
        <v>13685</v>
      </c>
      <c r="B1522" s="233">
        <v>0.08</v>
      </c>
      <c r="C1522" s="891">
        <v>12</v>
      </c>
      <c r="D1522" s="259" t="s">
        <v>876</v>
      </c>
      <c r="E1522" s="581"/>
      <c r="F1522" s="558">
        <v>1600000</v>
      </c>
      <c r="G1522" s="140">
        <v>0.04</v>
      </c>
      <c r="H1522" s="882">
        <f t="shared" ref="H1522:H1539" si="49">F1522*G1522</f>
        <v>64000</v>
      </c>
      <c r="I1522" s="1172" t="s">
        <v>1625</v>
      </c>
    </row>
    <row r="1523" spans="1:9" ht="18.75">
      <c r="A1523" s="241">
        <v>13712</v>
      </c>
      <c r="B1523" s="233">
        <v>0.1</v>
      </c>
      <c r="C1523" s="891">
        <v>12</v>
      </c>
      <c r="D1523" s="136" t="s">
        <v>939</v>
      </c>
      <c r="E1523" s="581"/>
      <c r="F1523" s="558">
        <v>1300000</v>
      </c>
      <c r="G1523" s="138">
        <v>0.05</v>
      </c>
      <c r="H1523" s="882">
        <f t="shared" si="49"/>
        <v>65000</v>
      </c>
      <c r="I1523" s="1172" t="s">
        <v>1625</v>
      </c>
    </row>
    <row r="1524" spans="1:9" ht="18.75">
      <c r="A1524" s="241">
        <v>13723</v>
      </c>
      <c r="B1524" s="233">
        <v>0.1</v>
      </c>
      <c r="C1524" s="891">
        <v>12</v>
      </c>
      <c r="D1524" s="136" t="s">
        <v>941</v>
      </c>
      <c r="E1524" s="581"/>
      <c r="F1524" s="558">
        <v>1250000</v>
      </c>
      <c r="G1524" s="138">
        <v>0.05</v>
      </c>
      <c r="H1524" s="882">
        <f t="shared" si="49"/>
        <v>62500</v>
      </c>
      <c r="I1524" s="1172" t="s">
        <v>1625</v>
      </c>
    </row>
    <row r="1525" spans="1:9" ht="18.75">
      <c r="A1525" s="241">
        <v>13735</v>
      </c>
      <c r="B1525" s="233">
        <v>0.1</v>
      </c>
      <c r="C1525" s="891">
        <v>12</v>
      </c>
      <c r="D1525" s="259" t="s">
        <v>1711</v>
      </c>
      <c r="E1525" s="581"/>
      <c r="F1525" s="558">
        <v>1100000</v>
      </c>
      <c r="G1525" s="138">
        <v>0.05</v>
      </c>
      <c r="H1525" s="882">
        <f t="shared" si="49"/>
        <v>55000</v>
      </c>
      <c r="I1525" s="1172" t="s">
        <v>1625</v>
      </c>
    </row>
    <row r="1526" spans="1:9" ht="18.75">
      <c r="A1526" s="241">
        <v>13758</v>
      </c>
      <c r="B1526" s="233">
        <v>0.1</v>
      </c>
      <c r="C1526" s="891">
        <v>12</v>
      </c>
      <c r="D1526" s="259" t="s">
        <v>943</v>
      </c>
      <c r="E1526" s="581"/>
      <c r="F1526" s="558">
        <v>1000000</v>
      </c>
      <c r="G1526" s="138">
        <v>0.05</v>
      </c>
      <c r="H1526" s="882">
        <f t="shared" si="49"/>
        <v>50000</v>
      </c>
      <c r="I1526" s="1172" t="s">
        <v>1625</v>
      </c>
    </row>
    <row r="1527" spans="1:9" ht="18.75">
      <c r="A1527" s="135">
        <v>13759</v>
      </c>
      <c r="B1527" s="233">
        <v>0.1</v>
      </c>
      <c r="C1527" s="891">
        <v>12</v>
      </c>
      <c r="D1527" s="259" t="s">
        <v>945</v>
      </c>
      <c r="E1527" s="581"/>
      <c r="F1527" s="558">
        <v>1500000</v>
      </c>
      <c r="G1527" s="138">
        <v>0.05</v>
      </c>
      <c r="H1527" s="882">
        <f t="shared" si="49"/>
        <v>75000</v>
      </c>
      <c r="I1527" s="1172" t="s">
        <v>1625</v>
      </c>
    </row>
    <row r="1528" spans="1:9" ht="18.75">
      <c r="A1528" s="135">
        <v>13784</v>
      </c>
      <c r="B1528" s="233">
        <v>0.08</v>
      </c>
      <c r="C1528" s="891">
        <v>12</v>
      </c>
      <c r="D1528" s="259" t="s">
        <v>920</v>
      </c>
      <c r="E1528" s="581"/>
      <c r="F1528" s="558">
        <v>1650000</v>
      </c>
      <c r="G1528" s="140">
        <v>0.04</v>
      </c>
      <c r="H1528" s="882">
        <f t="shared" si="49"/>
        <v>66000</v>
      </c>
      <c r="I1528" s="1172" t="s">
        <v>1625</v>
      </c>
    </row>
    <row r="1529" spans="1:9" ht="18.75">
      <c r="A1529" s="241">
        <v>13776</v>
      </c>
      <c r="B1529" s="233">
        <v>0.1</v>
      </c>
      <c r="C1529" s="891">
        <v>12</v>
      </c>
      <c r="D1529" s="259" t="s">
        <v>924</v>
      </c>
      <c r="E1529" s="581"/>
      <c r="F1529" s="558">
        <v>1200000</v>
      </c>
      <c r="G1529" s="478">
        <v>0.05</v>
      </c>
      <c r="H1529" s="882">
        <f t="shared" si="49"/>
        <v>60000</v>
      </c>
      <c r="I1529" s="1172" t="s">
        <v>1625</v>
      </c>
    </row>
    <row r="1530" spans="1:9" ht="18.75">
      <c r="A1530" s="135">
        <v>13788</v>
      </c>
      <c r="B1530" s="233">
        <v>0.1</v>
      </c>
      <c r="C1530" s="891">
        <v>12</v>
      </c>
      <c r="D1530" s="259" t="s">
        <v>925</v>
      </c>
      <c r="E1530" s="581"/>
      <c r="F1530" s="558">
        <v>800000</v>
      </c>
      <c r="G1530" s="138">
        <v>0.05</v>
      </c>
      <c r="H1530" s="882">
        <f t="shared" si="49"/>
        <v>40000</v>
      </c>
      <c r="I1530" s="1172" t="s">
        <v>1625</v>
      </c>
    </row>
    <row r="1531" spans="1:9" ht="18.75">
      <c r="A1531" s="241">
        <v>13780</v>
      </c>
      <c r="B1531" s="233">
        <v>0.09</v>
      </c>
      <c r="C1531" s="891">
        <v>12</v>
      </c>
      <c r="D1531" s="259" t="s">
        <v>947</v>
      </c>
      <c r="E1531" s="581"/>
      <c r="F1531" s="558">
        <v>1500000</v>
      </c>
      <c r="G1531" s="140">
        <v>0.04</v>
      </c>
      <c r="H1531" s="882">
        <f t="shared" si="49"/>
        <v>60000</v>
      </c>
      <c r="I1531" s="1172" t="s">
        <v>1625</v>
      </c>
    </row>
    <row r="1532" spans="1:9" ht="18.75">
      <c r="A1532" s="135">
        <v>13793</v>
      </c>
      <c r="B1532" s="233">
        <v>0.1</v>
      </c>
      <c r="C1532" s="891">
        <v>12</v>
      </c>
      <c r="D1532" s="259" t="s">
        <v>927</v>
      </c>
      <c r="E1532" s="581"/>
      <c r="F1532" s="558">
        <v>1700000</v>
      </c>
      <c r="G1532" s="138">
        <v>0.05</v>
      </c>
      <c r="H1532" s="882">
        <f t="shared" si="49"/>
        <v>85000</v>
      </c>
      <c r="I1532" s="1172" t="s">
        <v>1625</v>
      </c>
    </row>
    <row r="1533" spans="1:9" ht="18.75">
      <c r="A1533" s="241">
        <v>13813</v>
      </c>
      <c r="B1533" s="233">
        <v>0.1</v>
      </c>
      <c r="C1533" s="891">
        <v>6</v>
      </c>
      <c r="D1533" s="259" t="s">
        <v>962</v>
      </c>
      <c r="E1533" s="581"/>
      <c r="F1533" s="558">
        <v>1600000</v>
      </c>
      <c r="G1533" s="138">
        <v>0.05</v>
      </c>
      <c r="H1533" s="882">
        <f t="shared" si="49"/>
        <v>80000</v>
      </c>
      <c r="I1533" s="1172" t="s">
        <v>1625</v>
      </c>
    </row>
    <row r="1534" spans="1:9" ht="18.75">
      <c r="A1534" s="135">
        <v>13798</v>
      </c>
      <c r="B1534" s="233">
        <v>0.1</v>
      </c>
      <c r="C1534" s="891">
        <v>12</v>
      </c>
      <c r="D1534" s="259" t="s">
        <v>926</v>
      </c>
      <c r="E1534" s="581"/>
      <c r="F1534" s="558">
        <v>1000000</v>
      </c>
      <c r="G1534" s="138">
        <v>0.05</v>
      </c>
      <c r="H1534" s="882">
        <f t="shared" si="49"/>
        <v>50000</v>
      </c>
      <c r="I1534" s="1172" t="s">
        <v>1625</v>
      </c>
    </row>
    <row r="1535" spans="1:9" ht="18.75">
      <c r="A1535" s="241">
        <v>13826</v>
      </c>
      <c r="B1535" s="233">
        <v>0.1</v>
      </c>
      <c r="C1535" s="891">
        <v>12</v>
      </c>
      <c r="D1535" s="259" t="s">
        <v>922</v>
      </c>
      <c r="E1535" s="581"/>
      <c r="F1535" s="558">
        <v>1700000</v>
      </c>
      <c r="G1535" s="138">
        <v>0.05</v>
      </c>
      <c r="H1535" s="882">
        <f t="shared" si="49"/>
        <v>85000</v>
      </c>
      <c r="I1535" s="1172" t="s">
        <v>1625</v>
      </c>
    </row>
    <row r="1536" spans="1:9" ht="18.75">
      <c r="A1536" s="241">
        <v>13827</v>
      </c>
      <c r="B1536" s="233">
        <v>0.1</v>
      </c>
      <c r="C1536" s="891">
        <v>12</v>
      </c>
      <c r="D1536" s="259" t="s">
        <v>950</v>
      </c>
      <c r="E1536" s="581"/>
      <c r="F1536" s="558">
        <v>900000</v>
      </c>
      <c r="G1536" s="138">
        <v>0.05</v>
      </c>
      <c r="H1536" s="882">
        <f t="shared" si="49"/>
        <v>45000</v>
      </c>
      <c r="I1536" s="1172" t="s">
        <v>1625</v>
      </c>
    </row>
    <row r="1537" spans="1:10" ht="18.75">
      <c r="A1537" s="241">
        <v>13873</v>
      </c>
      <c r="B1537" s="233">
        <v>0.1</v>
      </c>
      <c r="C1537" s="891">
        <v>12</v>
      </c>
      <c r="D1537" s="1237" t="s">
        <v>487</v>
      </c>
      <c r="E1537" s="581"/>
      <c r="F1537" s="558">
        <v>1600000</v>
      </c>
      <c r="G1537" s="138">
        <v>0.05</v>
      </c>
      <c r="H1537" s="882">
        <f t="shared" si="49"/>
        <v>80000</v>
      </c>
      <c r="I1537" s="1172" t="s">
        <v>1625</v>
      </c>
      <c r="J1537" t="s">
        <v>1712</v>
      </c>
    </row>
    <row r="1538" spans="1:10" ht="18.75">
      <c r="A1538" s="241">
        <v>13877</v>
      </c>
      <c r="B1538" s="233">
        <v>0.08</v>
      </c>
      <c r="C1538" s="238">
        <v>12</v>
      </c>
      <c r="D1538" s="259" t="s">
        <v>930</v>
      </c>
      <c r="E1538" s="581"/>
      <c r="F1538" s="558">
        <v>1700000</v>
      </c>
      <c r="G1538" s="140">
        <v>0.04</v>
      </c>
      <c r="H1538" s="882">
        <f t="shared" si="49"/>
        <v>68000</v>
      </c>
      <c r="I1538" s="1172" t="s">
        <v>1625</v>
      </c>
    </row>
    <row r="1539" spans="1:10" ht="18.75">
      <c r="A1539" s="241">
        <v>13881</v>
      </c>
      <c r="B1539" s="233">
        <v>0.1</v>
      </c>
      <c r="C1539" s="238">
        <v>12</v>
      </c>
      <c r="D1539" s="259" t="s">
        <v>1713</v>
      </c>
      <c r="E1539" s="581"/>
      <c r="F1539" s="558">
        <v>1200000</v>
      </c>
      <c r="G1539" s="138">
        <v>0.05</v>
      </c>
      <c r="H1539" s="882">
        <f t="shared" si="49"/>
        <v>60000</v>
      </c>
      <c r="I1539" s="1172" t="s">
        <v>1625</v>
      </c>
    </row>
    <row r="1540" spans="1:10" ht="18.75">
      <c r="A1540" s="211" t="s">
        <v>297</v>
      </c>
      <c r="B1540" s="267"/>
      <c r="C1540" s="1225"/>
      <c r="D1540" s="1239" t="s">
        <v>932</v>
      </c>
      <c r="E1540" s="567" t="s">
        <v>933</v>
      </c>
      <c r="F1540" s="889"/>
      <c r="G1540" s="220"/>
      <c r="H1540" s="883"/>
      <c r="I1540" s="1172"/>
    </row>
    <row r="1541" spans="1:10" ht="20.25">
      <c r="A1541" s="163"/>
      <c r="B1541" s="318"/>
      <c r="C1541" s="1131"/>
      <c r="D1541" s="266"/>
      <c r="E1541" s="947"/>
      <c r="F1541" s="948">
        <f>SUM(F1521:F1539)</f>
        <v>25400000</v>
      </c>
      <c r="G1541" s="1088"/>
      <c r="H1541" s="950">
        <f>SUM(H1521:H1540)</f>
        <v>1205500</v>
      </c>
      <c r="I1541" s="1172"/>
    </row>
    <row r="1542" spans="1:10" ht="18.75">
      <c r="A1542" s="1646"/>
      <c r="B1542" s="1646"/>
      <c r="C1542" s="1646"/>
      <c r="D1542" s="1646"/>
      <c r="E1542" s="1646"/>
      <c r="F1542" s="1646"/>
      <c r="G1542" s="1646"/>
      <c r="H1542" s="1646"/>
    </row>
    <row r="1543" spans="1:10" ht="18.75">
      <c r="A1543" s="1647"/>
      <c r="B1543" s="1647"/>
      <c r="C1543" s="1647"/>
      <c r="D1543" s="1647"/>
      <c r="E1543" s="1647"/>
      <c r="F1543" s="1647"/>
      <c r="G1543" s="1647"/>
      <c r="H1543" s="1647"/>
    </row>
    <row r="1544" spans="1:10" ht="26.25">
      <c r="A1544" s="1640" t="s">
        <v>1714</v>
      </c>
      <c r="B1544" s="1640"/>
      <c r="C1544" s="1641"/>
      <c r="D1544" s="1640"/>
      <c r="E1544" s="1640"/>
      <c r="F1544" s="1640"/>
      <c r="G1544" s="1640"/>
      <c r="H1544" s="1640"/>
    </row>
    <row r="1545" spans="1:10" ht="30.75">
      <c r="A1545" s="45" t="s">
        <v>1463</v>
      </c>
      <c r="B1545" s="646" t="s">
        <v>1497</v>
      </c>
      <c r="C1545" s="132" t="s">
        <v>1465</v>
      </c>
      <c r="D1545" s="647" t="s">
        <v>5</v>
      </c>
      <c r="E1545" s="47" t="s">
        <v>1466</v>
      </c>
      <c r="F1545" s="48" t="s">
        <v>1467</v>
      </c>
      <c r="G1545" s="48" t="s">
        <v>7</v>
      </c>
      <c r="H1545" s="48" t="s">
        <v>1468</v>
      </c>
    </row>
    <row r="1546" spans="1:10" ht="18.75">
      <c r="A1546" s="241">
        <v>13677</v>
      </c>
      <c r="B1546" s="233">
        <v>0.1</v>
      </c>
      <c r="C1546" s="238">
        <v>12</v>
      </c>
      <c r="D1546" s="259" t="s">
        <v>936</v>
      </c>
      <c r="E1546" s="581"/>
      <c r="F1546" s="558">
        <v>1350000</v>
      </c>
      <c r="G1546" s="166">
        <v>2.5000000000000001E-2</v>
      </c>
      <c r="H1546" s="139">
        <f>F1546*G1546</f>
        <v>33750</v>
      </c>
    </row>
    <row r="1547" spans="1:10" ht="18.75">
      <c r="A1547" s="241">
        <v>13673</v>
      </c>
      <c r="B1547" s="233">
        <v>0.1</v>
      </c>
      <c r="C1547" s="238">
        <v>12</v>
      </c>
      <c r="D1547" s="259" t="s">
        <v>960</v>
      </c>
      <c r="E1547" s="581"/>
      <c r="F1547" s="558">
        <v>1350000</v>
      </c>
      <c r="G1547" s="166">
        <v>2.5000000000000001E-2</v>
      </c>
      <c r="H1547" s="139">
        <f t="shared" ref="H1547:H1582" si="50">F1547*G1547</f>
        <v>33750</v>
      </c>
    </row>
    <row r="1548" spans="1:10" ht="18.75">
      <c r="A1548" s="241">
        <v>13671</v>
      </c>
      <c r="B1548" s="233">
        <v>0.08</v>
      </c>
      <c r="C1548" s="238">
        <v>12</v>
      </c>
      <c r="D1548" s="259" t="s">
        <v>1706</v>
      </c>
      <c r="E1548" s="581"/>
      <c r="F1548" s="558">
        <v>1500000</v>
      </c>
      <c r="G1548" s="1111">
        <v>1.4999999999999999E-2</v>
      </c>
      <c r="H1548" s="139">
        <f t="shared" si="50"/>
        <v>22500</v>
      </c>
    </row>
    <row r="1549" spans="1:10" ht="18.75">
      <c r="A1549" s="241">
        <v>13674</v>
      </c>
      <c r="B1549" s="233">
        <v>0.1</v>
      </c>
      <c r="C1549" s="238">
        <v>12</v>
      </c>
      <c r="D1549" s="259" t="s">
        <v>918</v>
      </c>
      <c r="E1549" s="581"/>
      <c r="F1549" s="558">
        <v>1400000</v>
      </c>
      <c r="G1549" s="166">
        <v>2.5000000000000001E-2</v>
      </c>
      <c r="H1549" s="139">
        <f t="shared" si="50"/>
        <v>35000</v>
      </c>
    </row>
    <row r="1550" spans="1:10" ht="18.75">
      <c r="A1550" s="241">
        <v>13695</v>
      </c>
      <c r="B1550" s="233">
        <v>0.1</v>
      </c>
      <c r="C1550" s="238">
        <v>12</v>
      </c>
      <c r="D1550" s="1237" t="s">
        <v>938</v>
      </c>
      <c r="E1550" s="581"/>
      <c r="F1550" s="558">
        <v>1100000</v>
      </c>
      <c r="G1550" s="166">
        <v>2.5000000000000001E-2</v>
      </c>
      <c r="H1550" s="139">
        <f t="shared" si="50"/>
        <v>27500</v>
      </c>
    </row>
    <row r="1551" spans="1:10" ht="18.75">
      <c r="A1551" s="241">
        <v>13751</v>
      </c>
      <c r="B1551" s="233">
        <v>0.1</v>
      </c>
      <c r="C1551" s="238">
        <v>12</v>
      </c>
      <c r="D1551" s="259" t="s">
        <v>944</v>
      </c>
      <c r="E1551" s="581"/>
      <c r="F1551" s="558">
        <v>800000</v>
      </c>
      <c r="G1551" s="166">
        <v>2.5000000000000001E-2</v>
      </c>
      <c r="H1551" s="139">
        <f t="shared" si="50"/>
        <v>20000</v>
      </c>
    </row>
    <row r="1552" spans="1:10" ht="18.75">
      <c r="A1552" s="241">
        <v>13737</v>
      </c>
      <c r="B1552" s="233">
        <v>0.1</v>
      </c>
      <c r="C1552" s="238">
        <v>12</v>
      </c>
      <c r="D1552" s="259" t="s">
        <v>921</v>
      </c>
      <c r="E1552" s="581"/>
      <c r="F1552" s="558">
        <v>900000</v>
      </c>
      <c r="G1552" s="166">
        <v>2.5000000000000001E-2</v>
      </c>
      <c r="H1552" s="139">
        <f t="shared" si="50"/>
        <v>22500</v>
      </c>
    </row>
    <row r="1553" spans="1:8" ht="18.75">
      <c r="A1553" s="241">
        <v>13744</v>
      </c>
      <c r="B1553" s="233">
        <v>0.1</v>
      </c>
      <c r="C1553" s="238">
        <v>12</v>
      </c>
      <c r="D1553" s="259" t="s">
        <v>935</v>
      </c>
      <c r="E1553" s="581"/>
      <c r="F1553" s="558">
        <v>1100000</v>
      </c>
      <c r="G1553" s="166">
        <v>2.5000000000000001E-2</v>
      </c>
      <c r="H1553" s="139">
        <f t="shared" si="50"/>
        <v>27500</v>
      </c>
    </row>
    <row r="1554" spans="1:8" ht="18.75">
      <c r="A1554" s="241">
        <v>13762</v>
      </c>
      <c r="B1554" s="233">
        <v>0.1</v>
      </c>
      <c r="C1554" s="238">
        <v>12</v>
      </c>
      <c r="D1554" s="259" t="s">
        <v>923</v>
      </c>
      <c r="E1554" s="581"/>
      <c r="F1554" s="558">
        <v>750000</v>
      </c>
      <c r="G1554" s="166">
        <v>2.5000000000000001E-2</v>
      </c>
      <c r="H1554" s="139">
        <f t="shared" si="50"/>
        <v>18750</v>
      </c>
    </row>
    <row r="1555" spans="1:8" ht="18.75">
      <c r="A1555" s="241">
        <v>13766</v>
      </c>
      <c r="B1555" s="233">
        <v>0.1</v>
      </c>
      <c r="C1555" s="238">
        <v>12</v>
      </c>
      <c r="D1555" s="259" t="s">
        <v>961</v>
      </c>
      <c r="E1555" s="581"/>
      <c r="F1555" s="558">
        <v>1300000</v>
      </c>
      <c r="G1555" s="166">
        <v>2.5000000000000001E-2</v>
      </c>
      <c r="H1555" s="139">
        <f t="shared" si="50"/>
        <v>32500</v>
      </c>
    </row>
    <row r="1556" spans="1:8" ht="18.75">
      <c r="A1556" s="241">
        <v>13794</v>
      </c>
      <c r="B1556" s="233">
        <v>0.1</v>
      </c>
      <c r="C1556" s="238">
        <v>12</v>
      </c>
      <c r="D1556" s="259" t="s">
        <v>928</v>
      </c>
      <c r="E1556" s="581"/>
      <c r="F1556" s="558">
        <v>850000</v>
      </c>
      <c r="G1556" s="166">
        <v>2.5000000000000001E-2</v>
      </c>
      <c r="H1556" s="139">
        <f t="shared" si="50"/>
        <v>21250</v>
      </c>
    </row>
    <row r="1557" spans="1:8" ht="18.75">
      <c r="A1557" s="241">
        <v>13810</v>
      </c>
      <c r="B1557" s="233">
        <v>0.1</v>
      </c>
      <c r="C1557" s="238">
        <v>12</v>
      </c>
      <c r="D1557" s="259" t="s">
        <v>948</v>
      </c>
      <c r="E1557" s="581"/>
      <c r="F1557" s="558">
        <v>1500000</v>
      </c>
      <c r="G1557" s="166">
        <v>2.5000000000000001E-2</v>
      </c>
      <c r="H1557" s="139">
        <f t="shared" si="50"/>
        <v>37500</v>
      </c>
    </row>
    <row r="1558" spans="1:8" ht="18.75">
      <c r="A1558" s="241">
        <v>13811</v>
      </c>
      <c r="B1558" s="233">
        <v>0.1</v>
      </c>
      <c r="C1558" s="238">
        <v>12</v>
      </c>
      <c r="D1558" s="259" t="s">
        <v>949</v>
      </c>
      <c r="E1558" s="581"/>
      <c r="F1558" s="558">
        <v>1250000</v>
      </c>
      <c r="G1558" s="166">
        <v>2.5000000000000001E-2</v>
      </c>
      <c r="H1558" s="139">
        <f t="shared" si="50"/>
        <v>31250</v>
      </c>
    </row>
    <row r="1559" spans="1:8" ht="18.75">
      <c r="A1559" s="241">
        <v>13851</v>
      </c>
      <c r="B1559" s="233">
        <v>0.1</v>
      </c>
      <c r="C1559" s="238">
        <v>12</v>
      </c>
      <c r="D1559" s="259" t="s">
        <v>963</v>
      </c>
      <c r="E1559" s="581"/>
      <c r="F1559" s="558">
        <v>1300000</v>
      </c>
      <c r="G1559" s="166">
        <v>2.5000000000000001E-2</v>
      </c>
      <c r="H1559" s="139">
        <f t="shared" si="50"/>
        <v>32500</v>
      </c>
    </row>
    <row r="1560" spans="1:8" ht="18.75">
      <c r="A1560" s="135">
        <v>13860</v>
      </c>
      <c r="B1560" s="233">
        <v>0.1</v>
      </c>
      <c r="C1560" s="238">
        <v>12</v>
      </c>
      <c r="D1560" s="259" t="s">
        <v>1708</v>
      </c>
      <c r="E1560" s="581"/>
      <c r="F1560" s="558">
        <v>1650000</v>
      </c>
      <c r="G1560" s="166">
        <v>2.5000000000000001E-2</v>
      </c>
      <c r="H1560" s="139">
        <f t="shared" si="50"/>
        <v>41250</v>
      </c>
    </row>
    <row r="1561" spans="1:8" ht="18.75">
      <c r="A1561" s="241">
        <v>13874</v>
      </c>
      <c r="B1561" s="233">
        <v>0.1</v>
      </c>
      <c r="C1561" s="238">
        <v>12</v>
      </c>
      <c r="D1561" s="259" t="s">
        <v>929</v>
      </c>
      <c r="E1561" s="581"/>
      <c r="F1561" s="558">
        <v>1600000</v>
      </c>
      <c r="G1561" s="166">
        <v>2.5000000000000001E-2</v>
      </c>
      <c r="H1561" s="139">
        <f t="shared" si="50"/>
        <v>40000</v>
      </c>
    </row>
    <row r="1562" spans="1:8" ht="18.75">
      <c r="A1562" s="135">
        <v>13852</v>
      </c>
      <c r="B1562" s="233">
        <v>0.1</v>
      </c>
      <c r="C1562" s="238">
        <v>12</v>
      </c>
      <c r="D1562" s="259" t="s">
        <v>1709</v>
      </c>
      <c r="E1562" s="581"/>
      <c r="F1562" s="558">
        <v>1700000</v>
      </c>
      <c r="G1562" s="166">
        <v>2.5000000000000001E-2</v>
      </c>
      <c r="H1562" s="139">
        <f t="shared" si="50"/>
        <v>42500</v>
      </c>
    </row>
    <row r="1563" spans="1:8" ht="18.75">
      <c r="A1563" s="241">
        <v>13665</v>
      </c>
      <c r="B1563" s="233">
        <v>0.1</v>
      </c>
      <c r="C1563" s="891">
        <v>12</v>
      </c>
      <c r="D1563" s="1235" t="s">
        <v>917</v>
      </c>
      <c r="E1563" s="581"/>
      <c r="F1563" s="558">
        <v>1100000</v>
      </c>
      <c r="G1563" s="166">
        <v>2.5000000000000001E-2</v>
      </c>
      <c r="H1563" s="139">
        <f t="shared" si="50"/>
        <v>27500</v>
      </c>
    </row>
    <row r="1564" spans="1:8" ht="18.75">
      <c r="A1564" s="241">
        <v>13685</v>
      </c>
      <c r="B1564" s="233">
        <v>0.08</v>
      </c>
      <c r="C1564" s="891">
        <v>12</v>
      </c>
      <c r="D1564" s="259" t="s">
        <v>876</v>
      </c>
      <c r="E1564" s="581"/>
      <c r="F1564" s="558">
        <v>1600000</v>
      </c>
      <c r="G1564" s="1111">
        <v>1.4999999999999999E-2</v>
      </c>
      <c r="H1564" s="139">
        <f t="shared" si="50"/>
        <v>24000</v>
      </c>
    </row>
    <row r="1565" spans="1:8" ht="18.75">
      <c r="A1565" s="241">
        <v>13712</v>
      </c>
      <c r="B1565" s="233">
        <v>0.1</v>
      </c>
      <c r="C1565" s="891">
        <v>12</v>
      </c>
      <c r="D1565" s="136" t="s">
        <v>939</v>
      </c>
      <c r="E1565" s="581"/>
      <c r="F1565" s="558">
        <v>1300000</v>
      </c>
      <c r="G1565" s="166">
        <v>2.5000000000000001E-2</v>
      </c>
      <c r="H1565" s="139">
        <f t="shared" si="50"/>
        <v>32500</v>
      </c>
    </row>
    <row r="1566" spans="1:8" ht="18.75">
      <c r="A1566" s="241">
        <v>13723</v>
      </c>
      <c r="B1566" s="233">
        <v>0.1</v>
      </c>
      <c r="C1566" s="891">
        <v>12</v>
      </c>
      <c r="D1566" s="136" t="s">
        <v>941</v>
      </c>
      <c r="E1566" s="581"/>
      <c r="F1566" s="558">
        <v>1250000</v>
      </c>
      <c r="G1566" s="166">
        <v>2.5000000000000001E-2</v>
      </c>
      <c r="H1566" s="139">
        <f t="shared" si="50"/>
        <v>31250</v>
      </c>
    </row>
    <row r="1567" spans="1:8" ht="18.75">
      <c r="A1567" s="241">
        <v>13735</v>
      </c>
      <c r="B1567" s="233">
        <v>0.1</v>
      </c>
      <c r="C1567" s="891">
        <v>12</v>
      </c>
      <c r="D1567" s="259" t="s">
        <v>1711</v>
      </c>
      <c r="E1567" s="581"/>
      <c r="F1567" s="558">
        <v>1100000</v>
      </c>
      <c r="G1567" s="166">
        <v>2.5000000000000001E-2</v>
      </c>
      <c r="H1567" s="139">
        <f t="shared" si="50"/>
        <v>27500</v>
      </c>
    </row>
    <row r="1568" spans="1:8" ht="18.75">
      <c r="A1568" s="241">
        <v>13758</v>
      </c>
      <c r="B1568" s="233">
        <v>0.1</v>
      </c>
      <c r="C1568" s="891">
        <v>12</v>
      </c>
      <c r="D1568" s="259" t="s">
        <v>943</v>
      </c>
      <c r="E1568" s="581"/>
      <c r="F1568" s="558">
        <v>1000000</v>
      </c>
      <c r="G1568" s="166">
        <v>2.5000000000000001E-2</v>
      </c>
      <c r="H1568" s="139">
        <f t="shared" si="50"/>
        <v>25000</v>
      </c>
    </row>
    <row r="1569" spans="1:8" ht="18.75">
      <c r="A1569" s="135">
        <v>13759</v>
      </c>
      <c r="B1569" s="233">
        <v>0.1</v>
      </c>
      <c r="C1569" s="891">
        <v>12</v>
      </c>
      <c r="D1569" s="259" t="s">
        <v>945</v>
      </c>
      <c r="E1569" s="581"/>
      <c r="F1569" s="558">
        <v>1500000</v>
      </c>
      <c r="G1569" s="166">
        <v>2.5000000000000001E-2</v>
      </c>
      <c r="H1569" s="139">
        <f t="shared" si="50"/>
        <v>37500</v>
      </c>
    </row>
    <row r="1570" spans="1:8" ht="18.75">
      <c r="A1570" s="135">
        <v>13784</v>
      </c>
      <c r="B1570" s="233">
        <v>0.08</v>
      </c>
      <c r="C1570" s="891">
        <v>12</v>
      </c>
      <c r="D1570" s="259" t="s">
        <v>920</v>
      </c>
      <c r="E1570" s="581"/>
      <c r="F1570" s="558">
        <v>1650000</v>
      </c>
      <c r="G1570" s="1111">
        <v>1.4999999999999999E-2</v>
      </c>
      <c r="H1570" s="139">
        <f t="shared" si="50"/>
        <v>24750</v>
      </c>
    </row>
    <row r="1571" spans="1:8" ht="18.75">
      <c r="A1571" s="241">
        <v>13776</v>
      </c>
      <c r="B1571" s="233">
        <v>0.1</v>
      </c>
      <c r="C1571" s="891">
        <v>12</v>
      </c>
      <c r="D1571" s="259" t="s">
        <v>924</v>
      </c>
      <c r="E1571" s="581"/>
      <c r="F1571" s="558">
        <v>1200000</v>
      </c>
      <c r="G1571" s="1138">
        <v>2.5000000000000001E-2</v>
      </c>
      <c r="H1571" s="139">
        <f t="shared" si="50"/>
        <v>30000</v>
      </c>
    </row>
    <row r="1572" spans="1:8" ht="18.75">
      <c r="A1572" s="135">
        <v>13788</v>
      </c>
      <c r="B1572" s="233">
        <v>0.1</v>
      </c>
      <c r="C1572" s="891">
        <v>12</v>
      </c>
      <c r="D1572" s="259" t="s">
        <v>925</v>
      </c>
      <c r="E1572" s="581"/>
      <c r="F1572" s="558">
        <v>800000</v>
      </c>
      <c r="G1572" s="166">
        <v>2.5000000000000001E-2</v>
      </c>
      <c r="H1572" s="139">
        <f t="shared" si="50"/>
        <v>20000</v>
      </c>
    </row>
    <row r="1573" spans="1:8" ht="18.75">
      <c r="A1573" s="241">
        <v>13780</v>
      </c>
      <c r="B1573" s="233">
        <v>0.09</v>
      </c>
      <c r="C1573" s="891">
        <v>12</v>
      </c>
      <c r="D1573" s="259" t="s">
        <v>947</v>
      </c>
      <c r="E1573" s="581"/>
      <c r="F1573" s="558">
        <v>1500000</v>
      </c>
      <c r="G1573" s="1111">
        <v>1.4999999999999999E-2</v>
      </c>
      <c r="H1573" s="139">
        <f t="shared" si="50"/>
        <v>22500</v>
      </c>
    </row>
    <row r="1574" spans="1:8" ht="18.75">
      <c r="A1574" s="135">
        <v>13793</v>
      </c>
      <c r="B1574" s="233">
        <v>0.1</v>
      </c>
      <c r="C1574" s="891">
        <v>12</v>
      </c>
      <c r="D1574" s="259" t="s">
        <v>927</v>
      </c>
      <c r="E1574" s="581"/>
      <c r="F1574" s="558">
        <v>1700000</v>
      </c>
      <c r="G1574" s="166">
        <v>2.5000000000000001E-2</v>
      </c>
      <c r="H1574" s="139">
        <f t="shared" si="50"/>
        <v>42500</v>
      </c>
    </row>
    <row r="1575" spans="1:8" ht="18.75">
      <c r="A1575" s="241">
        <v>13813</v>
      </c>
      <c r="B1575" s="233">
        <v>0.1</v>
      </c>
      <c r="C1575" s="891">
        <v>6</v>
      </c>
      <c r="D1575" s="259" t="s">
        <v>962</v>
      </c>
      <c r="E1575" s="581"/>
      <c r="F1575" s="558">
        <v>1600000</v>
      </c>
      <c r="G1575" s="166">
        <v>2.5000000000000001E-2</v>
      </c>
      <c r="H1575" s="139">
        <f t="shared" si="50"/>
        <v>40000</v>
      </c>
    </row>
    <row r="1576" spans="1:8" ht="18.75">
      <c r="A1576" s="135">
        <v>13798</v>
      </c>
      <c r="B1576" s="233">
        <v>0.1</v>
      </c>
      <c r="C1576" s="891">
        <v>12</v>
      </c>
      <c r="D1576" s="259" t="s">
        <v>926</v>
      </c>
      <c r="E1576" s="581"/>
      <c r="F1576" s="558">
        <v>1000000</v>
      </c>
      <c r="G1576" s="166">
        <v>2.5000000000000001E-2</v>
      </c>
      <c r="H1576" s="139">
        <f t="shared" si="50"/>
        <v>25000</v>
      </c>
    </row>
    <row r="1577" spans="1:8" ht="18.75">
      <c r="A1577" s="241">
        <v>13826</v>
      </c>
      <c r="B1577" s="233">
        <v>0.1</v>
      </c>
      <c r="C1577" s="891">
        <v>12</v>
      </c>
      <c r="D1577" s="259" t="s">
        <v>922</v>
      </c>
      <c r="E1577" s="581"/>
      <c r="F1577" s="558">
        <v>1700000</v>
      </c>
      <c r="G1577" s="166">
        <v>2.5000000000000001E-2</v>
      </c>
      <c r="H1577" s="139">
        <f t="shared" si="50"/>
        <v>42500</v>
      </c>
    </row>
    <row r="1578" spans="1:8" ht="18.75">
      <c r="A1578" s="241">
        <v>13827</v>
      </c>
      <c r="B1578" s="233">
        <v>0.1</v>
      </c>
      <c r="C1578" s="891">
        <v>12</v>
      </c>
      <c r="D1578" s="259" t="s">
        <v>950</v>
      </c>
      <c r="E1578" s="581"/>
      <c r="F1578" s="558">
        <v>900000</v>
      </c>
      <c r="G1578" s="166">
        <v>2.5000000000000001E-2</v>
      </c>
      <c r="H1578" s="139">
        <f t="shared" si="50"/>
        <v>22500</v>
      </c>
    </row>
    <row r="1579" spans="1:8" ht="18.75">
      <c r="A1579" s="241">
        <v>13873</v>
      </c>
      <c r="B1579" s="233">
        <v>0.1</v>
      </c>
      <c r="C1579" s="891">
        <v>12</v>
      </c>
      <c r="D1579" s="1237" t="s">
        <v>487</v>
      </c>
      <c r="E1579" s="581"/>
      <c r="F1579" s="558">
        <v>1600000</v>
      </c>
      <c r="G1579" s="166">
        <v>2.5000000000000001E-2</v>
      </c>
      <c r="H1579" s="139">
        <f t="shared" si="50"/>
        <v>40000</v>
      </c>
    </row>
    <row r="1580" spans="1:8" ht="18.75">
      <c r="A1580" s="241">
        <v>13877</v>
      </c>
      <c r="B1580" s="233">
        <v>0.08</v>
      </c>
      <c r="C1580" s="238">
        <v>12</v>
      </c>
      <c r="D1580" s="259" t="s">
        <v>930</v>
      </c>
      <c r="E1580" s="581"/>
      <c r="F1580" s="558">
        <v>1700000</v>
      </c>
      <c r="G1580" s="1111">
        <v>1.4999999999999999E-2</v>
      </c>
      <c r="H1580" s="139">
        <f t="shared" si="50"/>
        <v>25500</v>
      </c>
    </row>
    <row r="1581" spans="1:8" ht="18.75">
      <c r="A1581" s="241">
        <v>13881</v>
      </c>
      <c r="B1581" s="233">
        <v>0.1</v>
      </c>
      <c r="C1581" s="238">
        <v>12</v>
      </c>
      <c r="D1581" s="259" t="s">
        <v>1715</v>
      </c>
      <c r="E1581" s="581"/>
      <c r="F1581" s="558">
        <v>1200000</v>
      </c>
      <c r="G1581" s="166">
        <v>2.5000000000000001E-2</v>
      </c>
      <c r="H1581" s="139">
        <f t="shared" si="50"/>
        <v>30000</v>
      </c>
    </row>
    <row r="1582" spans="1:8" ht="18.75">
      <c r="A1582" s="135">
        <v>13880</v>
      </c>
      <c r="B1582" s="233">
        <v>0.1</v>
      </c>
      <c r="C1582" s="891">
        <v>12</v>
      </c>
      <c r="D1582" s="259" t="s">
        <v>954</v>
      </c>
      <c r="E1582" s="581"/>
      <c r="F1582" s="558">
        <v>850000</v>
      </c>
      <c r="G1582" s="166">
        <v>2.5000000000000001E-2</v>
      </c>
      <c r="H1582" s="139">
        <f t="shared" si="50"/>
        <v>21250</v>
      </c>
    </row>
    <row r="1583" spans="1:8" ht="20.25">
      <c r="A1583" s="163"/>
      <c r="B1583" s="1214"/>
      <c r="C1583" s="1188"/>
      <c r="D1583" s="262"/>
      <c r="E1583" s="833" t="s">
        <v>80</v>
      </c>
      <c r="F1583" s="867">
        <f>SUM(F1546:F1582)</f>
        <v>47650000</v>
      </c>
      <c r="G1583" s="868"/>
      <c r="H1583" s="869">
        <f>SUM(H1546:H1582)</f>
        <v>1111750</v>
      </c>
    </row>
    <row r="1584" spans="1:8" ht="18.75"/>
    <row r="1585" spans="1:9" ht="18.75"/>
    <row r="1586" spans="1:9" ht="26.25">
      <c r="A1586" s="1643" t="s">
        <v>1716</v>
      </c>
      <c r="B1586" s="1643"/>
      <c r="C1586" s="1643"/>
      <c r="D1586" s="1643"/>
      <c r="E1586" s="1643"/>
      <c r="F1586" s="1643"/>
      <c r="G1586" s="1643"/>
      <c r="H1586" s="1644"/>
    </row>
    <row r="1587" spans="1:9" ht="18.75"/>
    <row r="1588" spans="1:9" ht="26.25">
      <c r="A1588" s="1640" t="s">
        <v>1717</v>
      </c>
      <c r="B1588" s="1640"/>
      <c r="C1588" s="1641"/>
      <c r="D1588" s="1640"/>
      <c r="E1588" s="1640"/>
      <c r="F1588" s="1640"/>
      <c r="G1588" s="1640"/>
      <c r="H1588" s="1642"/>
      <c r="I1588" s="1172"/>
    </row>
    <row r="1589" spans="1:9" ht="30.75">
      <c r="A1589" s="45" t="s">
        <v>1463</v>
      </c>
      <c r="B1589" s="646" t="s">
        <v>1497</v>
      </c>
      <c r="C1589" s="132" t="s">
        <v>1465</v>
      </c>
      <c r="D1589" s="647" t="s">
        <v>5</v>
      </c>
      <c r="E1589" s="47" t="s">
        <v>1466</v>
      </c>
      <c r="F1589" s="48" t="s">
        <v>1467</v>
      </c>
      <c r="G1589" s="48" t="s">
        <v>7</v>
      </c>
      <c r="H1589" s="62" t="s">
        <v>1468</v>
      </c>
      <c r="I1589" s="1174" t="s">
        <v>1624</v>
      </c>
    </row>
    <row r="1590" spans="1:9" ht="18.75">
      <c r="A1590" s="241">
        <v>13884</v>
      </c>
      <c r="B1590" s="233">
        <v>0.1</v>
      </c>
      <c r="C1590" s="238">
        <v>12</v>
      </c>
      <c r="D1590" s="259" t="s">
        <v>978</v>
      </c>
      <c r="E1590" s="1142"/>
      <c r="F1590" s="558">
        <v>700000</v>
      </c>
      <c r="G1590" s="478">
        <v>0.03</v>
      </c>
      <c r="H1590" s="1254">
        <f>F1590*G1590</f>
        <v>21000</v>
      </c>
      <c r="I1590" s="1143" t="s">
        <v>1625</v>
      </c>
    </row>
    <row r="1591" spans="1:9" ht="18.75">
      <c r="A1591" s="241">
        <v>13910</v>
      </c>
      <c r="B1591" s="233">
        <v>0.1</v>
      </c>
      <c r="C1591" s="238">
        <v>12</v>
      </c>
      <c r="D1591" s="259" t="s">
        <v>980</v>
      </c>
      <c r="E1591" s="1142"/>
      <c r="F1591" s="558">
        <v>1450000</v>
      </c>
      <c r="G1591" s="478">
        <v>0.03</v>
      </c>
      <c r="H1591" s="1254">
        <f t="shared" ref="H1591:H1599" si="51">F1591*G1591</f>
        <v>43500</v>
      </c>
      <c r="I1591" s="1175" t="s">
        <v>1625</v>
      </c>
    </row>
    <row r="1592" spans="1:9" ht="18.75">
      <c r="A1592" s="241">
        <v>13905</v>
      </c>
      <c r="B1592" s="233">
        <v>0.1</v>
      </c>
      <c r="C1592" s="238">
        <v>12</v>
      </c>
      <c r="D1592" s="259" t="s">
        <v>973</v>
      </c>
      <c r="E1592" s="1142"/>
      <c r="F1592" s="558">
        <v>880000</v>
      </c>
      <c r="G1592" s="478">
        <v>0.03</v>
      </c>
      <c r="H1592" s="1254">
        <f t="shared" si="51"/>
        <v>26400</v>
      </c>
      <c r="I1592" s="1175" t="s">
        <v>1625</v>
      </c>
    </row>
    <row r="1593" spans="1:9" ht="18.75">
      <c r="A1593" s="241">
        <v>13933</v>
      </c>
      <c r="B1593" s="233">
        <v>0.1</v>
      </c>
      <c r="C1593" s="238">
        <v>12</v>
      </c>
      <c r="D1593" s="259" t="s">
        <v>979</v>
      </c>
      <c r="E1593" s="1142"/>
      <c r="F1593" s="558">
        <v>1600000</v>
      </c>
      <c r="G1593" s="478">
        <v>0.03</v>
      </c>
      <c r="H1593" s="1254">
        <f t="shared" si="51"/>
        <v>48000</v>
      </c>
      <c r="I1593" s="1175" t="s">
        <v>1625</v>
      </c>
    </row>
    <row r="1594" spans="1:9" ht="18.75">
      <c r="A1594" s="241">
        <v>13919</v>
      </c>
      <c r="B1594" s="233">
        <v>0.1</v>
      </c>
      <c r="C1594" s="238">
        <v>12</v>
      </c>
      <c r="D1594" s="137" t="s">
        <v>1000</v>
      </c>
      <c r="E1594" s="1142"/>
      <c r="F1594" s="558">
        <v>1100000</v>
      </c>
      <c r="G1594" s="478">
        <v>0.03</v>
      </c>
      <c r="H1594" s="1254">
        <f t="shared" si="51"/>
        <v>33000</v>
      </c>
      <c r="I1594" s="1175" t="s">
        <v>1625</v>
      </c>
    </row>
    <row r="1595" spans="1:9" ht="18.75">
      <c r="A1595" s="241">
        <v>14031</v>
      </c>
      <c r="B1595" s="233">
        <v>0.1</v>
      </c>
      <c r="C1595" s="770">
        <v>12</v>
      </c>
      <c r="D1595" s="243" t="s">
        <v>238</v>
      </c>
      <c r="E1595" s="1263"/>
      <c r="F1595" s="558">
        <v>1200000</v>
      </c>
      <c r="G1595" s="478">
        <v>0.03</v>
      </c>
      <c r="H1595" s="1254">
        <f t="shared" si="51"/>
        <v>36000</v>
      </c>
      <c r="I1595" s="1175" t="s">
        <v>1625</v>
      </c>
    </row>
    <row r="1596" spans="1:9" ht="18.75">
      <c r="A1596" s="241">
        <v>14012</v>
      </c>
      <c r="B1596" s="233">
        <v>0.1</v>
      </c>
      <c r="C1596" s="770">
        <v>12</v>
      </c>
      <c r="D1596" s="137" t="s">
        <v>1002</v>
      </c>
      <c r="E1596" s="1263"/>
      <c r="F1596" s="558">
        <v>1100000</v>
      </c>
      <c r="G1596" s="478">
        <v>0.03</v>
      </c>
      <c r="H1596" s="1254">
        <f t="shared" si="51"/>
        <v>33000</v>
      </c>
      <c r="I1596" s="1175" t="s">
        <v>1625</v>
      </c>
    </row>
    <row r="1597" spans="1:9" ht="18.75">
      <c r="A1597" s="241">
        <v>14070</v>
      </c>
      <c r="B1597" s="233">
        <v>0.1</v>
      </c>
      <c r="C1597" s="770">
        <v>12</v>
      </c>
      <c r="D1597" s="243" t="s">
        <v>993</v>
      </c>
      <c r="E1597" s="1263"/>
      <c r="F1597" s="558">
        <v>3700000</v>
      </c>
      <c r="G1597" s="478">
        <v>0.03</v>
      </c>
      <c r="H1597" s="1254">
        <f t="shared" si="51"/>
        <v>111000</v>
      </c>
      <c r="I1597" s="1175" t="s">
        <v>1625</v>
      </c>
    </row>
    <row r="1598" spans="1:9" ht="18.75">
      <c r="A1598" s="241">
        <v>14017</v>
      </c>
      <c r="B1598" s="233">
        <v>0.1</v>
      </c>
      <c r="C1598" s="770">
        <v>12</v>
      </c>
      <c r="D1598" s="137" t="s">
        <v>529</v>
      </c>
      <c r="E1598" s="1263"/>
      <c r="F1598" s="558">
        <v>1100000</v>
      </c>
      <c r="G1598" s="478">
        <v>0.03</v>
      </c>
      <c r="H1598" s="1254">
        <f t="shared" si="51"/>
        <v>33000</v>
      </c>
      <c r="I1598" s="1175" t="s">
        <v>1625</v>
      </c>
    </row>
    <row r="1599" spans="1:9" ht="18.75">
      <c r="A1599" s="241">
        <v>14121</v>
      </c>
      <c r="B1599" s="233">
        <v>0.1</v>
      </c>
      <c r="C1599" s="238">
        <v>12</v>
      </c>
      <c r="D1599" s="609" t="s">
        <v>1020</v>
      </c>
      <c r="E1599" s="1263"/>
      <c r="F1599" s="558">
        <v>1056200</v>
      </c>
      <c r="G1599" s="478">
        <v>0.03</v>
      </c>
      <c r="H1599" s="1254">
        <f t="shared" si="51"/>
        <v>31686</v>
      </c>
      <c r="I1599" s="1175" t="s">
        <v>1625</v>
      </c>
    </row>
    <row r="1600" spans="1:9" ht="18.75">
      <c r="A1600" s="209" t="s">
        <v>1638</v>
      </c>
      <c r="B1600" s="267"/>
      <c r="C1600" s="814"/>
      <c r="D1600" s="1255" t="s">
        <v>1718</v>
      </c>
      <c r="E1600" s="567" t="s">
        <v>1648</v>
      </c>
      <c r="F1600" s="889"/>
      <c r="G1600" s="1242"/>
      <c r="H1600" s="1243"/>
      <c r="I1600" s="1175"/>
    </row>
    <row r="1601" spans="1:9" ht="18.75">
      <c r="A1601" s="209" t="s">
        <v>1638</v>
      </c>
      <c r="B1601" s="267"/>
      <c r="C1601" s="814"/>
      <c r="D1601" s="225" t="s">
        <v>994</v>
      </c>
      <c r="E1601" s="567" t="s">
        <v>995</v>
      </c>
      <c r="F1601" s="889"/>
      <c r="G1601" s="1242"/>
      <c r="H1601" s="1243"/>
      <c r="I1601" s="1175"/>
    </row>
    <row r="1602" spans="1:9" ht="18.75">
      <c r="A1602" s="209" t="s">
        <v>1638</v>
      </c>
      <c r="B1602" s="267"/>
      <c r="C1602" s="814"/>
      <c r="D1602" s="225" t="s">
        <v>996</v>
      </c>
      <c r="E1602" s="567" t="s">
        <v>1719</v>
      </c>
      <c r="F1602" s="889"/>
      <c r="G1602" s="1242"/>
      <c r="H1602" s="1243"/>
      <c r="I1602" s="1175"/>
    </row>
    <row r="1603" spans="1:9" ht="20.25">
      <c r="A1603" s="163"/>
      <c r="B1603" s="318"/>
      <c r="C1603" s="792"/>
      <c r="D1603" s="262"/>
      <c r="E1603" s="947"/>
      <c r="F1603" s="948">
        <f>SUM(F1590:F1602)</f>
        <v>13886200</v>
      </c>
      <c r="G1603" s="949"/>
      <c r="H1603" s="950">
        <f>SUM(H1590:H1602)</f>
        <v>416586</v>
      </c>
      <c r="I1603" s="1172"/>
    </row>
    <row r="1604" spans="1:9" ht="26.25">
      <c r="A1604" s="1645"/>
      <c r="B1604" s="1645"/>
      <c r="C1604" s="1645"/>
      <c r="D1604" s="1645"/>
      <c r="E1604" s="1645"/>
      <c r="F1604" s="1645"/>
      <c r="G1604" s="1645"/>
      <c r="H1604" s="1645"/>
    </row>
    <row r="1605" spans="1:9" ht="26.25">
      <c r="A1605" s="797"/>
      <c r="B1605" s="797"/>
      <c r="C1605" s="797"/>
      <c r="D1605" s="797"/>
      <c r="E1605" s="797"/>
      <c r="F1605" s="797"/>
      <c r="G1605" s="797"/>
      <c r="H1605" s="797"/>
    </row>
    <row r="1606" spans="1:9" ht="26.25">
      <c r="A1606" s="1640" t="s">
        <v>1720</v>
      </c>
      <c r="B1606" s="1640"/>
      <c r="C1606" s="1640"/>
      <c r="D1606" s="1640"/>
      <c r="E1606" s="1640"/>
      <c r="F1606" s="1640"/>
      <c r="G1606" s="1640"/>
      <c r="H1606" s="1642"/>
      <c r="I1606" s="1172"/>
    </row>
    <row r="1607" spans="1:9" ht="30.75">
      <c r="A1607" s="45" t="s">
        <v>1463</v>
      </c>
      <c r="B1607" s="646" t="s">
        <v>1497</v>
      </c>
      <c r="C1607" s="251" t="s">
        <v>1465</v>
      </c>
      <c r="D1607" s="647" t="s">
        <v>5</v>
      </c>
      <c r="E1607" s="47" t="s">
        <v>1466</v>
      </c>
      <c r="F1607" s="48" t="s">
        <v>1467</v>
      </c>
      <c r="G1607" s="48" t="s">
        <v>7</v>
      </c>
      <c r="H1607" s="62" t="s">
        <v>1468</v>
      </c>
      <c r="I1607" s="1173" t="s">
        <v>1624</v>
      </c>
    </row>
    <row r="1608" spans="1:9" ht="18.75">
      <c r="A1608" s="241">
        <v>13892</v>
      </c>
      <c r="B1608" s="233">
        <v>0.1</v>
      </c>
      <c r="C1608" s="891">
        <v>12</v>
      </c>
      <c r="D1608" s="1237" t="s">
        <v>971</v>
      </c>
      <c r="E1608" s="581"/>
      <c r="F1608" s="558">
        <v>1250000</v>
      </c>
      <c r="G1608" s="138">
        <v>0.04</v>
      </c>
      <c r="H1608" s="882">
        <f>F1608*G1608</f>
        <v>50000</v>
      </c>
      <c r="I1608" s="1175" t="s">
        <v>1625</v>
      </c>
    </row>
    <row r="1609" spans="1:9" ht="18.75">
      <c r="A1609" s="241">
        <v>13923</v>
      </c>
      <c r="B1609" s="331">
        <v>0.08</v>
      </c>
      <c r="C1609" s="891">
        <v>12</v>
      </c>
      <c r="D1609" s="259" t="s">
        <v>974</v>
      </c>
      <c r="E1609" s="581"/>
      <c r="F1609" s="558">
        <v>1600000</v>
      </c>
      <c r="G1609" s="140">
        <v>0.03</v>
      </c>
      <c r="H1609" s="882">
        <f t="shared" ref="H1609:H1622" si="52">F1609*G1609</f>
        <v>48000</v>
      </c>
      <c r="I1609" s="1175" t="s">
        <v>1625</v>
      </c>
    </row>
    <row r="1610" spans="1:9" ht="18.75">
      <c r="A1610" s="241">
        <v>13928</v>
      </c>
      <c r="B1610" s="233">
        <v>0.1</v>
      </c>
      <c r="C1610" s="891">
        <v>12</v>
      </c>
      <c r="D1610" s="137" t="s">
        <v>975</v>
      </c>
      <c r="E1610" s="581"/>
      <c r="F1610" s="558">
        <v>1300000</v>
      </c>
      <c r="G1610" s="138">
        <v>0.04</v>
      </c>
      <c r="H1610" s="882">
        <f t="shared" si="52"/>
        <v>52000</v>
      </c>
      <c r="I1610" s="1175" t="s">
        <v>1625</v>
      </c>
    </row>
    <row r="1611" spans="1:9" ht="18.75">
      <c r="A1611" s="241">
        <v>13932</v>
      </c>
      <c r="B1611" s="233">
        <v>0.1</v>
      </c>
      <c r="C1611" s="891">
        <v>12</v>
      </c>
      <c r="D1611" s="259" t="s">
        <v>984</v>
      </c>
      <c r="E1611" s="581"/>
      <c r="F1611" s="558">
        <v>1500000</v>
      </c>
      <c r="G1611" s="138">
        <v>0.04</v>
      </c>
      <c r="H1611" s="882">
        <f t="shared" si="52"/>
        <v>60000</v>
      </c>
      <c r="I1611" s="1175" t="s">
        <v>1625</v>
      </c>
    </row>
    <row r="1612" spans="1:9" ht="18.75">
      <c r="A1612" s="241">
        <v>13953</v>
      </c>
      <c r="B1612" s="233">
        <v>0.1</v>
      </c>
      <c r="C1612" s="891">
        <v>12</v>
      </c>
      <c r="D1612" s="136" t="s">
        <v>982</v>
      </c>
      <c r="E1612" s="581"/>
      <c r="F1612" s="558">
        <v>1500000</v>
      </c>
      <c r="G1612" s="478">
        <v>0.04</v>
      </c>
      <c r="H1612" s="882">
        <f t="shared" si="52"/>
        <v>60000</v>
      </c>
      <c r="I1612" s="1175" t="s">
        <v>1625</v>
      </c>
    </row>
    <row r="1613" spans="1:9" ht="18.75">
      <c r="A1613" s="241">
        <v>13987</v>
      </c>
      <c r="B1613" s="331">
        <v>0.08</v>
      </c>
      <c r="C1613" s="238">
        <v>12</v>
      </c>
      <c r="D1613" s="136" t="s">
        <v>986</v>
      </c>
      <c r="E1613" s="581"/>
      <c r="F1613" s="558">
        <v>650000</v>
      </c>
      <c r="G1613" s="140">
        <v>0.03</v>
      </c>
      <c r="H1613" s="882">
        <f t="shared" si="52"/>
        <v>19500</v>
      </c>
      <c r="I1613" s="1175" t="s">
        <v>1625</v>
      </c>
    </row>
    <row r="1614" spans="1:9" ht="18.75">
      <c r="A1614" s="241">
        <v>13985</v>
      </c>
      <c r="B1614" s="233">
        <v>0.1</v>
      </c>
      <c r="C1614" s="891">
        <v>12</v>
      </c>
      <c r="D1614" s="136" t="s">
        <v>1001</v>
      </c>
      <c r="E1614" s="581"/>
      <c r="F1614" s="558">
        <v>1150000</v>
      </c>
      <c r="G1614" s="478">
        <v>0.04</v>
      </c>
      <c r="H1614" s="882">
        <f t="shared" si="52"/>
        <v>46000</v>
      </c>
      <c r="I1614" s="1175" t="s">
        <v>1625</v>
      </c>
    </row>
    <row r="1615" spans="1:9" ht="18.75">
      <c r="A1615" s="241">
        <v>14026</v>
      </c>
      <c r="B1615" s="233">
        <v>0.1</v>
      </c>
      <c r="C1615" s="891">
        <v>12</v>
      </c>
      <c r="D1615" s="136" t="s">
        <v>1017</v>
      </c>
      <c r="E1615" s="581"/>
      <c r="F1615" s="558">
        <v>1600000</v>
      </c>
      <c r="G1615" s="478">
        <v>0.04</v>
      </c>
      <c r="H1615" s="882">
        <f t="shared" si="52"/>
        <v>64000</v>
      </c>
      <c r="I1615" s="1175" t="s">
        <v>1625</v>
      </c>
    </row>
    <row r="1616" spans="1:9" ht="18.75">
      <c r="A1616" s="241">
        <v>14023</v>
      </c>
      <c r="B1616" s="233">
        <v>0.1</v>
      </c>
      <c r="C1616" s="891">
        <v>12</v>
      </c>
      <c r="D1616" s="136" t="s">
        <v>1003</v>
      </c>
      <c r="E1616" s="581"/>
      <c r="F1616" s="558">
        <v>1600000</v>
      </c>
      <c r="G1616" s="478">
        <v>0.04</v>
      </c>
      <c r="H1616" s="882">
        <f t="shared" si="52"/>
        <v>64000</v>
      </c>
      <c r="I1616" s="1175" t="s">
        <v>1625</v>
      </c>
    </row>
    <row r="1617" spans="1:9" ht="18.75">
      <c r="A1617" s="241">
        <v>14027</v>
      </c>
      <c r="B1617" s="233">
        <v>0.1</v>
      </c>
      <c r="C1617" s="891">
        <v>12</v>
      </c>
      <c r="D1617" s="136" t="s">
        <v>1014</v>
      </c>
      <c r="E1617" s="581"/>
      <c r="F1617" s="558">
        <v>900000</v>
      </c>
      <c r="G1617" s="478">
        <v>0.04</v>
      </c>
      <c r="H1617" s="882">
        <f t="shared" si="52"/>
        <v>36000</v>
      </c>
      <c r="I1617" s="1175" t="s">
        <v>1625</v>
      </c>
    </row>
    <row r="1618" spans="1:9" ht="18.75">
      <c r="A1618" s="241">
        <v>14054</v>
      </c>
      <c r="B1618" s="233">
        <v>0.1</v>
      </c>
      <c r="C1618" s="891">
        <v>12</v>
      </c>
      <c r="D1618" s="1024" t="s">
        <v>992</v>
      </c>
      <c r="E1618" s="581"/>
      <c r="F1618" s="558">
        <v>1400000</v>
      </c>
      <c r="G1618" s="478">
        <v>0.04</v>
      </c>
      <c r="H1618" s="882">
        <f t="shared" si="52"/>
        <v>56000</v>
      </c>
      <c r="I1618" s="1175" t="s">
        <v>1625</v>
      </c>
    </row>
    <row r="1619" spans="1:9" ht="18.75">
      <c r="A1619" s="241">
        <v>14069</v>
      </c>
      <c r="B1619" s="233">
        <v>0.1</v>
      </c>
      <c r="C1619" s="891">
        <v>12</v>
      </c>
      <c r="D1619" s="1057" t="s">
        <v>1721</v>
      </c>
      <c r="E1619" s="581"/>
      <c r="F1619" s="558">
        <v>750000</v>
      </c>
      <c r="G1619" s="478">
        <v>0.04</v>
      </c>
      <c r="H1619" s="882">
        <f t="shared" si="52"/>
        <v>30000</v>
      </c>
      <c r="I1619" s="1175" t="s">
        <v>1625</v>
      </c>
    </row>
    <row r="1620" spans="1:9" ht="18.75">
      <c r="A1620" s="241">
        <v>14093</v>
      </c>
      <c r="B1620" s="331">
        <v>0.08</v>
      </c>
      <c r="C1620" s="891">
        <v>12</v>
      </c>
      <c r="D1620" s="137" t="s">
        <v>1005</v>
      </c>
      <c r="E1620" s="581"/>
      <c r="F1620" s="558">
        <v>1600000</v>
      </c>
      <c r="G1620" s="478">
        <v>0.03</v>
      </c>
      <c r="H1620" s="882">
        <f t="shared" si="52"/>
        <v>48000</v>
      </c>
      <c r="I1620" s="1175" t="s">
        <v>1625</v>
      </c>
    </row>
    <row r="1621" spans="1:9" ht="18.75">
      <c r="A1621" s="241">
        <v>14080</v>
      </c>
      <c r="B1621" s="233">
        <v>0.1</v>
      </c>
      <c r="C1621" s="891">
        <v>12</v>
      </c>
      <c r="D1621" s="1057" t="s">
        <v>1019</v>
      </c>
      <c r="E1621" s="581"/>
      <c r="F1621" s="558">
        <v>700000</v>
      </c>
      <c r="G1621" s="140">
        <v>0.04</v>
      </c>
      <c r="H1621" s="882">
        <f t="shared" si="52"/>
        <v>28000</v>
      </c>
      <c r="I1621" s="1175" t="s">
        <v>1625</v>
      </c>
    </row>
    <row r="1622" spans="1:9" ht="18.75">
      <c r="A1622" s="241">
        <v>13936</v>
      </c>
      <c r="B1622" s="233">
        <v>0.1</v>
      </c>
      <c r="C1622" s="891">
        <v>12</v>
      </c>
      <c r="D1622" s="1057" t="s">
        <v>1722</v>
      </c>
      <c r="E1622" s="581" t="s">
        <v>1723</v>
      </c>
      <c r="F1622" s="558">
        <v>1700000</v>
      </c>
      <c r="G1622" s="478">
        <v>0.04</v>
      </c>
      <c r="H1622" s="882">
        <f t="shared" si="52"/>
        <v>68000</v>
      </c>
      <c r="I1622" s="1175" t="s">
        <v>1625</v>
      </c>
    </row>
    <row r="1623" spans="1:9" ht="18.75">
      <c r="A1623" s="209" t="s">
        <v>1638</v>
      </c>
      <c r="B1623" s="267"/>
      <c r="C1623" s="1225"/>
      <c r="D1623" s="757" t="s">
        <v>976</v>
      </c>
      <c r="E1623" s="567" t="s">
        <v>977</v>
      </c>
      <c r="F1623" s="889"/>
      <c r="G1623" s="348"/>
      <c r="H1623" s="885"/>
      <c r="I1623" s="1175"/>
    </row>
    <row r="1624" spans="1:9" ht="18.75">
      <c r="A1624" s="211" t="s">
        <v>1638</v>
      </c>
      <c r="B1624" s="267"/>
      <c r="C1624" s="1225"/>
      <c r="D1624" s="757" t="s">
        <v>1724</v>
      </c>
      <c r="E1624" s="567" t="s">
        <v>1011</v>
      </c>
      <c r="F1624" s="889"/>
      <c r="G1624" s="220"/>
      <c r="H1624" s="883"/>
      <c r="I1624" s="1175"/>
    </row>
    <row r="1625" spans="1:9" ht="20.25">
      <c r="A1625" s="163"/>
      <c r="B1625" s="318"/>
      <c r="C1625" s="1131"/>
      <c r="D1625" s="266"/>
      <c r="E1625" s="947"/>
      <c r="F1625" s="948">
        <f>SUM(F1608:F1624)</f>
        <v>19200000</v>
      </c>
      <c r="G1625" s="1088"/>
      <c r="H1625" s="950">
        <f>SUM(H1608:H1624)</f>
        <v>729500</v>
      </c>
      <c r="I1625" s="1172"/>
    </row>
    <row r="1626" spans="1:9" ht="18.75">
      <c r="A1626" s="1646"/>
      <c r="B1626" s="1646"/>
      <c r="C1626" s="1646"/>
      <c r="D1626" s="1646"/>
      <c r="E1626" s="1646"/>
      <c r="F1626" s="1646"/>
      <c r="G1626" s="1646"/>
      <c r="H1626" s="1646"/>
    </row>
    <row r="1627" spans="1:9" ht="18.75">
      <c r="A1627" s="1647"/>
      <c r="B1627" s="1647"/>
      <c r="C1627" s="1647"/>
      <c r="D1627" s="1647"/>
      <c r="E1627" s="1647"/>
      <c r="F1627" s="1647"/>
      <c r="G1627" s="1647"/>
      <c r="H1627" s="1647"/>
    </row>
    <row r="1628" spans="1:9" ht="26.25">
      <c r="A1628" s="1640" t="s">
        <v>1725</v>
      </c>
      <c r="B1628" s="1640"/>
      <c r="C1628" s="1640"/>
      <c r="D1628" s="1640"/>
      <c r="E1628" s="1640"/>
      <c r="F1628" s="1640"/>
      <c r="G1628" s="1640"/>
      <c r="H1628" s="1642"/>
      <c r="I1628" s="1172"/>
    </row>
    <row r="1629" spans="1:9" ht="30.75">
      <c r="A1629" s="45" t="s">
        <v>1463</v>
      </c>
      <c r="B1629" s="646" t="s">
        <v>1497</v>
      </c>
      <c r="C1629" s="251" t="s">
        <v>1465</v>
      </c>
      <c r="D1629" s="647" t="s">
        <v>5</v>
      </c>
      <c r="E1629" s="47" t="s">
        <v>1466</v>
      </c>
      <c r="F1629" s="48" t="s">
        <v>1467</v>
      </c>
      <c r="G1629" s="48" t="s">
        <v>7</v>
      </c>
      <c r="H1629" s="62" t="s">
        <v>1468</v>
      </c>
      <c r="I1629" s="1173" t="s">
        <v>1624</v>
      </c>
    </row>
    <row r="1630" spans="1:9" ht="18.75">
      <c r="A1630" s="241">
        <v>13908</v>
      </c>
      <c r="B1630" s="233">
        <v>0.1</v>
      </c>
      <c r="C1630" s="891">
        <v>12</v>
      </c>
      <c r="D1630" s="1235" t="s">
        <v>1726</v>
      </c>
      <c r="E1630" s="581"/>
      <c r="F1630" s="558">
        <v>1100000</v>
      </c>
      <c r="G1630" s="138">
        <v>0.02</v>
      </c>
      <c r="H1630" s="882">
        <f>F1630*G1630</f>
        <v>22000</v>
      </c>
      <c r="I1630" s="1175" t="s">
        <v>1625</v>
      </c>
    </row>
    <row r="1631" spans="1:9" ht="18.75">
      <c r="A1631" s="241">
        <v>13965</v>
      </c>
      <c r="B1631" s="233">
        <v>0.1</v>
      </c>
      <c r="C1631" s="891">
        <v>12</v>
      </c>
      <c r="D1631" s="137" t="s">
        <v>985</v>
      </c>
      <c r="E1631" s="581"/>
      <c r="F1631" s="558">
        <v>1150000</v>
      </c>
      <c r="G1631" s="138">
        <v>0.02</v>
      </c>
      <c r="H1631" s="882">
        <f t="shared" ref="H1631:H1638" si="53">F1631*G1631</f>
        <v>23000</v>
      </c>
      <c r="I1631" s="1175" t="s">
        <v>1625</v>
      </c>
    </row>
    <row r="1632" spans="1:9" ht="18.75">
      <c r="A1632" s="241">
        <v>13992</v>
      </c>
      <c r="B1632" s="233">
        <v>0.1</v>
      </c>
      <c r="C1632" s="891">
        <v>12</v>
      </c>
      <c r="D1632" s="259" t="s">
        <v>988</v>
      </c>
      <c r="E1632" s="581"/>
      <c r="F1632" s="558">
        <v>1400000</v>
      </c>
      <c r="G1632" s="138">
        <v>0.02</v>
      </c>
      <c r="H1632" s="882">
        <f t="shared" si="53"/>
        <v>28000</v>
      </c>
      <c r="I1632" s="1175" t="s">
        <v>1625</v>
      </c>
    </row>
    <row r="1633" spans="1:9" ht="18.75">
      <c r="A1633" s="241">
        <v>14036</v>
      </c>
      <c r="B1633" s="233">
        <v>0.1</v>
      </c>
      <c r="C1633" s="891">
        <v>12</v>
      </c>
      <c r="D1633" s="259" t="s">
        <v>991</v>
      </c>
      <c r="E1633" s="581"/>
      <c r="F1633" s="558">
        <v>1800000</v>
      </c>
      <c r="G1633" s="138">
        <v>0.02</v>
      </c>
      <c r="H1633" s="882">
        <f t="shared" si="53"/>
        <v>36000</v>
      </c>
      <c r="I1633" s="1175" t="s">
        <v>1625</v>
      </c>
    </row>
    <row r="1634" spans="1:9" ht="18.75">
      <c r="A1634" s="241">
        <v>14078</v>
      </c>
      <c r="B1634" s="233">
        <v>0.1</v>
      </c>
      <c r="C1634" s="891">
        <v>12</v>
      </c>
      <c r="D1634" s="136" t="s">
        <v>1004</v>
      </c>
      <c r="E1634" s="581"/>
      <c r="F1634" s="558">
        <v>1750000</v>
      </c>
      <c r="G1634" s="138">
        <v>0.02</v>
      </c>
      <c r="H1634" s="882">
        <f t="shared" si="53"/>
        <v>35000</v>
      </c>
      <c r="I1634" s="1175" t="s">
        <v>1625</v>
      </c>
    </row>
    <row r="1635" spans="1:9" ht="18.75">
      <c r="A1635" s="135">
        <v>14092</v>
      </c>
      <c r="B1635" s="233">
        <v>0.1</v>
      </c>
      <c r="C1635" s="891">
        <v>12</v>
      </c>
      <c r="D1635" s="259" t="s">
        <v>1018</v>
      </c>
      <c r="E1635" s="581"/>
      <c r="F1635" s="558">
        <v>950000</v>
      </c>
      <c r="G1635" s="138">
        <v>0.02</v>
      </c>
      <c r="H1635" s="882">
        <f t="shared" si="53"/>
        <v>19000</v>
      </c>
      <c r="I1635" s="1175" t="s">
        <v>1625</v>
      </c>
    </row>
    <row r="1636" spans="1:9" ht="18.75">
      <c r="A1636" s="241">
        <v>14090</v>
      </c>
      <c r="B1636" s="233">
        <v>0.1</v>
      </c>
      <c r="C1636" s="891">
        <v>12</v>
      </c>
      <c r="D1636" s="1024" t="s">
        <v>1727</v>
      </c>
      <c r="E1636" s="581"/>
      <c r="F1636" s="558">
        <v>1150000</v>
      </c>
      <c r="G1636" s="138">
        <v>0.02</v>
      </c>
      <c r="H1636" s="882">
        <f t="shared" si="53"/>
        <v>23000</v>
      </c>
      <c r="I1636" s="1175" t="s">
        <v>1625</v>
      </c>
    </row>
    <row r="1637" spans="1:9" ht="18.75">
      <c r="A1637" s="241">
        <v>14077</v>
      </c>
      <c r="B1637" s="233">
        <v>0.1</v>
      </c>
      <c r="C1637" s="891">
        <v>12</v>
      </c>
      <c r="D1637" s="259" t="s">
        <v>1728</v>
      </c>
      <c r="E1637" s="581"/>
      <c r="F1637" s="558">
        <v>1400000</v>
      </c>
      <c r="G1637" s="138">
        <v>0.02</v>
      </c>
      <c r="H1637" s="882">
        <f t="shared" si="53"/>
        <v>28000</v>
      </c>
      <c r="I1637" s="1175" t="s">
        <v>1625</v>
      </c>
    </row>
    <row r="1638" spans="1:9" ht="18.75">
      <c r="A1638" s="241">
        <v>14128</v>
      </c>
      <c r="B1638" s="233">
        <v>0.1</v>
      </c>
      <c r="C1638" s="891">
        <v>12</v>
      </c>
      <c r="D1638" s="1024" t="s">
        <v>999</v>
      </c>
      <c r="E1638" s="581"/>
      <c r="F1638" s="558">
        <v>1700000</v>
      </c>
      <c r="G1638" s="138">
        <v>0.02</v>
      </c>
      <c r="H1638" s="882">
        <f t="shared" si="53"/>
        <v>34000</v>
      </c>
      <c r="I1638" s="1175" t="s">
        <v>1625</v>
      </c>
    </row>
    <row r="1639" spans="1:9" ht="18.75">
      <c r="A1639" s="211" t="s">
        <v>1729</v>
      </c>
      <c r="B1639" s="267"/>
      <c r="C1639" s="1225"/>
      <c r="D1639" s="757" t="s">
        <v>1730</v>
      </c>
      <c r="E1639" s="567" t="s">
        <v>1731</v>
      </c>
      <c r="F1639" s="889"/>
      <c r="G1639" s="220"/>
      <c r="H1639" s="883"/>
      <c r="I1639" s="1175"/>
    </row>
    <row r="1640" spans="1:9" ht="18.75">
      <c r="A1640" s="209" t="s">
        <v>1729</v>
      </c>
      <c r="B1640" s="267"/>
      <c r="C1640" s="1225"/>
      <c r="D1640" s="757" t="s">
        <v>1010</v>
      </c>
      <c r="E1640" s="567" t="s">
        <v>1732</v>
      </c>
      <c r="F1640" s="889"/>
      <c r="G1640" s="220"/>
      <c r="H1640" s="883"/>
      <c r="I1640" s="1175"/>
    </row>
    <row r="1641" spans="1:9" ht="20.25">
      <c r="A1641" s="163"/>
      <c r="B1641" s="318"/>
      <c r="C1641" s="1131"/>
      <c r="D1641" s="266"/>
      <c r="E1641" s="947"/>
      <c r="F1641" s="948">
        <f>SUM(F1630:F1640)</f>
        <v>12400000</v>
      </c>
      <c r="G1641" s="1088"/>
      <c r="H1641" s="950">
        <f>SUM(H1630:H1640)</f>
        <v>248000</v>
      </c>
      <c r="I1641" s="1172"/>
    </row>
    <row r="1642" spans="1:9" ht="18.75"/>
    <row r="1643" spans="1:9" ht="18.75"/>
    <row r="1644" spans="1:9" ht="26.25">
      <c r="A1644" s="1640" t="s">
        <v>1733</v>
      </c>
      <c r="B1644" s="1640"/>
      <c r="C1644" s="1641"/>
      <c r="D1644" s="1640"/>
      <c r="E1644" s="1640"/>
      <c r="F1644" s="1640"/>
      <c r="G1644" s="1640"/>
      <c r="H1644" s="1640"/>
    </row>
    <row r="1645" spans="1:9" ht="30.75">
      <c r="A1645" s="45" t="s">
        <v>1463</v>
      </c>
      <c r="B1645" s="646" t="s">
        <v>1497</v>
      </c>
      <c r="C1645" s="132" t="s">
        <v>1465</v>
      </c>
      <c r="D1645" s="647" t="s">
        <v>5</v>
      </c>
      <c r="E1645" s="47" t="s">
        <v>1466</v>
      </c>
      <c r="F1645" s="48" t="s">
        <v>1467</v>
      </c>
      <c r="G1645" s="48" t="s">
        <v>7</v>
      </c>
      <c r="H1645" s="48" t="s">
        <v>1468</v>
      </c>
    </row>
    <row r="1646" spans="1:9" ht="18.75">
      <c r="A1646" s="241">
        <v>14127</v>
      </c>
      <c r="B1646" s="233">
        <v>0.1</v>
      </c>
      <c r="C1646" s="238">
        <v>12</v>
      </c>
      <c r="D1646" s="136" t="s">
        <v>1022</v>
      </c>
      <c r="E1646" s="581" t="s">
        <v>1734</v>
      </c>
      <c r="F1646" s="558">
        <v>1500000</v>
      </c>
      <c r="G1646" s="138">
        <v>0.02</v>
      </c>
      <c r="H1646" s="139">
        <f>F1646*G1646</f>
        <v>30000</v>
      </c>
    </row>
    <row r="1647" spans="1:9" ht="18.75">
      <c r="A1647" s="241">
        <v>13892</v>
      </c>
      <c r="B1647" s="233">
        <v>0.1</v>
      </c>
      <c r="C1647" s="891">
        <v>12</v>
      </c>
      <c r="D1647" s="1237" t="s">
        <v>971</v>
      </c>
      <c r="E1647" s="581"/>
      <c r="F1647" s="558">
        <v>1250000</v>
      </c>
      <c r="G1647" s="138">
        <v>0.02</v>
      </c>
      <c r="H1647" s="139">
        <f>F1647*G1647</f>
        <v>25000</v>
      </c>
    </row>
    <row r="1648" spans="1:9" ht="18.75">
      <c r="A1648" s="241">
        <v>13923</v>
      </c>
      <c r="B1648" s="331">
        <v>0.08</v>
      </c>
      <c r="C1648" s="891">
        <v>12</v>
      </c>
      <c r="D1648" s="259" t="s">
        <v>1735</v>
      </c>
      <c r="E1648" s="581"/>
      <c r="F1648" s="558">
        <v>1600000</v>
      </c>
      <c r="G1648" s="140">
        <v>0.01</v>
      </c>
      <c r="H1648" s="139">
        <f t="shared" ref="H1648:H1679" si="54">F1648*G1648</f>
        <v>16000</v>
      </c>
    </row>
    <row r="1649" spans="1:8" ht="18.75">
      <c r="A1649" s="241">
        <v>13928</v>
      </c>
      <c r="B1649" s="233">
        <v>0.1</v>
      </c>
      <c r="C1649" s="891">
        <v>12</v>
      </c>
      <c r="D1649" s="137" t="s">
        <v>1736</v>
      </c>
      <c r="E1649" s="581"/>
      <c r="F1649" s="558">
        <v>1300000</v>
      </c>
      <c r="G1649" s="138">
        <v>0.02</v>
      </c>
      <c r="H1649" s="139">
        <f t="shared" si="54"/>
        <v>26000</v>
      </c>
    </row>
    <row r="1650" spans="1:8" ht="18.75">
      <c r="A1650" s="241">
        <v>13932</v>
      </c>
      <c r="B1650" s="233">
        <v>0.1</v>
      </c>
      <c r="C1650" s="891">
        <v>12</v>
      </c>
      <c r="D1650" s="259" t="s">
        <v>984</v>
      </c>
      <c r="E1650" s="581"/>
      <c r="F1650" s="558">
        <v>1500000</v>
      </c>
      <c r="G1650" s="138">
        <v>0.02</v>
      </c>
      <c r="H1650" s="139">
        <f t="shared" si="54"/>
        <v>30000</v>
      </c>
    </row>
    <row r="1651" spans="1:8" ht="18.75">
      <c r="A1651" s="241">
        <v>13953</v>
      </c>
      <c r="B1651" s="233">
        <v>0.1</v>
      </c>
      <c r="C1651" s="891">
        <v>12</v>
      </c>
      <c r="D1651" s="136" t="s">
        <v>982</v>
      </c>
      <c r="E1651" s="581"/>
      <c r="F1651" s="558">
        <v>1500000</v>
      </c>
      <c r="G1651" s="138">
        <v>0.02</v>
      </c>
      <c r="H1651" s="139">
        <f t="shared" si="54"/>
        <v>30000</v>
      </c>
    </row>
    <row r="1652" spans="1:8" ht="18.75">
      <c r="A1652" s="241">
        <v>13987</v>
      </c>
      <c r="B1652" s="331">
        <v>0.08</v>
      </c>
      <c r="C1652" s="238">
        <v>12</v>
      </c>
      <c r="D1652" s="136" t="s">
        <v>986</v>
      </c>
      <c r="E1652" s="581"/>
      <c r="F1652" s="558">
        <v>650000</v>
      </c>
      <c r="G1652" s="140">
        <v>0.01</v>
      </c>
      <c r="H1652" s="139">
        <f t="shared" si="54"/>
        <v>6500</v>
      </c>
    </row>
    <row r="1653" spans="1:8" ht="18.75">
      <c r="A1653" s="241">
        <v>13985</v>
      </c>
      <c r="B1653" s="233">
        <v>0.1</v>
      </c>
      <c r="C1653" s="891">
        <v>12</v>
      </c>
      <c r="D1653" s="136" t="s">
        <v>1001</v>
      </c>
      <c r="E1653" s="581"/>
      <c r="F1653" s="558">
        <v>1150000</v>
      </c>
      <c r="G1653" s="138">
        <v>0.02</v>
      </c>
      <c r="H1653" s="139">
        <f t="shared" si="54"/>
        <v>23000</v>
      </c>
    </row>
    <row r="1654" spans="1:8" ht="18.75">
      <c r="A1654" s="241">
        <v>14026</v>
      </c>
      <c r="B1654" s="233">
        <v>0.1</v>
      </c>
      <c r="C1654" s="891">
        <v>12</v>
      </c>
      <c r="D1654" s="136" t="s">
        <v>1017</v>
      </c>
      <c r="E1654" s="581"/>
      <c r="F1654" s="558">
        <v>1600000</v>
      </c>
      <c r="G1654" s="138">
        <v>0.02</v>
      </c>
      <c r="H1654" s="139">
        <f t="shared" si="54"/>
        <v>32000</v>
      </c>
    </row>
    <row r="1655" spans="1:8" ht="18.75">
      <c r="A1655" s="241">
        <v>14023</v>
      </c>
      <c r="B1655" s="233">
        <v>0.1</v>
      </c>
      <c r="C1655" s="891">
        <v>12</v>
      </c>
      <c r="D1655" s="136" t="s">
        <v>1003</v>
      </c>
      <c r="E1655" s="581"/>
      <c r="F1655" s="558">
        <v>1600000</v>
      </c>
      <c r="G1655" s="138">
        <v>0.02</v>
      </c>
      <c r="H1655" s="139">
        <f t="shared" si="54"/>
        <v>32000</v>
      </c>
    </row>
    <row r="1656" spans="1:8" ht="18.75">
      <c r="A1656" s="241">
        <v>14027</v>
      </c>
      <c r="B1656" s="233">
        <v>0.1</v>
      </c>
      <c r="C1656" s="891">
        <v>12</v>
      </c>
      <c r="D1656" s="136" t="s">
        <v>1014</v>
      </c>
      <c r="E1656" s="581"/>
      <c r="F1656" s="558">
        <v>900000</v>
      </c>
      <c r="G1656" s="138">
        <v>0.02</v>
      </c>
      <c r="H1656" s="139">
        <f t="shared" si="54"/>
        <v>18000</v>
      </c>
    </row>
    <row r="1657" spans="1:8" ht="18.75">
      <c r="A1657" s="241">
        <v>14054</v>
      </c>
      <c r="B1657" s="233">
        <v>0.1</v>
      </c>
      <c r="C1657" s="891">
        <v>12</v>
      </c>
      <c r="D1657" s="1024" t="s">
        <v>992</v>
      </c>
      <c r="E1657" s="581"/>
      <c r="F1657" s="558">
        <v>1400000</v>
      </c>
      <c r="G1657" s="138">
        <v>0.02</v>
      </c>
      <c r="H1657" s="139">
        <f t="shared" si="54"/>
        <v>28000</v>
      </c>
    </row>
    <row r="1658" spans="1:8" ht="18.75">
      <c r="A1658" s="241">
        <v>14069</v>
      </c>
      <c r="B1658" s="233">
        <v>0.1</v>
      </c>
      <c r="C1658" s="891">
        <v>12</v>
      </c>
      <c r="D1658" s="1057" t="s">
        <v>1721</v>
      </c>
      <c r="E1658" s="581"/>
      <c r="F1658" s="558">
        <v>750000</v>
      </c>
      <c r="G1658" s="138">
        <v>0.02</v>
      </c>
      <c r="H1658" s="139">
        <f t="shared" si="54"/>
        <v>15000</v>
      </c>
    </row>
    <row r="1659" spans="1:8" ht="18.75">
      <c r="A1659" s="241">
        <v>14093</v>
      </c>
      <c r="B1659" s="331">
        <v>0.08</v>
      </c>
      <c r="C1659" s="891">
        <v>12</v>
      </c>
      <c r="D1659" s="137" t="s">
        <v>1005</v>
      </c>
      <c r="E1659" s="581"/>
      <c r="F1659" s="558">
        <v>1600000</v>
      </c>
      <c r="G1659" s="140">
        <v>0.01</v>
      </c>
      <c r="H1659" s="139">
        <f t="shared" si="54"/>
        <v>16000</v>
      </c>
    </row>
    <row r="1660" spans="1:8" ht="18.75">
      <c r="A1660" s="241">
        <v>14080</v>
      </c>
      <c r="B1660" s="233">
        <v>0.1</v>
      </c>
      <c r="C1660" s="891">
        <v>12</v>
      </c>
      <c r="D1660" s="1057" t="s">
        <v>1019</v>
      </c>
      <c r="E1660" s="581"/>
      <c r="F1660" s="558">
        <v>700000</v>
      </c>
      <c r="G1660" s="189">
        <v>0.02</v>
      </c>
      <c r="H1660" s="139">
        <f t="shared" si="54"/>
        <v>14000</v>
      </c>
    </row>
    <row r="1661" spans="1:8" ht="18.75">
      <c r="A1661" s="241">
        <v>13884</v>
      </c>
      <c r="B1661" s="233">
        <v>0.1</v>
      </c>
      <c r="C1661" s="238">
        <v>12</v>
      </c>
      <c r="D1661" s="259" t="s">
        <v>978</v>
      </c>
      <c r="E1661" s="1142"/>
      <c r="F1661" s="558">
        <v>700000</v>
      </c>
      <c r="G1661" s="1281">
        <v>0.02</v>
      </c>
      <c r="H1661" s="139">
        <f t="shared" si="54"/>
        <v>14000</v>
      </c>
    </row>
    <row r="1662" spans="1:8" ht="18.75">
      <c r="A1662" s="241">
        <v>13910</v>
      </c>
      <c r="B1662" s="233">
        <v>0.1</v>
      </c>
      <c r="C1662" s="238">
        <v>12</v>
      </c>
      <c r="D1662" s="259" t="s">
        <v>980</v>
      </c>
      <c r="E1662" s="1142"/>
      <c r="F1662" s="558">
        <v>1450000</v>
      </c>
      <c r="G1662" s="1281">
        <v>0.02</v>
      </c>
      <c r="H1662" s="139">
        <f t="shared" si="54"/>
        <v>29000</v>
      </c>
    </row>
    <row r="1663" spans="1:8" ht="18.75">
      <c r="A1663" s="241">
        <v>13905</v>
      </c>
      <c r="B1663" s="233">
        <v>0.1</v>
      </c>
      <c r="C1663" s="238">
        <v>12</v>
      </c>
      <c r="D1663" s="259" t="s">
        <v>973</v>
      </c>
      <c r="E1663" s="1142"/>
      <c r="F1663" s="558">
        <v>880000</v>
      </c>
      <c r="G1663" s="1281">
        <v>0.02</v>
      </c>
      <c r="H1663" s="139">
        <f t="shared" si="54"/>
        <v>17600</v>
      </c>
    </row>
    <row r="1664" spans="1:8" ht="18.75">
      <c r="A1664" s="241">
        <v>13933</v>
      </c>
      <c r="B1664" s="233">
        <v>0.1</v>
      </c>
      <c r="C1664" s="238">
        <v>12</v>
      </c>
      <c r="D1664" s="259" t="s">
        <v>979</v>
      </c>
      <c r="E1664" s="1142"/>
      <c r="F1664" s="558">
        <v>1600000</v>
      </c>
      <c r="G1664" s="1281">
        <v>0.02</v>
      </c>
      <c r="H1664" s="139">
        <f t="shared" si="54"/>
        <v>32000</v>
      </c>
    </row>
    <row r="1665" spans="1:8" ht="18.75">
      <c r="A1665" s="241">
        <v>13919</v>
      </c>
      <c r="B1665" s="233">
        <v>0.1</v>
      </c>
      <c r="C1665" s="238">
        <v>12</v>
      </c>
      <c r="D1665" s="137" t="s">
        <v>1000</v>
      </c>
      <c r="E1665" s="1142"/>
      <c r="F1665" s="558">
        <v>1100000</v>
      </c>
      <c r="G1665" s="1281">
        <v>0.02</v>
      </c>
      <c r="H1665" s="139">
        <f t="shared" si="54"/>
        <v>22000</v>
      </c>
    </row>
    <row r="1666" spans="1:8" ht="18.75">
      <c r="A1666" s="241">
        <v>14031</v>
      </c>
      <c r="B1666" s="233">
        <v>0.1</v>
      </c>
      <c r="C1666" s="770">
        <v>12</v>
      </c>
      <c r="D1666" s="243" t="s">
        <v>238</v>
      </c>
      <c r="E1666" s="1263"/>
      <c r="F1666" s="558">
        <v>1200000</v>
      </c>
      <c r="G1666" s="1281">
        <v>0.02</v>
      </c>
      <c r="H1666" s="139">
        <f t="shared" si="54"/>
        <v>24000</v>
      </c>
    </row>
    <row r="1667" spans="1:8" ht="18.75">
      <c r="A1667" s="241">
        <v>14012</v>
      </c>
      <c r="B1667" s="233">
        <v>0.1</v>
      </c>
      <c r="C1667" s="770">
        <v>12</v>
      </c>
      <c r="D1667" s="137" t="s">
        <v>1002</v>
      </c>
      <c r="E1667" s="1263"/>
      <c r="F1667" s="558">
        <v>1100000</v>
      </c>
      <c r="G1667" s="1281">
        <v>0.02</v>
      </c>
      <c r="H1667" s="139">
        <f t="shared" si="54"/>
        <v>22000</v>
      </c>
    </row>
    <row r="1668" spans="1:8" ht="18.75">
      <c r="A1668" s="241">
        <v>14070</v>
      </c>
      <c r="B1668" s="233">
        <v>0.1</v>
      </c>
      <c r="C1668" s="770">
        <v>12</v>
      </c>
      <c r="D1668" s="243" t="s">
        <v>993</v>
      </c>
      <c r="E1668" s="1263"/>
      <c r="F1668" s="558">
        <v>3700000</v>
      </c>
      <c r="G1668" s="1281">
        <v>0.02</v>
      </c>
      <c r="H1668" s="139">
        <f t="shared" si="54"/>
        <v>74000</v>
      </c>
    </row>
    <row r="1669" spans="1:8" ht="18.75">
      <c r="A1669" s="241">
        <v>14017</v>
      </c>
      <c r="B1669" s="233">
        <v>0.1</v>
      </c>
      <c r="C1669" s="770">
        <v>12</v>
      </c>
      <c r="D1669" s="137" t="s">
        <v>529</v>
      </c>
      <c r="E1669" s="1263"/>
      <c r="F1669" s="558">
        <v>1100000</v>
      </c>
      <c r="G1669" s="1281">
        <v>0.02</v>
      </c>
      <c r="H1669" s="139">
        <f t="shared" si="54"/>
        <v>22000</v>
      </c>
    </row>
    <row r="1670" spans="1:8" ht="18.75">
      <c r="A1670" s="241">
        <v>14121</v>
      </c>
      <c r="B1670" s="233">
        <v>0.1</v>
      </c>
      <c r="C1670" s="238">
        <v>12</v>
      </c>
      <c r="D1670" s="609" t="s">
        <v>1020</v>
      </c>
      <c r="E1670" s="1263"/>
      <c r="F1670" s="558">
        <v>1056200</v>
      </c>
      <c r="G1670" s="1281">
        <v>0.02</v>
      </c>
      <c r="H1670" s="139">
        <f t="shared" si="54"/>
        <v>21124</v>
      </c>
    </row>
    <row r="1671" spans="1:8" ht="18.75">
      <c r="A1671" s="241">
        <v>13908</v>
      </c>
      <c r="B1671" s="233">
        <v>0.1</v>
      </c>
      <c r="C1671" s="891">
        <v>12</v>
      </c>
      <c r="D1671" s="1235" t="s">
        <v>1726</v>
      </c>
      <c r="E1671" s="581"/>
      <c r="F1671" s="558">
        <v>1100000</v>
      </c>
      <c r="G1671" s="138">
        <v>0.02</v>
      </c>
      <c r="H1671" s="139">
        <f t="shared" si="54"/>
        <v>22000</v>
      </c>
    </row>
    <row r="1672" spans="1:8" ht="18.75">
      <c r="A1672" s="241">
        <v>13965</v>
      </c>
      <c r="B1672" s="233">
        <v>0.1</v>
      </c>
      <c r="C1672" s="891">
        <v>12</v>
      </c>
      <c r="D1672" s="137" t="s">
        <v>985</v>
      </c>
      <c r="E1672" s="581"/>
      <c r="F1672" s="558">
        <v>1150000</v>
      </c>
      <c r="G1672" s="138">
        <v>0.02</v>
      </c>
      <c r="H1672" s="139">
        <f t="shared" si="54"/>
        <v>23000</v>
      </c>
    </row>
    <row r="1673" spans="1:8" ht="18.75">
      <c r="A1673" s="241">
        <v>13992</v>
      </c>
      <c r="B1673" s="233">
        <v>0.1</v>
      </c>
      <c r="C1673" s="891">
        <v>12</v>
      </c>
      <c r="D1673" s="259" t="s">
        <v>988</v>
      </c>
      <c r="E1673" s="581"/>
      <c r="F1673" s="558">
        <v>1400000</v>
      </c>
      <c r="G1673" s="138">
        <v>0.02</v>
      </c>
      <c r="H1673" s="139">
        <f t="shared" si="54"/>
        <v>28000</v>
      </c>
    </row>
    <row r="1674" spans="1:8" ht="18.75">
      <c r="A1674" s="241">
        <v>14036</v>
      </c>
      <c r="B1674" s="233">
        <v>0.1</v>
      </c>
      <c r="C1674" s="891">
        <v>12</v>
      </c>
      <c r="D1674" s="259" t="s">
        <v>1737</v>
      </c>
      <c r="E1674" s="581"/>
      <c r="F1674" s="558">
        <v>1800000</v>
      </c>
      <c r="G1674" s="138">
        <v>0.02</v>
      </c>
      <c r="H1674" s="139">
        <f t="shared" si="54"/>
        <v>36000</v>
      </c>
    </row>
    <row r="1675" spans="1:8" ht="18.75">
      <c r="A1675" s="241">
        <v>14078</v>
      </c>
      <c r="B1675" s="233">
        <v>0.1</v>
      </c>
      <c r="C1675" s="891">
        <v>12</v>
      </c>
      <c r="D1675" s="136" t="s">
        <v>1004</v>
      </c>
      <c r="E1675" s="581"/>
      <c r="F1675" s="558">
        <v>1750000</v>
      </c>
      <c r="G1675" s="138">
        <v>0.02</v>
      </c>
      <c r="H1675" s="139">
        <f t="shared" si="54"/>
        <v>35000</v>
      </c>
    </row>
    <row r="1676" spans="1:8" ht="18.75">
      <c r="A1676" s="135">
        <v>14092</v>
      </c>
      <c r="B1676" s="233">
        <v>0.1</v>
      </c>
      <c r="C1676" s="891">
        <v>12</v>
      </c>
      <c r="D1676" s="259" t="s">
        <v>1018</v>
      </c>
      <c r="E1676" s="581"/>
      <c r="F1676" s="558">
        <v>950000</v>
      </c>
      <c r="G1676" s="138">
        <v>0.02</v>
      </c>
      <c r="H1676" s="139">
        <f t="shared" si="54"/>
        <v>19000</v>
      </c>
    </row>
    <row r="1677" spans="1:8" ht="18.75">
      <c r="A1677" s="241">
        <v>14090</v>
      </c>
      <c r="B1677" s="233">
        <v>0.1</v>
      </c>
      <c r="C1677" s="891">
        <v>12</v>
      </c>
      <c r="D1677" s="1024" t="s">
        <v>1727</v>
      </c>
      <c r="E1677" s="581"/>
      <c r="F1677" s="558">
        <v>1150000</v>
      </c>
      <c r="G1677" s="138">
        <v>0.02</v>
      </c>
      <c r="H1677" s="139">
        <f t="shared" si="54"/>
        <v>23000</v>
      </c>
    </row>
    <row r="1678" spans="1:8" ht="18.75">
      <c r="A1678" s="241">
        <v>14077</v>
      </c>
      <c r="B1678" s="233">
        <v>0.1</v>
      </c>
      <c r="C1678" s="891">
        <v>12</v>
      </c>
      <c r="D1678" s="259" t="s">
        <v>1728</v>
      </c>
      <c r="E1678" s="581"/>
      <c r="F1678" s="558">
        <v>1400000</v>
      </c>
      <c r="G1678" s="138">
        <v>0.02</v>
      </c>
      <c r="H1678" s="139">
        <f t="shared" si="54"/>
        <v>28000</v>
      </c>
    </row>
    <row r="1679" spans="1:8" ht="18.75">
      <c r="A1679" s="241">
        <v>14128</v>
      </c>
      <c r="B1679" s="233">
        <v>0.1</v>
      </c>
      <c r="C1679" s="891">
        <v>12</v>
      </c>
      <c r="D1679" s="259" t="s">
        <v>999</v>
      </c>
      <c r="E1679" s="581"/>
      <c r="F1679" s="558">
        <v>1700000</v>
      </c>
      <c r="G1679" s="138">
        <v>0.02</v>
      </c>
      <c r="H1679" s="139">
        <f t="shared" si="54"/>
        <v>34000</v>
      </c>
    </row>
    <row r="1680" spans="1:8" ht="23.25">
      <c r="A1680" s="163"/>
      <c r="B1680" s="1214"/>
      <c r="C1680" s="1188"/>
      <c r="D1680" s="262"/>
      <c r="E1680" s="833" t="s">
        <v>80</v>
      </c>
      <c r="F1680" s="1286">
        <f>SUM(F1646:F1679)</f>
        <v>45286200</v>
      </c>
      <c r="G1680" s="910"/>
      <c r="H1680" s="1109">
        <f>SUM(H1646:H1679)</f>
        <v>867224</v>
      </c>
    </row>
    <row r="1681" spans="1:9" ht="18.75"/>
    <row r="1682" spans="1:9" ht="18.75"/>
    <row r="1683" spans="1:9" ht="18.75"/>
    <row r="1684" spans="1:9" ht="26.25">
      <c r="A1684" s="1643" t="s">
        <v>1738</v>
      </c>
      <c r="B1684" s="1643"/>
      <c r="C1684" s="1643"/>
      <c r="D1684" s="1643"/>
      <c r="E1684" s="1643"/>
      <c r="F1684" s="1643"/>
      <c r="G1684" s="1643"/>
      <c r="H1684" s="1644"/>
    </row>
    <row r="1685" spans="1:9" ht="18.75"/>
    <row r="1686" spans="1:9" ht="26.25">
      <c r="A1686" s="1641" t="s">
        <v>1739</v>
      </c>
      <c r="B1686" s="1640"/>
      <c r="C1686" s="1641"/>
      <c r="D1686" s="1640"/>
      <c r="E1686" s="1640"/>
      <c r="F1686" s="1640"/>
      <c r="G1686" s="1640"/>
      <c r="H1686" s="1642"/>
      <c r="I1686" s="1172"/>
    </row>
    <row r="1687" spans="1:9" ht="30.75">
      <c r="A1687" s="87" t="s">
        <v>1463</v>
      </c>
      <c r="B1687" s="1299" t="s">
        <v>1497</v>
      </c>
      <c r="C1687" s="132" t="s">
        <v>1465</v>
      </c>
      <c r="D1687" s="647" t="s">
        <v>5</v>
      </c>
      <c r="E1687" s="47" t="s">
        <v>1466</v>
      </c>
      <c r="F1687" s="48" t="s">
        <v>1467</v>
      </c>
      <c r="G1687" s="48" t="s">
        <v>7</v>
      </c>
      <c r="H1687" s="62" t="s">
        <v>1468</v>
      </c>
      <c r="I1687" s="1174" t="s">
        <v>1624</v>
      </c>
    </row>
    <row r="1688" spans="1:9" ht="18.75">
      <c r="A1688" s="135">
        <v>14140</v>
      </c>
      <c r="B1688" s="576">
        <v>0.1</v>
      </c>
      <c r="C1688" s="238">
        <v>12</v>
      </c>
      <c r="D1688" s="259" t="s">
        <v>1740</v>
      </c>
      <c r="E1688" s="1142"/>
      <c r="F1688" s="558">
        <v>1300000</v>
      </c>
      <c r="G1688" s="478">
        <v>0.04</v>
      </c>
      <c r="H1688" s="1254">
        <f>F1688*G1690</f>
        <v>52000</v>
      </c>
      <c r="I1688" s="1175" t="s">
        <v>1625</v>
      </c>
    </row>
    <row r="1689" spans="1:9" ht="18.75">
      <c r="A1689" s="135">
        <v>14165</v>
      </c>
      <c r="B1689" s="233">
        <v>0.1</v>
      </c>
      <c r="C1689" s="238">
        <v>12</v>
      </c>
      <c r="D1689" s="259" t="s">
        <v>1028</v>
      </c>
      <c r="E1689" s="1142"/>
      <c r="F1689" s="558">
        <v>1800000</v>
      </c>
      <c r="G1689" s="478">
        <v>0.04</v>
      </c>
      <c r="H1689" s="1254">
        <f t="shared" ref="H1689:H1700" si="55">F1689*G1691</f>
        <v>72000</v>
      </c>
      <c r="I1689" s="1175" t="s">
        <v>1625</v>
      </c>
    </row>
    <row r="1690" spans="1:9" ht="18.75">
      <c r="A1690" s="241">
        <v>14160</v>
      </c>
      <c r="B1690" s="233">
        <v>0.1</v>
      </c>
      <c r="C1690" s="238">
        <v>12</v>
      </c>
      <c r="D1690" s="259" t="s">
        <v>1036</v>
      </c>
      <c r="E1690" s="1142"/>
      <c r="F1690" s="558">
        <v>750000</v>
      </c>
      <c r="G1690" s="478">
        <v>0.04</v>
      </c>
      <c r="H1690" s="1254">
        <f t="shared" si="55"/>
        <v>30000</v>
      </c>
      <c r="I1690" s="1175" t="s">
        <v>1625</v>
      </c>
    </row>
    <row r="1691" spans="1:9" ht="18.75">
      <c r="A1691" s="241">
        <v>14185</v>
      </c>
      <c r="B1691" s="233">
        <v>0.1</v>
      </c>
      <c r="C1691" s="770">
        <v>12</v>
      </c>
      <c r="D1691" s="180" t="s">
        <v>1056</v>
      </c>
      <c r="E1691" s="1263"/>
      <c r="F1691" s="558">
        <v>1700000</v>
      </c>
      <c r="G1691" s="478">
        <v>0.04</v>
      </c>
      <c r="H1691" s="1254">
        <f t="shared" si="55"/>
        <v>51000</v>
      </c>
      <c r="I1691" s="1175" t="s">
        <v>1625</v>
      </c>
    </row>
    <row r="1692" spans="1:9" ht="18.75">
      <c r="A1692" s="135">
        <v>14180</v>
      </c>
      <c r="B1692" s="233">
        <v>0.1</v>
      </c>
      <c r="C1692" s="770">
        <v>12</v>
      </c>
      <c r="D1692" s="259" t="s">
        <v>1058</v>
      </c>
      <c r="E1692" s="1263"/>
      <c r="F1692" s="558">
        <v>700000</v>
      </c>
      <c r="G1692" s="478">
        <v>0.04</v>
      </c>
      <c r="H1692" s="1254">
        <f t="shared" si="55"/>
        <v>28000</v>
      </c>
      <c r="I1692" s="1175" t="s">
        <v>1625</v>
      </c>
    </row>
    <row r="1693" spans="1:9" ht="18.75">
      <c r="A1693" s="241">
        <v>14205</v>
      </c>
      <c r="B1693" s="331">
        <v>0.08</v>
      </c>
      <c r="C1693" s="238">
        <v>12</v>
      </c>
      <c r="D1693" s="259" t="s">
        <v>1078</v>
      </c>
      <c r="E1693" s="1263"/>
      <c r="F1693" s="558">
        <v>1900000</v>
      </c>
      <c r="G1693" s="140">
        <v>0.03</v>
      </c>
      <c r="H1693" s="1254">
        <f t="shared" si="55"/>
        <v>76000</v>
      </c>
      <c r="I1693" s="1175" t="s">
        <v>1625</v>
      </c>
    </row>
    <row r="1694" spans="1:9" ht="18.75">
      <c r="A1694" s="241">
        <v>14239</v>
      </c>
      <c r="B1694" s="233">
        <v>0.1</v>
      </c>
      <c r="C1694" s="770">
        <v>12</v>
      </c>
      <c r="D1694" s="1312" t="s">
        <v>1041</v>
      </c>
      <c r="E1694" s="1263"/>
      <c r="F1694" s="558">
        <v>1500000</v>
      </c>
      <c r="G1694" s="478">
        <v>0.04</v>
      </c>
      <c r="H1694" s="1254">
        <f t="shared" si="55"/>
        <v>60000</v>
      </c>
      <c r="I1694" s="1175" t="s">
        <v>1625</v>
      </c>
    </row>
    <row r="1695" spans="1:9" ht="18.75">
      <c r="A1695" s="241">
        <v>14227</v>
      </c>
      <c r="B1695" s="233">
        <v>0.1</v>
      </c>
      <c r="C1695" s="770">
        <v>12</v>
      </c>
      <c r="D1695" s="137" t="s">
        <v>1045</v>
      </c>
      <c r="E1695" s="1263"/>
      <c r="F1695" s="558">
        <v>1500000</v>
      </c>
      <c r="G1695" s="478">
        <v>0.04</v>
      </c>
      <c r="H1695" s="1254">
        <f t="shared" si="55"/>
        <v>60000</v>
      </c>
      <c r="I1695" s="1175" t="s">
        <v>1625</v>
      </c>
    </row>
    <row r="1696" spans="1:9" ht="18.75">
      <c r="A1696" s="241">
        <v>14270</v>
      </c>
      <c r="B1696" s="233">
        <v>0.1</v>
      </c>
      <c r="C1696" s="770">
        <v>12</v>
      </c>
      <c r="D1696" s="1232" t="s">
        <v>1060</v>
      </c>
      <c r="E1696" s="754"/>
      <c r="F1696" s="558">
        <v>1500000</v>
      </c>
      <c r="G1696" s="478">
        <v>0.04</v>
      </c>
      <c r="H1696" s="1254">
        <f t="shared" si="55"/>
        <v>60000</v>
      </c>
      <c r="I1696" s="1175" t="s">
        <v>1625</v>
      </c>
    </row>
    <row r="1697" spans="1:9" ht="18.75">
      <c r="A1697" s="241">
        <v>14287</v>
      </c>
      <c r="B1697" s="233">
        <v>0.1</v>
      </c>
      <c r="C1697" s="770">
        <v>12</v>
      </c>
      <c r="D1697" s="1232" t="s">
        <v>1042</v>
      </c>
      <c r="E1697" s="754"/>
      <c r="F1697" s="558">
        <v>1600000</v>
      </c>
      <c r="G1697" s="478">
        <v>0.04</v>
      </c>
      <c r="H1697" s="1254">
        <f t="shared" si="55"/>
        <v>64000</v>
      </c>
      <c r="I1697" s="1175" t="s">
        <v>1625</v>
      </c>
    </row>
    <row r="1698" spans="1:9" ht="18.75">
      <c r="A1698" s="241">
        <v>14320</v>
      </c>
      <c r="B1698" s="233">
        <v>0.1</v>
      </c>
      <c r="C1698" s="770">
        <v>12</v>
      </c>
      <c r="D1698" s="136" t="s">
        <v>1741</v>
      </c>
      <c r="E1698" s="1263"/>
      <c r="F1698" s="558">
        <v>1600000</v>
      </c>
      <c r="G1698" s="478">
        <v>0.04</v>
      </c>
      <c r="H1698" s="1254">
        <f t="shared" si="55"/>
        <v>64000</v>
      </c>
      <c r="I1698" s="1175" t="s">
        <v>1625</v>
      </c>
    </row>
    <row r="1699" spans="1:9" ht="18.75">
      <c r="A1699" s="241">
        <v>14336</v>
      </c>
      <c r="B1699" s="233">
        <v>0.1</v>
      </c>
      <c r="C1699" s="770">
        <v>12</v>
      </c>
      <c r="D1699" s="137" t="s">
        <v>1047</v>
      </c>
      <c r="E1699" s="1263"/>
      <c r="F1699" s="558">
        <v>1550000</v>
      </c>
      <c r="G1699" s="478">
        <v>0.04</v>
      </c>
      <c r="H1699" s="1254">
        <f>F1699*G1699</f>
        <v>62000</v>
      </c>
      <c r="I1699" s="1175" t="s">
        <v>1625</v>
      </c>
    </row>
    <row r="1700" spans="1:9" ht="18.75">
      <c r="A1700" s="133">
        <v>14319</v>
      </c>
      <c r="B1700" s="233">
        <v>0.1</v>
      </c>
      <c r="C1700" s="770">
        <v>12</v>
      </c>
      <c r="D1700" s="259" t="s">
        <v>1081</v>
      </c>
      <c r="E1700" s="1263"/>
      <c r="F1700" s="558">
        <v>750000</v>
      </c>
      <c r="G1700" s="478">
        <v>0.04</v>
      </c>
      <c r="H1700" s="1254">
        <f>F1700*G1700</f>
        <v>30000</v>
      </c>
      <c r="I1700" s="1175" t="s">
        <v>1625</v>
      </c>
    </row>
    <row r="1701" spans="1:9" ht="18.75">
      <c r="A1701" s="209" t="s">
        <v>638</v>
      </c>
      <c r="B1701" s="267"/>
      <c r="C1701" s="936"/>
      <c r="D1701" s="819" t="s">
        <v>1742</v>
      </c>
      <c r="E1701" s="760"/>
      <c r="F1701" s="889"/>
      <c r="G1701" s="1242"/>
      <c r="H1701" s="1243"/>
      <c r="I1701" s="1175"/>
    </row>
    <row r="1702" spans="1:9" ht="18.75">
      <c r="A1702" s="209" t="s">
        <v>297</v>
      </c>
      <c r="B1702" s="267"/>
      <c r="C1702" s="936"/>
      <c r="D1702" s="1255" t="s">
        <v>1083</v>
      </c>
      <c r="E1702" s="760" t="s">
        <v>1743</v>
      </c>
      <c r="F1702" s="889"/>
      <c r="G1702" s="1242"/>
      <c r="H1702" s="1243"/>
      <c r="I1702" s="1175"/>
    </row>
    <row r="1703" spans="1:9" ht="18.75">
      <c r="A1703" s="209" t="s">
        <v>297</v>
      </c>
      <c r="B1703" s="267"/>
      <c r="C1703" s="936"/>
      <c r="D1703" s="1255" t="s">
        <v>1085</v>
      </c>
      <c r="E1703" s="760" t="s">
        <v>1744</v>
      </c>
      <c r="F1703" s="889"/>
      <c r="G1703" s="1242"/>
      <c r="H1703" s="1243"/>
      <c r="I1703" s="1175"/>
    </row>
    <row r="1704" spans="1:9" ht="18.75">
      <c r="A1704" s="235"/>
      <c r="B1704" s="318"/>
      <c r="C1704" s="792"/>
      <c r="D1704" s="794"/>
      <c r="E1704" s="720"/>
      <c r="F1704" s="793"/>
      <c r="G1704" s="1129"/>
      <c r="H1704" s="1130"/>
      <c r="I1704" s="1175"/>
    </row>
    <row r="1705" spans="1:9" ht="18.75">
      <c r="A1705" s="235"/>
      <c r="B1705" s="318"/>
      <c r="C1705" s="792"/>
      <c r="D1705" s="165"/>
      <c r="E1705" s="720"/>
      <c r="F1705" s="793"/>
      <c r="G1705" s="1129"/>
      <c r="H1705" s="1130"/>
      <c r="I1705" s="1175"/>
    </row>
    <row r="1706" spans="1:9" ht="20.25">
      <c r="A1706" s="163"/>
      <c r="B1706" s="318"/>
      <c r="C1706" s="792"/>
      <c r="D1706" s="262"/>
      <c r="E1706" s="947"/>
      <c r="F1706" s="948">
        <f>SUM(F1688:F1701)</f>
        <v>18150000</v>
      </c>
      <c r="G1706" s="949"/>
      <c r="H1706" s="950">
        <f>SUM(H1688:H1705)</f>
        <v>709000</v>
      </c>
      <c r="I1706" s="1172"/>
    </row>
    <row r="1707" spans="1:9" ht="26.25">
      <c r="A1707" s="1645"/>
      <c r="B1707" s="1645"/>
      <c r="C1707" s="1645"/>
      <c r="D1707" s="1645"/>
      <c r="E1707" s="1645"/>
      <c r="F1707" s="1645"/>
      <c r="G1707" s="1645"/>
      <c r="H1707" s="1645"/>
    </row>
    <row r="1708" spans="1:9" ht="26.25">
      <c r="A1708" s="797"/>
      <c r="B1708" s="797"/>
      <c r="C1708" s="797"/>
      <c r="D1708" s="797"/>
      <c r="E1708" s="797"/>
      <c r="F1708" s="797"/>
      <c r="G1708" s="797"/>
      <c r="H1708" s="797"/>
    </row>
    <row r="1709" spans="1:9" ht="26.25">
      <c r="A1709" s="1640" t="s">
        <v>1745</v>
      </c>
      <c r="B1709" s="1640"/>
      <c r="C1709" s="1640"/>
      <c r="D1709" s="1641"/>
      <c r="E1709" s="1640"/>
      <c r="F1709" s="1640"/>
      <c r="G1709" s="1640"/>
      <c r="H1709" s="1642"/>
      <c r="I1709" s="1172"/>
    </row>
    <row r="1710" spans="1:9" ht="30.75">
      <c r="A1710" s="45" t="s">
        <v>1463</v>
      </c>
      <c r="B1710" s="646" t="s">
        <v>1497</v>
      </c>
      <c r="C1710" s="1300" t="s">
        <v>1465</v>
      </c>
      <c r="D1710" s="87" t="s">
        <v>5</v>
      </c>
      <c r="E1710" s="732" t="s">
        <v>1466</v>
      </c>
      <c r="F1710" s="48" t="s">
        <v>1467</v>
      </c>
      <c r="G1710" s="48" t="s">
        <v>7</v>
      </c>
      <c r="H1710" s="62" t="s">
        <v>1468</v>
      </c>
      <c r="I1710" s="1173" t="s">
        <v>1624</v>
      </c>
    </row>
    <row r="1711" spans="1:9" ht="18.75">
      <c r="A1711" s="135">
        <v>14136</v>
      </c>
      <c r="B1711" s="576">
        <v>0.1</v>
      </c>
      <c r="C1711" s="1222">
        <v>12</v>
      </c>
      <c r="D1711" s="1002" t="s">
        <v>1049</v>
      </c>
      <c r="E1711" s="754"/>
      <c r="F1711" s="558">
        <v>1800000</v>
      </c>
      <c r="G1711" s="478">
        <v>0.05</v>
      </c>
      <c r="H1711" s="1254">
        <f>F1711*G1711</f>
        <v>90000</v>
      </c>
      <c r="I1711" s="1175" t="s">
        <v>1625</v>
      </c>
    </row>
    <row r="1712" spans="1:9" ht="18.75">
      <c r="A1712" s="241">
        <v>14148</v>
      </c>
      <c r="B1712" s="233">
        <v>0.1</v>
      </c>
      <c r="C1712" s="891">
        <v>12</v>
      </c>
      <c r="D1712" s="243" t="s">
        <v>1746</v>
      </c>
      <c r="E1712" s="581"/>
      <c r="F1712" s="558">
        <v>1900000</v>
      </c>
      <c r="G1712" s="478">
        <v>0.05</v>
      </c>
      <c r="H1712" s="1254">
        <f t="shared" ref="H1712:H1729" si="56">F1712*G1712</f>
        <v>95000</v>
      </c>
      <c r="I1712" s="1175" t="s">
        <v>1625</v>
      </c>
    </row>
    <row r="1713" spans="1:9" ht="18.75">
      <c r="A1713" s="241">
        <v>14178</v>
      </c>
      <c r="B1713" s="233">
        <v>0.1</v>
      </c>
      <c r="C1713" s="891">
        <v>12</v>
      </c>
      <c r="D1713" s="137" t="s">
        <v>1747</v>
      </c>
      <c r="E1713" s="581"/>
      <c r="F1713" s="558">
        <v>1250000</v>
      </c>
      <c r="G1713" s="138">
        <v>0.05</v>
      </c>
      <c r="H1713" s="1254">
        <f t="shared" si="56"/>
        <v>62500</v>
      </c>
      <c r="I1713" s="1175" t="s">
        <v>1625</v>
      </c>
    </row>
    <row r="1714" spans="1:9" ht="18.75">
      <c r="A1714" s="241">
        <v>14167</v>
      </c>
      <c r="B1714" s="233">
        <v>0.1</v>
      </c>
      <c r="C1714" s="891">
        <v>12</v>
      </c>
      <c r="D1714" s="259" t="s">
        <v>1034</v>
      </c>
      <c r="E1714" s="581"/>
      <c r="F1714" s="558">
        <v>900000</v>
      </c>
      <c r="G1714" s="138">
        <v>0.05</v>
      </c>
      <c r="H1714" s="1254">
        <f t="shared" si="56"/>
        <v>45000</v>
      </c>
      <c r="I1714" s="1175" t="s">
        <v>1625</v>
      </c>
    </row>
    <row r="1715" spans="1:9" ht="18.75">
      <c r="A1715" s="135">
        <v>14155</v>
      </c>
      <c r="B1715" s="331">
        <v>0.09</v>
      </c>
      <c r="C1715" s="891">
        <v>12</v>
      </c>
      <c r="D1715" s="136" t="s">
        <v>1079</v>
      </c>
      <c r="E1715" s="581"/>
      <c r="F1715" s="558">
        <v>1600000</v>
      </c>
      <c r="G1715" s="140">
        <v>0.04</v>
      </c>
      <c r="H1715" s="1254">
        <f t="shared" si="56"/>
        <v>64000</v>
      </c>
      <c r="I1715" s="1175" t="s">
        <v>1625</v>
      </c>
    </row>
    <row r="1716" spans="1:9" ht="18.75">
      <c r="A1716" s="135">
        <v>14203</v>
      </c>
      <c r="B1716" s="233">
        <v>0.1</v>
      </c>
      <c r="C1716" s="891">
        <v>12</v>
      </c>
      <c r="D1716" s="136" t="s">
        <v>1032</v>
      </c>
      <c r="E1716" s="581"/>
      <c r="F1716" s="558">
        <v>1200000</v>
      </c>
      <c r="G1716" s="478">
        <v>0.05</v>
      </c>
      <c r="H1716" s="1254">
        <f t="shared" si="56"/>
        <v>60000</v>
      </c>
      <c r="I1716" s="1175" t="s">
        <v>1625</v>
      </c>
    </row>
    <row r="1717" spans="1:9" ht="18.75">
      <c r="A1717" s="135">
        <v>14210</v>
      </c>
      <c r="B1717" s="233">
        <v>0.1</v>
      </c>
      <c r="C1717" s="891">
        <v>12</v>
      </c>
      <c r="D1717" s="1024" t="s">
        <v>1038</v>
      </c>
      <c r="E1717" s="581"/>
      <c r="F1717" s="558">
        <v>1700000</v>
      </c>
      <c r="G1717" s="478">
        <v>0.05</v>
      </c>
      <c r="H1717" s="1254">
        <f t="shared" si="56"/>
        <v>85000</v>
      </c>
      <c r="I1717" s="1175" t="s">
        <v>1625</v>
      </c>
    </row>
    <row r="1718" spans="1:9" ht="18.75">
      <c r="A1718" s="135">
        <v>14220</v>
      </c>
      <c r="B1718" s="331">
        <v>0.08</v>
      </c>
      <c r="C1718" s="238">
        <v>12</v>
      </c>
      <c r="D1718" s="136" t="s">
        <v>1748</v>
      </c>
      <c r="E1718" s="581"/>
      <c r="F1718" s="558">
        <v>2200000</v>
      </c>
      <c r="G1718" s="140">
        <v>0.04</v>
      </c>
      <c r="H1718" s="1254">
        <f t="shared" si="56"/>
        <v>88000</v>
      </c>
      <c r="I1718" s="1175" t="s">
        <v>1625</v>
      </c>
    </row>
    <row r="1719" spans="1:9" ht="18.75">
      <c r="A1719" s="135">
        <v>14236</v>
      </c>
      <c r="B1719" s="233">
        <v>0.1</v>
      </c>
      <c r="C1719" s="891">
        <v>12</v>
      </c>
      <c r="D1719" s="136" t="s">
        <v>1749</v>
      </c>
      <c r="E1719" s="581"/>
      <c r="F1719" s="558">
        <v>2100000</v>
      </c>
      <c r="G1719" s="478">
        <v>0.05</v>
      </c>
      <c r="H1719" s="1254">
        <f t="shared" si="56"/>
        <v>105000</v>
      </c>
      <c r="I1719" s="1175" t="s">
        <v>1625</v>
      </c>
    </row>
    <row r="1720" spans="1:9" ht="18.75">
      <c r="A1720" s="135">
        <v>14244</v>
      </c>
      <c r="B1720" s="233">
        <v>0.1</v>
      </c>
      <c r="C1720" s="891">
        <v>12</v>
      </c>
      <c r="D1720" s="136" t="s">
        <v>1050</v>
      </c>
      <c r="E1720" s="581"/>
      <c r="F1720" s="558">
        <v>1600000</v>
      </c>
      <c r="G1720" s="478">
        <v>0.05</v>
      </c>
      <c r="H1720" s="1254">
        <f t="shared" si="56"/>
        <v>80000</v>
      </c>
      <c r="I1720" s="1175" t="s">
        <v>1625</v>
      </c>
    </row>
    <row r="1721" spans="1:9" ht="18.75">
      <c r="A1721" s="135">
        <v>14249</v>
      </c>
      <c r="B1721" s="233">
        <v>0.1</v>
      </c>
      <c r="C1721" s="891">
        <v>12</v>
      </c>
      <c r="D1721" s="1057" t="s">
        <v>1089</v>
      </c>
      <c r="E1721" s="581"/>
      <c r="F1721" s="558">
        <v>1250000</v>
      </c>
      <c r="G1721" s="478">
        <v>0.05</v>
      </c>
      <c r="H1721" s="1254">
        <f t="shared" si="56"/>
        <v>62500</v>
      </c>
      <c r="I1721" s="1175" t="s">
        <v>1625</v>
      </c>
    </row>
    <row r="1722" spans="1:9" ht="18.75">
      <c r="A1722" s="135">
        <v>14265</v>
      </c>
      <c r="B1722" s="233">
        <v>0.1</v>
      </c>
      <c r="C1722" s="891">
        <v>12</v>
      </c>
      <c r="D1722" s="1024" t="s">
        <v>1750</v>
      </c>
      <c r="E1722" s="581"/>
      <c r="F1722" s="558">
        <v>1600000</v>
      </c>
      <c r="G1722" s="478">
        <v>0.05</v>
      </c>
      <c r="H1722" s="1254">
        <f t="shared" si="56"/>
        <v>80000</v>
      </c>
      <c r="I1722" s="1175" t="s">
        <v>1625</v>
      </c>
    </row>
    <row r="1723" spans="1:9" ht="18.75">
      <c r="A1723" s="135">
        <v>14284</v>
      </c>
      <c r="B1723" s="233">
        <v>0.1</v>
      </c>
      <c r="C1723" s="891">
        <v>12</v>
      </c>
      <c r="D1723" s="1057" t="s">
        <v>1054</v>
      </c>
      <c r="E1723" s="581"/>
      <c r="F1723" s="558">
        <v>1450000</v>
      </c>
      <c r="G1723" s="478">
        <v>0.05</v>
      </c>
      <c r="H1723" s="1254">
        <f t="shared" si="56"/>
        <v>72500</v>
      </c>
      <c r="I1723" s="1175" t="s">
        <v>1625</v>
      </c>
    </row>
    <row r="1724" spans="1:9" ht="18.75">
      <c r="A1724" s="241">
        <v>14294</v>
      </c>
      <c r="B1724" s="331">
        <v>0.08</v>
      </c>
      <c r="C1724" s="891">
        <v>12</v>
      </c>
      <c r="D1724" s="259" t="s">
        <v>1061</v>
      </c>
      <c r="E1724" s="581"/>
      <c r="F1724" s="558">
        <v>1650000</v>
      </c>
      <c r="G1724" s="140">
        <v>0.04</v>
      </c>
      <c r="H1724" s="1254">
        <f t="shared" si="56"/>
        <v>66000</v>
      </c>
      <c r="I1724" s="1175" t="s">
        <v>1625</v>
      </c>
    </row>
    <row r="1725" spans="1:9" ht="18.75">
      <c r="A1725" s="135">
        <v>14285</v>
      </c>
      <c r="B1725" s="233">
        <v>0.1</v>
      </c>
      <c r="C1725" s="891">
        <v>12</v>
      </c>
      <c r="D1725" s="259" t="s">
        <v>287</v>
      </c>
      <c r="E1725" s="581"/>
      <c r="F1725" s="558">
        <v>1250000</v>
      </c>
      <c r="G1725" s="478">
        <v>0.05</v>
      </c>
      <c r="H1725" s="1254">
        <f t="shared" si="56"/>
        <v>62500</v>
      </c>
      <c r="I1725" s="1175" t="s">
        <v>1625</v>
      </c>
    </row>
    <row r="1726" spans="1:9" ht="18.75">
      <c r="A1726" s="241">
        <v>14299</v>
      </c>
      <c r="B1726" s="233">
        <v>0.1</v>
      </c>
      <c r="C1726" s="891">
        <v>12</v>
      </c>
      <c r="D1726" s="259" t="s">
        <v>1062</v>
      </c>
      <c r="E1726" s="581"/>
      <c r="F1726" s="558">
        <v>2100000</v>
      </c>
      <c r="G1726" s="478">
        <v>0.05</v>
      </c>
      <c r="H1726" s="1254">
        <f t="shared" si="56"/>
        <v>105000</v>
      </c>
      <c r="I1726" s="1175" t="s">
        <v>1625</v>
      </c>
    </row>
    <row r="1727" spans="1:9" ht="18.75">
      <c r="A1727" s="135">
        <v>14298</v>
      </c>
      <c r="B1727" s="233">
        <v>0.1</v>
      </c>
      <c r="C1727" s="891">
        <v>12</v>
      </c>
      <c r="D1727" s="259" t="s">
        <v>1096</v>
      </c>
      <c r="E1727" s="581"/>
      <c r="F1727" s="558">
        <v>1150000</v>
      </c>
      <c r="G1727" s="478">
        <v>0.05</v>
      </c>
      <c r="H1727" s="1254">
        <f t="shared" si="56"/>
        <v>57500</v>
      </c>
      <c r="I1727" s="1175" t="s">
        <v>1625</v>
      </c>
    </row>
    <row r="1728" spans="1:9" ht="18.75">
      <c r="A1728" s="135">
        <v>14290</v>
      </c>
      <c r="B1728" s="233">
        <v>0.1</v>
      </c>
      <c r="C1728" s="891">
        <v>12</v>
      </c>
      <c r="D1728" s="1024" t="s">
        <v>1751</v>
      </c>
      <c r="E1728" s="581"/>
      <c r="F1728" s="558">
        <v>1750000</v>
      </c>
      <c r="G1728" s="478">
        <v>0.05</v>
      </c>
      <c r="H1728" s="1254">
        <f t="shared" si="56"/>
        <v>87500</v>
      </c>
      <c r="I1728" s="1175" t="s">
        <v>1625</v>
      </c>
    </row>
    <row r="1729" spans="1:9" ht="18.75">
      <c r="A1729" s="238">
        <v>14329</v>
      </c>
      <c r="B1729" s="233">
        <v>0.1</v>
      </c>
      <c r="C1729" s="891">
        <v>12</v>
      </c>
      <c r="D1729" s="137" t="s">
        <v>1752</v>
      </c>
      <c r="E1729" s="581"/>
      <c r="F1729" s="558">
        <v>1900000</v>
      </c>
      <c r="G1729" s="478">
        <v>0.05</v>
      </c>
      <c r="H1729" s="1254">
        <f t="shared" si="56"/>
        <v>95000</v>
      </c>
      <c r="I1729" s="1175" t="s">
        <v>1625</v>
      </c>
    </row>
    <row r="1730" spans="1:9" ht="18.75">
      <c r="A1730" s="211" t="s">
        <v>297</v>
      </c>
      <c r="B1730" s="267"/>
      <c r="C1730" s="1225"/>
      <c r="D1730" s="757" t="s">
        <v>1753</v>
      </c>
      <c r="E1730" s="567" t="s">
        <v>1754</v>
      </c>
      <c r="F1730" s="889"/>
      <c r="G1730" s="220"/>
      <c r="H1730" s="883"/>
      <c r="I1730" s="1175"/>
    </row>
    <row r="1731" spans="1:9" ht="18.75">
      <c r="A1731" s="235"/>
      <c r="B1731" s="318"/>
      <c r="C1731" s="1131"/>
      <c r="D1731" s="266"/>
      <c r="E1731" s="720"/>
      <c r="F1731" s="793"/>
      <c r="G1731" s="162"/>
      <c r="H1731" s="884"/>
      <c r="I1731" s="1175"/>
    </row>
    <row r="1732" spans="1:9" ht="20.25">
      <c r="A1732" s="163"/>
      <c r="B1732" s="318"/>
      <c r="C1732" s="1131"/>
      <c r="D1732" s="266"/>
      <c r="E1732" s="947"/>
      <c r="F1732" s="948">
        <f>SUM(F1711:F1731)</f>
        <v>30350000</v>
      </c>
      <c r="G1732" s="1088"/>
      <c r="H1732" s="950">
        <f>SUM(H1711:H1731)</f>
        <v>1463000</v>
      </c>
      <c r="I1732" s="1172"/>
    </row>
    <row r="1733" spans="1:9" ht="18.75">
      <c r="A1733" s="1646"/>
      <c r="B1733" s="1646"/>
      <c r="C1733" s="1646"/>
      <c r="D1733" s="1646"/>
      <c r="E1733" s="1646"/>
      <c r="F1733" s="1646"/>
      <c r="G1733" s="1646"/>
      <c r="H1733" s="1646"/>
    </row>
    <row r="1734" spans="1:9" ht="18.75">
      <c r="A1734" s="1647"/>
      <c r="B1734" s="1647"/>
      <c r="C1734" s="1647"/>
      <c r="D1734" s="1647"/>
      <c r="E1734" s="1647"/>
      <c r="F1734" s="1647"/>
      <c r="G1734" s="1647"/>
      <c r="H1734" s="1647"/>
    </row>
    <row r="1735" spans="1:9" ht="26.25">
      <c r="A1735" s="1640" t="s">
        <v>1755</v>
      </c>
      <c r="B1735" s="1640"/>
      <c r="C1735" s="1640"/>
      <c r="D1735" s="1640"/>
      <c r="E1735" s="1640"/>
      <c r="F1735" s="1640"/>
      <c r="G1735" s="1640"/>
      <c r="H1735" s="1642"/>
      <c r="I1735" s="1172"/>
    </row>
    <row r="1736" spans="1:9" ht="30.75">
      <c r="A1736" s="45" t="s">
        <v>1463</v>
      </c>
      <c r="B1736" s="646" t="s">
        <v>1497</v>
      </c>
      <c r="C1736" s="251" t="s">
        <v>1465</v>
      </c>
      <c r="D1736" s="647" t="s">
        <v>5</v>
      </c>
      <c r="E1736" s="47" t="s">
        <v>1466</v>
      </c>
      <c r="F1736" s="48" t="s">
        <v>1467</v>
      </c>
      <c r="G1736" s="48" t="s">
        <v>7</v>
      </c>
      <c r="H1736" s="62" t="s">
        <v>1468</v>
      </c>
      <c r="I1736" s="1173" t="s">
        <v>1624</v>
      </c>
    </row>
    <row r="1737" spans="1:9" ht="18.75">
      <c r="A1737" s="241">
        <v>14135</v>
      </c>
      <c r="B1737" s="233">
        <v>0.1</v>
      </c>
      <c r="C1737" s="891">
        <v>12</v>
      </c>
      <c r="D1737" s="1024" t="s">
        <v>1027</v>
      </c>
      <c r="E1737" s="581"/>
      <c r="F1737" s="558">
        <v>1600000</v>
      </c>
      <c r="G1737" s="138">
        <v>0.04</v>
      </c>
      <c r="H1737" s="882">
        <f>F1737*G1737</f>
        <v>64000</v>
      </c>
      <c r="I1737" s="1175" t="s">
        <v>1625</v>
      </c>
    </row>
    <row r="1738" spans="1:9" ht="18.75">
      <c r="A1738" s="241">
        <v>14131</v>
      </c>
      <c r="B1738" s="233">
        <v>0.1</v>
      </c>
      <c r="C1738" s="891">
        <v>12</v>
      </c>
      <c r="D1738" s="259" t="s">
        <v>1030</v>
      </c>
      <c r="E1738" s="581"/>
      <c r="F1738" s="558">
        <v>900000</v>
      </c>
      <c r="G1738" s="138">
        <v>0.04</v>
      </c>
      <c r="H1738" s="882">
        <f t="shared" ref="H1738:H1749" si="57">F1738*G1738</f>
        <v>36000</v>
      </c>
      <c r="I1738" s="1175" t="s">
        <v>1625</v>
      </c>
    </row>
    <row r="1739" spans="1:9" ht="18.75">
      <c r="A1739" s="241">
        <v>14142</v>
      </c>
      <c r="B1739" s="233">
        <v>0.1</v>
      </c>
      <c r="C1739" s="891">
        <v>12</v>
      </c>
      <c r="D1739" s="1024" t="s">
        <v>1031</v>
      </c>
      <c r="E1739" s="581"/>
      <c r="F1739" s="558">
        <v>950000</v>
      </c>
      <c r="G1739" s="138">
        <v>0.04</v>
      </c>
      <c r="H1739" s="882">
        <f t="shared" si="57"/>
        <v>38000</v>
      </c>
      <c r="I1739" s="1175" t="s">
        <v>1625</v>
      </c>
    </row>
    <row r="1740" spans="1:9" ht="18.75">
      <c r="A1740" s="241">
        <v>14169</v>
      </c>
      <c r="B1740" s="233">
        <v>0.1</v>
      </c>
      <c r="C1740" s="891">
        <v>12</v>
      </c>
      <c r="D1740" s="137" t="s">
        <v>1055</v>
      </c>
      <c r="E1740" s="581"/>
      <c r="F1740" s="558">
        <v>1400000</v>
      </c>
      <c r="G1740" s="138">
        <v>0.04</v>
      </c>
      <c r="H1740" s="882">
        <f t="shared" si="57"/>
        <v>56000</v>
      </c>
      <c r="I1740" s="1175" t="s">
        <v>1625</v>
      </c>
    </row>
    <row r="1741" spans="1:9" ht="18.75">
      <c r="A1741" s="241">
        <v>14183</v>
      </c>
      <c r="B1741" s="233">
        <v>0.1</v>
      </c>
      <c r="C1741" s="891">
        <v>12</v>
      </c>
      <c r="D1741" s="259" t="s">
        <v>1077</v>
      </c>
      <c r="E1741" s="581"/>
      <c r="F1741" s="558">
        <v>1000000</v>
      </c>
      <c r="G1741" s="138">
        <v>0.04</v>
      </c>
      <c r="H1741" s="882">
        <f t="shared" si="57"/>
        <v>40000</v>
      </c>
      <c r="I1741" s="1175" t="s">
        <v>1625</v>
      </c>
    </row>
    <row r="1742" spans="1:9" ht="18.75">
      <c r="A1742" s="241">
        <v>14177</v>
      </c>
      <c r="B1742" s="233">
        <v>0.1</v>
      </c>
      <c r="C1742" s="891">
        <v>12</v>
      </c>
      <c r="D1742" s="259" t="s">
        <v>1756</v>
      </c>
      <c r="E1742" s="581"/>
      <c r="F1742" s="558">
        <v>750000</v>
      </c>
      <c r="G1742" s="138">
        <v>0.04</v>
      </c>
      <c r="H1742" s="882">
        <f t="shared" si="57"/>
        <v>30000</v>
      </c>
      <c r="I1742" s="1175" t="s">
        <v>1625</v>
      </c>
    </row>
    <row r="1743" spans="1:9" ht="18.75">
      <c r="A1743" s="241">
        <v>14264</v>
      </c>
      <c r="B1743" s="233">
        <v>0.1</v>
      </c>
      <c r="C1743" s="891">
        <v>12</v>
      </c>
      <c r="D1743" s="1024" t="s">
        <v>1039</v>
      </c>
      <c r="E1743" s="581"/>
      <c r="F1743" s="558">
        <v>1500000</v>
      </c>
      <c r="G1743" s="138">
        <v>0.04</v>
      </c>
      <c r="H1743" s="882">
        <f t="shared" si="57"/>
        <v>60000</v>
      </c>
      <c r="I1743" s="1175" t="s">
        <v>1625</v>
      </c>
    </row>
    <row r="1744" spans="1:9" ht="18.75">
      <c r="A1744" s="241">
        <v>14228</v>
      </c>
      <c r="B1744" s="331">
        <v>0.08</v>
      </c>
      <c r="C1744" s="891">
        <v>12</v>
      </c>
      <c r="D1744" s="1024" t="s">
        <v>1040</v>
      </c>
      <c r="E1744" s="581"/>
      <c r="F1744" s="558">
        <v>1450000</v>
      </c>
      <c r="G1744" s="140">
        <v>0.03</v>
      </c>
      <c r="H1744" s="882">
        <f t="shared" si="57"/>
        <v>43500</v>
      </c>
      <c r="I1744" s="1175" t="s">
        <v>1625</v>
      </c>
    </row>
    <row r="1745" spans="1:13" ht="18.75">
      <c r="A1745" s="241">
        <v>14259</v>
      </c>
      <c r="B1745" s="331">
        <v>0.08</v>
      </c>
      <c r="C1745" s="891">
        <v>12</v>
      </c>
      <c r="D1745" s="1024" t="s">
        <v>1757</v>
      </c>
      <c r="E1745" s="581"/>
      <c r="F1745" s="558">
        <v>2200000</v>
      </c>
      <c r="G1745" s="140">
        <v>0.03</v>
      </c>
      <c r="H1745" s="882">
        <f t="shared" si="57"/>
        <v>66000</v>
      </c>
      <c r="I1745" s="1175" t="s">
        <v>1625</v>
      </c>
    </row>
    <row r="1746" spans="1:13" ht="18.75">
      <c r="A1746" s="133">
        <v>14310</v>
      </c>
      <c r="B1746" s="233">
        <v>0.1</v>
      </c>
      <c r="C1746" s="891">
        <v>12</v>
      </c>
      <c r="D1746" s="259" t="s">
        <v>1080</v>
      </c>
      <c r="E1746" s="581"/>
      <c r="F1746" s="558">
        <v>1000000</v>
      </c>
      <c r="G1746" s="138">
        <v>0.04</v>
      </c>
      <c r="H1746" s="882">
        <f t="shared" si="57"/>
        <v>40000</v>
      </c>
      <c r="I1746" s="1175" t="s">
        <v>1625</v>
      </c>
    </row>
    <row r="1747" spans="1:13" ht="18.75">
      <c r="A1747" s="133">
        <v>14333</v>
      </c>
      <c r="B1747" s="233">
        <v>0.1</v>
      </c>
      <c r="C1747" s="891">
        <v>12</v>
      </c>
      <c r="D1747" s="259" t="s">
        <v>1065</v>
      </c>
      <c r="E1747" s="581"/>
      <c r="F1747" s="558">
        <v>1700000</v>
      </c>
      <c r="G1747" s="138">
        <v>0.04</v>
      </c>
      <c r="H1747" s="882">
        <f t="shared" si="57"/>
        <v>68000</v>
      </c>
      <c r="I1747" s="1175" t="s">
        <v>1625</v>
      </c>
    </row>
    <row r="1748" spans="1:13" ht="18.75">
      <c r="A1748" s="241">
        <v>14286</v>
      </c>
      <c r="B1748" s="331">
        <v>0.08</v>
      </c>
      <c r="C1748" s="891">
        <v>12</v>
      </c>
      <c r="D1748" s="259" t="s">
        <v>1063</v>
      </c>
      <c r="E1748" s="581"/>
      <c r="F1748" s="558">
        <v>1250000</v>
      </c>
      <c r="G1748" s="140">
        <v>0.03</v>
      </c>
      <c r="H1748" s="882">
        <f t="shared" si="57"/>
        <v>37500</v>
      </c>
      <c r="I1748" s="1175" t="s">
        <v>1625</v>
      </c>
    </row>
    <row r="1749" spans="1:13" ht="18.75">
      <c r="A1749" s="133">
        <v>14331</v>
      </c>
      <c r="B1749" s="233">
        <v>0.1</v>
      </c>
      <c r="C1749" s="891">
        <v>12</v>
      </c>
      <c r="D1749" s="1057" t="s">
        <v>1094</v>
      </c>
      <c r="E1749" s="581"/>
      <c r="F1749" s="558">
        <v>1300000</v>
      </c>
      <c r="G1749" s="138">
        <v>0.04</v>
      </c>
      <c r="H1749" s="882">
        <f t="shared" si="57"/>
        <v>52000</v>
      </c>
      <c r="I1749" s="1175" t="s">
        <v>1625</v>
      </c>
    </row>
    <row r="1750" spans="1:13" ht="18.75">
      <c r="A1750" s="209" t="s">
        <v>297</v>
      </c>
      <c r="B1750" s="267"/>
      <c r="C1750" s="1225"/>
      <c r="D1750" s="757" t="s">
        <v>1072</v>
      </c>
      <c r="E1750" s="567" t="s">
        <v>1270</v>
      </c>
      <c r="F1750" s="889"/>
      <c r="G1750" s="220"/>
      <c r="H1750" s="883"/>
      <c r="I1750" s="1175"/>
    </row>
    <row r="1751" spans="1:13" ht="18.75">
      <c r="A1751" s="211" t="s">
        <v>297</v>
      </c>
      <c r="B1751" s="267"/>
      <c r="C1751" s="1225"/>
      <c r="D1751" s="1238" t="s">
        <v>1758</v>
      </c>
      <c r="E1751" s="567" t="s">
        <v>1759</v>
      </c>
      <c r="F1751" s="889"/>
      <c r="G1751" s="220"/>
      <c r="H1751" s="883"/>
      <c r="I1751" s="1172"/>
    </row>
    <row r="1752" spans="1:13" ht="18.75">
      <c r="A1752" s="503" t="s">
        <v>297</v>
      </c>
      <c r="B1752" s="267"/>
      <c r="C1752" s="1225"/>
      <c r="D1752" s="1238" t="s">
        <v>1760</v>
      </c>
      <c r="E1752" s="567" t="s">
        <v>1761</v>
      </c>
      <c r="F1752" s="889"/>
      <c r="G1752" s="220"/>
      <c r="H1752" s="883"/>
      <c r="I1752" s="1172"/>
    </row>
    <row r="1753" spans="1:13" ht="20.25">
      <c r="A1753" s="163"/>
      <c r="B1753" s="318"/>
      <c r="C1753" s="1131"/>
      <c r="D1753" s="266"/>
      <c r="E1753" s="947"/>
      <c r="F1753" s="948">
        <f>SUM(F1737:F1752)</f>
        <v>17000000</v>
      </c>
      <c r="G1753" s="1088"/>
      <c r="H1753" s="950">
        <f>SUM(H1737:H1752)</f>
        <v>631000</v>
      </c>
      <c r="I1753" s="1172"/>
    </row>
    <row r="1754" spans="1:13" ht="20.25">
      <c r="A1754" s="1290"/>
      <c r="B1754" s="1291"/>
      <c r="C1754" s="1292"/>
      <c r="D1754" s="1293"/>
      <c r="E1754" s="1294"/>
      <c r="F1754" s="1297"/>
      <c r="G1754" s="1330"/>
      <c r="H1754" s="1331"/>
    </row>
    <row r="1755" spans="1:13" ht="20.25">
      <c r="A1755" s="1290"/>
      <c r="B1755" s="1291"/>
      <c r="C1755" s="1292"/>
      <c r="D1755" s="1293"/>
      <c r="E1755" s="1294"/>
      <c r="F1755" s="1297"/>
      <c r="G1755" s="1330"/>
      <c r="H1755" s="1331"/>
    </row>
    <row r="1756" spans="1:13" ht="26.25">
      <c r="A1756" s="1640" t="s">
        <v>1762</v>
      </c>
      <c r="B1756" s="1640"/>
      <c r="C1756" s="1640"/>
      <c r="D1756" s="1640"/>
      <c r="E1756" s="1640"/>
      <c r="F1756" s="1640"/>
      <c r="G1756" s="1640"/>
      <c r="H1756" s="1642"/>
      <c r="I1756" s="1172"/>
    </row>
    <row r="1757" spans="1:13" ht="30.75">
      <c r="A1757" s="45" t="s">
        <v>1463</v>
      </c>
      <c r="B1757" s="646" t="s">
        <v>1497</v>
      </c>
      <c r="C1757" s="46" t="s">
        <v>1465</v>
      </c>
      <c r="D1757" s="647" t="s">
        <v>5</v>
      </c>
      <c r="E1757" s="47" t="s">
        <v>1466</v>
      </c>
      <c r="F1757" s="48" t="s">
        <v>1467</v>
      </c>
      <c r="G1757" s="48" t="s">
        <v>7</v>
      </c>
      <c r="H1757" s="62" t="s">
        <v>1468</v>
      </c>
      <c r="I1757" s="1298" t="s">
        <v>1624</v>
      </c>
    </row>
    <row r="1758" spans="1:13" ht="18.75">
      <c r="A1758" s="241">
        <v>14143</v>
      </c>
      <c r="B1758" s="557">
        <v>0.1</v>
      </c>
      <c r="C1758" s="677">
        <v>12</v>
      </c>
      <c r="D1758" s="1317" t="s">
        <v>1051</v>
      </c>
      <c r="E1758" s="545"/>
      <c r="F1758" s="558">
        <v>1350000</v>
      </c>
      <c r="G1758" s="545"/>
      <c r="H1758" s="545"/>
      <c r="I1758" s="1172" t="s">
        <v>1625</v>
      </c>
    </row>
    <row r="1759" spans="1:13" ht="18.75">
      <c r="A1759" s="1192"/>
      <c r="B1759" s="1192"/>
      <c r="C1759" s="1221"/>
      <c r="D1759" s="1192"/>
      <c r="E1759" s="14"/>
      <c r="F1759" s="1192"/>
      <c r="G1759" s="14"/>
      <c r="H1759" s="14"/>
      <c r="I1759" s="1172"/>
    </row>
    <row r="1760" spans="1:13" ht="18.75" customHeight="1">
      <c r="A1760" s="1648"/>
      <c r="B1760" s="1648"/>
      <c r="C1760" s="1648"/>
      <c r="D1760" s="1648"/>
      <c r="E1760" s="1648"/>
      <c r="F1760" s="1648"/>
      <c r="G1760" s="1648"/>
      <c r="H1760" s="1648"/>
      <c r="I1760" s="1648"/>
      <c r="J1760" s="1648"/>
      <c r="K1760" s="1648"/>
      <c r="L1760" s="1648"/>
      <c r="M1760" s="1648"/>
    </row>
    <row r="1761" spans="1:13" ht="18.75" customHeight="1">
      <c r="A1761" s="1648"/>
      <c r="B1761" s="1648"/>
      <c r="C1761" s="1648"/>
      <c r="D1761" s="1648"/>
      <c r="E1761" s="1648"/>
      <c r="F1761" s="1648"/>
      <c r="G1761" s="1648"/>
      <c r="H1761" s="1648"/>
      <c r="I1761" s="1648"/>
      <c r="J1761" s="1648"/>
      <c r="K1761" s="1648"/>
      <c r="L1761" s="1648"/>
      <c r="M1761" s="1648"/>
    </row>
    <row r="1762" spans="1:13">
      <c r="A1762" s="1648"/>
      <c r="B1762" s="1648"/>
      <c r="C1762" s="1648"/>
      <c r="D1762" s="1648"/>
      <c r="E1762" s="1648"/>
      <c r="F1762" s="1648"/>
      <c r="G1762" s="1648"/>
      <c r="H1762" s="1648"/>
      <c r="I1762" s="1648"/>
      <c r="J1762" s="1648"/>
      <c r="K1762" s="1648"/>
      <c r="L1762" s="1648"/>
      <c r="M1762" s="1648"/>
    </row>
    <row r="1763" spans="1:13" ht="26.25">
      <c r="A1763" s="1640" t="s">
        <v>1763</v>
      </c>
      <c r="B1763" s="1640"/>
      <c r="C1763" s="1641"/>
      <c r="D1763" s="1640"/>
      <c r="E1763" s="1640"/>
      <c r="F1763" s="1640"/>
      <c r="G1763" s="1640"/>
      <c r="H1763" s="1640"/>
    </row>
    <row r="1764" spans="1:13" ht="30.75">
      <c r="A1764" s="45"/>
      <c r="B1764" s="646" t="s">
        <v>1497</v>
      </c>
      <c r="C1764" s="132" t="s">
        <v>1465</v>
      </c>
      <c r="D1764" s="647" t="s">
        <v>5</v>
      </c>
      <c r="E1764" s="47" t="s">
        <v>1466</v>
      </c>
      <c r="F1764" s="48" t="s">
        <v>1467</v>
      </c>
      <c r="G1764" s="48" t="s">
        <v>7</v>
      </c>
      <c r="H1764" s="48" t="s">
        <v>1468</v>
      </c>
    </row>
    <row r="1765" spans="1:13" ht="18.75">
      <c r="A1765" s="135">
        <v>14140</v>
      </c>
      <c r="B1765" s="576">
        <v>0.1</v>
      </c>
      <c r="C1765" s="238">
        <v>12</v>
      </c>
      <c r="D1765" s="259" t="s">
        <v>1740</v>
      </c>
      <c r="E1765" s="1142"/>
      <c r="F1765" s="558">
        <v>1300000</v>
      </c>
      <c r="G1765" s="1281">
        <v>0.03</v>
      </c>
      <c r="H1765" s="678">
        <f>F1765*G1765</f>
        <v>39000</v>
      </c>
    </row>
    <row r="1766" spans="1:13" ht="18.75">
      <c r="A1766" s="135">
        <v>14165</v>
      </c>
      <c r="B1766" s="233">
        <v>0.1</v>
      </c>
      <c r="C1766" s="238">
        <v>12</v>
      </c>
      <c r="D1766" s="259" t="s">
        <v>1028</v>
      </c>
      <c r="E1766" s="1142"/>
      <c r="F1766" s="558">
        <v>1800000</v>
      </c>
      <c r="G1766" s="1281">
        <v>0.03</v>
      </c>
      <c r="H1766" s="678">
        <f t="shared" ref="H1766:H1808" si="58">F1766*G1766</f>
        <v>54000</v>
      </c>
    </row>
    <row r="1767" spans="1:13" ht="18.75">
      <c r="A1767" s="241">
        <v>14160</v>
      </c>
      <c r="B1767" s="233">
        <v>0.1</v>
      </c>
      <c r="C1767" s="238">
        <v>12</v>
      </c>
      <c r="D1767" s="259" t="s">
        <v>1036</v>
      </c>
      <c r="E1767" s="1142"/>
      <c r="F1767" s="558">
        <v>750000</v>
      </c>
      <c r="G1767" s="1281">
        <v>0.03</v>
      </c>
      <c r="H1767" s="678">
        <f t="shared" si="58"/>
        <v>22500</v>
      </c>
    </row>
    <row r="1768" spans="1:13" ht="18.75">
      <c r="A1768" s="241">
        <v>14185</v>
      </c>
      <c r="B1768" s="233">
        <v>0.1</v>
      </c>
      <c r="C1768" s="770">
        <v>12</v>
      </c>
      <c r="D1768" s="180" t="s">
        <v>1056</v>
      </c>
      <c r="E1768" s="1263"/>
      <c r="F1768" s="558">
        <v>1700000</v>
      </c>
      <c r="G1768" s="1281">
        <v>0.03</v>
      </c>
      <c r="H1768" s="678">
        <f t="shared" si="58"/>
        <v>51000</v>
      </c>
    </row>
    <row r="1769" spans="1:13" ht="18.75">
      <c r="A1769" s="135">
        <v>14180</v>
      </c>
      <c r="B1769" s="233">
        <v>0.1</v>
      </c>
      <c r="C1769" s="770">
        <v>12</v>
      </c>
      <c r="D1769" s="259" t="s">
        <v>1058</v>
      </c>
      <c r="E1769" s="1263"/>
      <c r="F1769" s="558">
        <v>700000</v>
      </c>
      <c r="G1769" s="1281">
        <v>0.03</v>
      </c>
      <c r="H1769" s="678">
        <f t="shared" si="58"/>
        <v>21000</v>
      </c>
    </row>
    <row r="1770" spans="1:13" ht="18.75">
      <c r="A1770" s="241">
        <v>14205</v>
      </c>
      <c r="B1770" s="331">
        <v>0.08</v>
      </c>
      <c r="C1770" s="238">
        <v>12</v>
      </c>
      <c r="D1770" s="259" t="s">
        <v>1078</v>
      </c>
      <c r="E1770" s="1263"/>
      <c r="F1770" s="558">
        <v>1900000</v>
      </c>
      <c r="G1770" s="1032">
        <v>0.02</v>
      </c>
      <c r="H1770" s="678">
        <f t="shared" si="58"/>
        <v>38000</v>
      </c>
    </row>
    <row r="1771" spans="1:13" ht="18.75">
      <c r="A1771" s="241">
        <v>14239</v>
      </c>
      <c r="B1771" s="233">
        <v>0.1</v>
      </c>
      <c r="C1771" s="770">
        <v>12</v>
      </c>
      <c r="D1771" s="1312" t="s">
        <v>1041</v>
      </c>
      <c r="E1771" s="1263"/>
      <c r="F1771" s="558">
        <v>1500000</v>
      </c>
      <c r="G1771" s="1281">
        <v>0.03</v>
      </c>
      <c r="H1771" s="678">
        <f t="shared" si="58"/>
        <v>45000</v>
      </c>
    </row>
    <row r="1772" spans="1:13" ht="18.75">
      <c r="A1772" s="241">
        <v>14227</v>
      </c>
      <c r="B1772" s="233">
        <v>0.1</v>
      </c>
      <c r="C1772" s="770">
        <v>12</v>
      </c>
      <c r="D1772" s="137" t="s">
        <v>1045</v>
      </c>
      <c r="E1772" s="1263"/>
      <c r="F1772" s="558">
        <v>1500000</v>
      </c>
      <c r="G1772" s="1281">
        <v>0.03</v>
      </c>
      <c r="H1772" s="678">
        <f t="shared" si="58"/>
        <v>45000</v>
      </c>
    </row>
    <row r="1773" spans="1:13" ht="18.75">
      <c r="A1773" s="241">
        <v>14270</v>
      </c>
      <c r="B1773" s="233">
        <v>0.1</v>
      </c>
      <c r="C1773" s="770">
        <v>12</v>
      </c>
      <c r="D1773" s="1232" t="s">
        <v>1060</v>
      </c>
      <c r="E1773" s="754"/>
      <c r="F1773" s="558">
        <v>1500000</v>
      </c>
      <c r="G1773" s="1281">
        <v>0.03</v>
      </c>
      <c r="H1773" s="678">
        <f t="shared" si="58"/>
        <v>45000</v>
      </c>
    </row>
    <row r="1774" spans="1:13" ht="18.75">
      <c r="A1774" s="241">
        <v>14287</v>
      </c>
      <c r="B1774" s="233">
        <v>0.1</v>
      </c>
      <c r="C1774" s="770">
        <v>12</v>
      </c>
      <c r="D1774" s="1232" t="s">
        <v>1042</v>
      </c>
      <c r="E1774" s="754"/>
      <c r="F1774" s="558">
        <v>1600000</v>
      </c>
      <c r="G1774" s="1281">
        <v>0.03</v>
      </c>
      <c r="H1774" s="678">
        <f t="shared" si="58"/>
        <v>48000</v>
      </c>
    </row>
    <row r="1775" spans="1:13" ht="18.75">
      <c r="A1775" s="241">
        <v>14320</v>
      </c>
      <c r="B1775" s="233">
        <v>0.1</v>
      </c>
      <c r="C1775" s="770">
        <v>12</v>
      </c>
      <c r="D1775" s="136" t="s">
        <v>1741</v>
      </c>
      <c r="E1775" s="1263"/>
      <c r="F1775" s="558">
        <v>1600000</v>
      </c>
      <c r="G1775" s="1281">
        <v>0.03</v>
      </c>
      <c r="H1775" s="678">
        <f t="shared" si="58"/>
        <v>48000</v>
      </c>
    </row>
    <row r="1776" spans="1:13" ht="18.75">
      <c r="A1776" s="241">
        <v>14336</v>
      </c>
      <c r="B1776" s="233">
        <v>0.1</v>
      </c>
      <c r="C1776" s="770">
        <v>12</v>
      </c>
      <c r="D1776" s="137" t="s">
        <v>1047</v>
      </c>
      <c r="E1776" s="1263"/>
      <c r="F1776" s="558">
        <v>1550000</v>
      </c>
      <c r="G1776" s="1281">
        <v>0.03</v>
      </c>
      <c r="H1776" s="678">
        <f t="shared" si="58"/>
        <v>46500</v>
      </c>
    </row>
    <row r="1777" spans="1:8" ht="18.75">
      <c r="A1777" s="133">
        <v>14319</v>
      </c>
      <c r="B1777" s="233">
        <v>0.1</v>
      </c>
      <c r="C1777" s="770">
        <v>12</v>
      </c>
      <c r="D1777" s="259" t="s">
        <v>1081</v>
      </c>
      <c r="E1777" s="1263"/>
      <c r="F1777" s="558">
        <v>750000</v>
      </c>
      <c r="G1777" s="1281">
        <v>0.03</v>
      </c>
      <c r="H1777" s="678">
        <f t="shared" si="58"/>
        <v>22500</v>
      </c>
    </row>
    <row r="1778" spans="1:8" ht="18.75">
      <c r="A1778" s="135">
        <v>14136</v>
      </c>
      <c r="B1778" s="576">
        <v>0.1</v>
      </c>
      <c r="C1778" s="1222">
        <v>12</v>
      </c>
      <c r="D1778" s="1002" t="s">
        <v>1049</v>
      </c>
      <c r="E1778" s="754"/>
      <c r="F1778" s="558">
        <v>1800000</v>
      </c>
      <c r="G1778" s="1281">
        <v>0.03</v>
      </c>
      <c r="H1778" s="678">
        <f t="shared" si="58"/>
        <v>54000</v>
      </c>
    </row>
    <row r="1779" spans="1:8" ht="18.75">
      <c r="A1779" s="241">
        <v>14148</v>
      </c>
      <c r="B1779" s="233">
        <v>0.1</v>
      </c>
      <c r="C1779" s="891">
        <v>12</v>
      </c>
      <c r="D1779" s="243" t="s">
        <v>1746</v>
      </c>
      <c r="E1779" s="581"/>
      <c r="F1779" s="558">
        <v>1900000</v>
      </c>
      <c r="G1779" s="1281">
        <v>0.03</v>
      </c>
      <c r="H1779" s="678">
        <f t="shared" si="58"/>
        <v>57000</v>
      </c>
    </row>
    <row r="1780" spans="1:8" ht="18.75">
      <c r="A1780" s="241">
        <v>14178</v>
      </c>
      <c r="B1780" s="233">
        <v>0.1</v>
      </c>
      <c r="C1780" s="891">
        <v>12</v>
      </c>
      <c r="D1780" s="137" t="s">
        <v>1747</v>
      </c>
      <c r="E1780" s="581"/>
      <c r="F1780" s="558">
        <v>1250000</v>
      </c>
      <c r="G1780" s="189">
        <v>0.03</v>
      </c>
      <c r="H1780" s="678">
        <f t="shared" si="58"/>
        <v>37500</v>
      </c>
    </row>
    <row r="1781" spans="1:8" ht="18.75">
      <c r="A1781" s="241">
        <v>14167</v>
      </c>
      <c r="B1781" s="233">
        <v>0.1</v>
      </c>
      <c r="C1781" s="891">
        <v>12</v>
      </c>
      <c r="D1781" s="259" t="s">
        <v>1034</v>
      </c>
      <c r="E1781" s="581"/>
      <c r="F1781" s="558">
        <v>900000</v>
      </c>
      <c r="G1781" s="189">
        <v>0.03</v>
      </c>
      <c r="H1781" s="678">
        <f t="shared" si="58"/>
        <v>27000</v>
      </c>
    </row>
    <row r="1782" spans="1:8" ht="18.75">
      <c r="A1782" s="135">
        <v>14155</v>
      </c>
      <c r="B1782" s="331">
        <v>0.09</v>
      </c>
      <c r="C1782" s="891">
        <v>12</v>
      </c>
      <c r="D1782" s="136" t="s">
        <v>1079</v>
      </c>
      <c r="E1782" s="581"/>
      <c r="F1782" s="558">
        <v>1600000</v>
      </c>
      <c r="G1782" s="1032">
        <v>0.02</v>
      </c>
      <c r="H1782" s="678">
        <f t="shared" si="58"/>
        <v>32000</v>
      </c>
    </row>
    <row r="1783" spans="1:8" ht="18.75">
      <c r="A1783" s="135">
        <v>14203</v>
      </c>
      <c r="B1783" s="233">
        <v>0.1</v>
      </c>
      <c r="C1783" s="891">
        <v>12</v>
      </c>
      <c r="D1783" s="136" t="s">
        <v>1032</v>
      </c>
      <c r="E1783" s="581"/>
      <c r="F1783" s="558">
        <v>1200000</v>
      </c>
      <c r="G1783" s="1281">
        <v>0.03</v>
      </c>
      <c r="H1783" s="678">
        <f t="shared" si="58"/>
        <v>36000</v>
      </c>
    </row>
    <row r="1784" spans="1:8" ht="18.75">
      <c r="A1784" s="135">
        <v>14210</v>
      </c>
      <c r="B1784" s="233">
        <v>0.1</v>
      </c>
      <c r="C1784" s="891">
        <v>12</v>
      </c>
      <c r="D1784" s="1024" t="s">
        <v>1038</v>
      </c>
      <c r="E1784" s="581"/>
      <c r="F1784" s="558">
        <v>1700000</v>
      </c>
      <c r="G1784" s="1281">
        <v>0.03</v>
      </c>
      <c r="H1784" s="678">
        <f t="shared" si="58"/>
        <v>51000</v>
      </c>
    </row>
    <row r="1785" spans="1:8" ht="18.75">
      <c r="A1785" s="135">
        <v>14236</v>
      </c>
      <c r="B1785" s="233">
        <v>0.1</v>
      </c>
      <c r="C1785" s="891">
        <v>12</v>
      </c>
      <c r="D1785" s="136" t="s">
        <v>1749</v>
      </c>
      <c r="E1785" s="581"/>
      <c r="F1785" s="558">
        <v>2100000</v>
      </c>
      <c r="G1785" s="1281">
        <v>0.03</v>
      </c>
      <c r="H1785" s="678">
        <f t="shared" si="58"/>
        <v>63000</v>
      </c>
    </row>
    <row r="1786" spans="1:8" ht="18.75">
      <c r="A1786" s="135">
        <v>14244</v>
      </c>
      <c r="B1786" s="233">
        <v>0.1</v>
      </c>
      <c r="C1786" s="891">
        <v>12</v>
      </c>
      <c r="D1786" s="136" t="s">
        <v>1050</v>
      </c>
      <c r="E1786" s="581"/>
      <c r="F1786" s="558">
        <v>1600000</v>
      </c>
      <c r="G1786" s="1281">
        <v>0.03</v>
      </c>
      <c r="H1786" s="678">
        <f t="shared" si="58"/>
        <v>48000</v>
      </c>
    </row>
    <row r="1787" spans="1:8" ht="18.75">
      <c r="A1787" s="135">
        <v>14249</v>
      </c>
      <c r="B1787" s="233">
        <v>0.1</v>
      </c>
      <c r="C1787" s="891">
        <v>12</v>
      </c>
      <c r="D1787" s="1057" t="s">
        <v>1089</v>
      </c>
      <c r="E1787" s="581"/>
      <c r="F1787" s="558">
        <v>1250000</v>
      </c>
      <c r="G1787" s="1281">
        <v>0.03</v>
      </c>
      <c r="H1787" s="678">
        <f t="shared" si="58"/>
        <v>37500</v>
      </c>
    </row>
    <row r="1788" spans="1:8" ht="18.75">
      <c r="A1788" s="135">
        <v>14265</v>
      </c>
      <c r="B1788" s="233">
        <v>0.1</v>
      </c>
      <c r="C1788" s="891">
        <v>12</v>
      </c>
      <c r="D1788" s="1024" t="s">
        <v>1750</v>
      </c>
      <c r="E1788" s="581"/>
      <c r="F1788" s="558">
        <v>1600000</v>
      </c>
      <c r="G1788" s="1281">
        <v>0.03</v>
      </c>
      <c r="H1788" s="678">
        <f t="shared" si="58"/>
        <v>48000</v>
      </c>
    </row>
    <row r="1789" spans="1:8" ht="18.75">
      <c r="A1789" s="135">
        <v>14284</v>
      </c>
      <c r="B1789" s="233">
        <v>0.1</v>
      </c>
      <c r="C1789" s="891">
        <v>12</v>
      </c>
      <c r="D1789" s="1057" t="s">
        <v>1054</v>
      </c>
      <c r="E1789" s="581"/>
      <c r="F1789" s="558">
        <v>1450000</v>
      </c>
      <c r="G1789" s="1281">
        <v>0.03</v>
      </c>
      <c r="H1789" s="678">
        <f t="shared" si="58"/>
        <v>43500</v>
      </c>
    </row>
    <row r="1790" spans="1:8" ht="18.75">
      <c r="A1790" s="241">
        <v>14294</v>
      </c>
      <c r="B1790" s="331">
        <v>0.08</v>
      </c>
      <c r="C1790" s="891">
        <v>12</v>
      </c>
      <c r="D1790" s="259" t="s">
        <v>1061</v>
      </c>
      <c r="E1790" s="581"/>
      <c r="F1790" s="558">
        <v>1650000</v>
      </c>
      <c r="G1790" s="1032">
        <v>0.02</v>
      </c>
      <c r="H1790" s="678">
        <f t="shared" si="58"/>
        <v>33000</v>
      </c>
    </row>
    <row r="1791" spans="1:8" ht="18.75">
      <c r="A1791" s="135">
        <v>14285</v>
      </c>
      <c r="B1791" s="233">
        <v>0.1</v>
      </c>
      <c r="C1791" s="891">
        <v>12</v>
      </c>
      <c r="D1791" s="259" t="s">
        <v>287</v>
      </c>
      <c r="E1791" s="581"/>
      <c r="F1791" s="558">
        <v>1250000</v>
      </c>
      <c r="G1791" s="1281">
        <v>0.03</v>
      </c>
      <c r="H1791" s="678">
        <f t="shared" si="58"/>
        <v>37500</v>
      </c>
    </row>
    <row r="1792" spans="1:8" ht="18.75">
      <c r="A1792" s="241">
        <v>14299</v>
      </c>
      <c r="B1792" s="233">
        <v>0.1</v>
      </c>
      <c r="C1792" s="891">
        <v>12</v>
      </c>
      <c r="D1792" s="259" t="s">
        <v>1062</v>
      </c>
      <c r="E1792" s="581"/>
      <c r="F1792" s="558">
        <v>2100000</v>
      </c>
      <c r="G1792" s="1281">
        <v>0.03</v>
      </c>
      <c r="H1792" s="678">
        <f t="shared" si="58"/>
        <v>63000</v>
      </c>
    </row>
    <row r="1793" spans="1:8" ht="18.75">
      <c r="A1793" s="135">
        <v>14298</v>
      </c>
      <c r="B1793" s="233">
        <v>0.1</v>
      </c>
      <c r="C1793" s="891">
        <v>12</v>
      </c>
      <c r="D1793" s="259" t="s">
        <v>1096</v>
      </c>
      <c r="E1793" s="581"/>
      <c r="F1793" s="558">
        <v>1150000</v>
      </c>
      <c r="G1793" s="1281">
        <v>0.03</v>
      </c>
      <c r="H1793" s="678">
        <f t="shared" si="58"/>
        <v>34500</v>
      </c>
    </row>
    <row r="1794" spans="1:8" ht="18.75">
      <c r="A1794" s="135">
        <v>14290</v>
      </c>
      <c r="B1794" s="233">
        <v>0.1</v>
      </c>
      <c r="C1794" s="891">
        <v>12</v>
      </c>
      <c r="D1794" s="1024" t="s">
        <v>1751</v>
      </c>
      <c r="E1794" s="581"/>
      <c r="F1794" s="558">
        <v>1750000</v>
      </c>
      <c r="G1794" s="1281">
        <v>0.03</v>
      </c>
      <c r="H1794" s="678">
        <f t="shared" si="58"/>
        <v>52500</v>
      </c>
    </row>
    <row r="1795" spans="1:8" ht="18.75">
      <c r="A1795" s="241">
        <v>14135</v>
      </c>
      <c r="B1795" s="233">
        <v>0.1</v>
      </c>
      <c r="C1795" s="891">
        <v>12</v>
      </c>
      <c r="D1795" s="1024" t="s">
        <v>1027</v>
      </c>
      <c r="E1795" s="581"/>
      <c r="F1795" s="558">
        <v>1600000</v>
      </c>
      <c r="G1795" s="189">
        <v>0.03</v>
      </c>
      <c r="H1795" s="678">
        <f t="shared" si="58"/>
        <v>48000</v>
      </c>
    </row>
    <row r="1796" spans="1:8" ht="18.75">
      <c r="A1796" s="241">
        <v>14131</v>
      </c>
      <c r="B1796" s="233">
        <v>0.1</v>
      </c>
      <c r="C1796" s="891">
        <v>12</v>
      </c>
      <c r="D1796" s="259" t="s">
        <v>1030</v>
      </c>
      <c r="E1796" s="581"/>
      <c r="F1796" s="558">
        <v>900000</v>
      </c>
      <c r="G1796" s="189">
        <v>0.03</v>
      </c>
      <c r="H1796" s="678">
        <f t="shared" si="58"/>
        <v>27000</v>
      </c>
    </row>
    <row r="1797" spans="1:8" ht="18.75">
      <c r="A1797" s="241">
        <v>14142</v>
      </c>
      <c r="B1797" s="233">
        <v>0.1</v>
      </c>
      <c r="C1797" s="891">
        <v>12</v>
      </c>
      <c r="D1797" s="1024" t="s">
        <v>1031</v>
      </c>
      <c r="E1797" s="581"/>
      <c r="F1797" s="558">
        <v>950000</v>
      </c>
      <c r="G1797" s="189">
        <v>0.03</v>
      </c>
      <c r="H1797" s="678">
        <f t="shared" si="58"/>
        <v>28500</v>
      </c>
    </row>
    <row r="1798" spans="1:8" ht="18.75">
      <c r="A1798" s="241">
        <v>14169</v>
      </c>
      <c r="B1798" s="233">
        <v>0.1</v>
      </c>
      <c r="C1798" s="891">
        <v>12</v>
      </c>
      <c r="D1798" s="137" t="s">
        <v>1055</v>
      </c>
      <c r="E1798" s="581"/>
      <c r="F1798" s="558">
        <v>1400000</v>
      </c>
      <c r="G1798" s="189">
        <v>0.03</v>
      </c>
      <c r="H1798" s="678">
        <f t="shared" si="58"/>
        <v>42000</v>
      </c>
    </row>
    <row r="1799" spans="1:8" ht="18.75">
      <c r="A1799" s="241">
        <v>14183</v>
      </c>
      <c r="B1799" s="233">
        <v>0.1</v>
      </c>
      <c r="C1799" s="891">
        <v>12</v>
      </c>
      <c r="D1799" s="259" t="s">
        <v>1077</v>
      </c>
      <c r="E1799" s="581"/>
      <c r="F1799" s="558">
        <v>1000000</v>
      </c>
      <c r="G1799" s="189">
        <v>0.03</v>
      </c>
      <c r="H1799" s="678">
        <f t="shared" si="58"/>
        <v>30000</v>
      </c>
    </row>
    <row r="1800" spans="1:8" ht="18.75">
      <c r="A1800" s="241">
        <v>14177</v>
      </c>
      <c r="B1800" s="233">
        <v>0.1</v>
      </c>
      <c r="C1800" s="891">
        <v>12</v>
      </c>
      <c r="D1800" s="259" t="s">
        <v>1756</v>
      </c>
      <c r="E1800" s="581"/>
      <c r="F1800" s="558">
        <v>750000</v>
      </c>
      <c r="G1800" s="189">
        <v>0.03</v>
      </c>
      <c r="H1800" s="678">
        <f t="shared" si="58"/>
        <v>22500</v>
      </c>
    </row>
    <row r="1801" spans="1:8" ht="18.75">
      <c r="A1801" s="241">
        <v>14264</v>
      </c>
      <c r="B1801" s="233">
        <v>0.1</v>
      </c>
      <c r="C1801" s="891">
        <v>12</v>
      </c>
      <c r="D1801" s="1024" t="s">
        <v>1039</v>
      </c>
      <c r="E1801" s="581"/>
      <c r="F1801" s="558">
        <v>1500000</v>
      </c>
      <c r="G1801" s="189">
        <v>0.03</v>
      </c>
      <c r="H1801" s="678">
        <f t="shared" si="58"/>
        <v>45000</v>
      </c>
    </row>
    <row r="1802" spans="1:8" ht="18.75">
      <c r="A1802" s="241">
        <v>14228</v>
      </c>
      <c r="B1802" s="331">
        <v>0.08</v>
      </c>
      <c r="C1802" s="891">
        <v>12</v>
      </c>
      <c r="D1802" s="1024" t="s">
        <v>1040</v>
      </c>
      <c r="E1802" s="581"/>
      <c r="F1802" s="558">
        <v>1450000</v>
      </c>
      <c r="G1802" s="1032">
        <v>0.02</v>
      </c>
      <c r="H1802" s="678">
        <f t="shared" si="58"/>
        <v>29000</v>
      </c>
    </row>
    <row r="1803" spans="1:8" ht="18.75">
      <c r="A1803" s="241">
        <v>14259</v>
      </c>
      <c r="B1803" s="331">
        <v>0.08</v>
      </c>
      <c r="C1803" s="891">
        <v>12</v>
      </c>
      <c r="D1803" s="1024" t="s">
        <v>1757</v>
      </c>
      <c r="E1803" s="581"/>
      <c r="F1803" s="558">
        <v>2200000</v>
      </c>
      <c r="G1803" s="1032">
        <v>0.02</v>
      </c>
      <c r="H1803" s="678">
        <f t="shared" si="58"/>
        <v>44000</v>
      </c>
    </row>
    <row r="1804" spans="1:8" ht="18.75">
      <c r="A1804" s="133">
        <v>14310</v>
      </c>
      <c r="B1804" s="233">
        <v>0.1</v>
      </c>
      <c r="C1804" s="891">
        <v>12</v>
      </c>
      <c r="D1804" s="259" t="s">
        <v>1080</v>
      </c>
      <c r="E1804" s="581"/>
      <c r="F1804" s="558">
        <v>1000000</v>
      </c>
      <c r="G1804" s="189">
        <v>0.03</v>
      </c>
      <c r="H1804" s="678">
        <f t="shared" si="58"/>
        <v>30000</v>
      </c>
    </row>
    <row r="1805" spans="1:8" ht="18.75">
      <c r="A1805" s="133">
        <v>14333</v>
      </c>
      <c r="B1805" s="233">
        <v>0.1</v>
      </c>
      <c r="C1805" s="891">
        <v>12</v>
      </c>
      <c r="D1805" s="259" t="s">
        <v>1065</v>
      </c>
      <c r="E1805" s="581"/>
      <c r="F1805" s="558">
        <v>1700000</v>
      </c>
      <c r="G1805" s="189">
        <v>0.03</v>
      </c>
      <c r="H1805" s="678">
        <f t="shared" si="58"/>
        <v>51000</v>
      </c>
    </row>
    <row r="1806" spans="1:8" ht="18.75">
      <c r="A1806" s="241">
        <v>14286</v>
      </c>
      <c r="B1806" s="331">
        <v>0.08</v>
      </c>
      <c r="C1806" s="891">
        <v>12</v>
      </c>
      <c r="D1806" s="259" t="s">
        <v>1063</v>
      </c>
      <c r="E1806" s="581"/>
      <c r="F1806" s="558">
        <v>1250000</v>
      </c>
      <c r="G1806" s="1032">
        <v>0.02</v>
      </c>
      <c r="H1806" s="678">
        <f t="shared" si="58"/>
        <v>25000</v>
      </c>
    </row>
    <row r="1807" spans="1:8" ht="18.75">
      <c r="A1807" s="133">
        <v>14331</v>
      </c>
      <c r="B1807" s="233">
        <v>0.1</v>
      </c>
      <c r="C1807" s="891">
        <v>12</v>
      </c>
      <c r="D1807" s="1057" t="s">
        <v>1094</v>
      </c>
      <c r="E1807" s="581"/>
      <c r="F1807" s="558">
        <v>1300000</v>
      </c>
      <c r="G1807" s="189">
        <v>0.03</v>
      </c>
      <c r="H1807" s="678">
        <f t="shared" si="58"/>
        <v>39000</v>
      </c>
    </row>
    <row r="1808" spans="1:8" ht="18.75">
      <c r="A1808" s="241">
        <v>14143</v>
      </c>
      <c r="B1808" s="557">
        <v>0.1</v>
      </c>
      <c r="C1808" s="677">
        <v>12</v>
      </c>
      <c r="D1808" s="1317" t="s">
        <v>1051</v>
      </c>
      <c r="E1808" s="545"/>
      <c r="F1808" s="558">
        <v>1350000</v>
      </c>
      <c r="G1808" s="189">
        <v>0.03</v>
      </c>
      <c r="H1808" s="678">
        <f t="shared" si="58"/>
        <v>40500</v>
      </c>
    </row>
    <row r="1809" spans="1:9" ht="18.75">
      <c r="A1809" s="163"/>
      <c r="B1809" s="1214"/>
      <c r="C1809" s="1188"/>
      <c r="D1809" s="262"/>
      <c r="E1809" s="833" t="s">
        <v>80</v>
      </c>
      <c r="F1809" s="972">
        <f>SUM(F1765:F1808)</f>
        <v>62750000</v>
      </c>
      <c r="G1809" s="910"/>
      <c r="H1809" s="1141">
        <f>SUM(H1765:H1808)</f>
        <v>1782000</v>
      </c>
    </row>
    <row r="1811" spans="1:9" ht="18.75"/>
    <row r="1812" spans="1:9" ht="26.25">
      <c r="A1812" s="1643" t="s">
        <v>1764</v>
      </c>
      <c r="B1812" s="1643"/>
      <c r="C1812" s="1643"/>
      <c r="D1812" s="1643"/>
      <c r="E1812" s="1643"/>
      <c r="F1812" s="1643"/>
      <c r="G1812" s="1643"/>
      <c r="H1812" s="1644"/>
    </row>
    <row r="1813" spans="1:9" ht="18.75"/>
    <row r="1814" spans="1:9" ht="26.25">
      <c r="A1814" s="1641" t="s">
        <v>1765</v>
      </c>
      <c r="B1814" s="1640"/>
      <c r="C1814" s="1641"/>
      <c r="D1814" s="1640"/>
      <c r="E1814" s="1640"/>
      <c r="F1814" s="1640"/>
      <c r="G1814" s="1640"/>
      <c r="H1814" s="1642"/>
      <c r="I1814" s="1172"/>
    </row>
    <row r="1815" spans="1:9" ht="30.75">
      <c r="A1815" s="87" t="s">
        <v>1463</v>
      </c>
      <c r="B1815" s="1299" t="s">
        <v>1497</v>
      </c>
      <c r="C1815" s="132" t="s">
        <v>1465</v>
      </c>
      <c r="D1815" s="647" t="s">
        <v>5</v>
      </c>
      <c r="E1815" s="47" t="s">
        <v>1466</v>
      </c>
      <c r="F1815" s="48" t="s">
        <v>1467</v>
      </c>
      <c r="G1815" s="48" t="s">
        <v>7</v>
      </c>
      <c r="H1815" s="62" t="s">
        <v>1468</v>
      </c>
      <c r="I1815" s="1174" t="s">
        <v>1624</v>
      </c>
    </row>
    <row r="1816" spans="1:9" ht="18.75">
      <c r="A1816" s="241">
        <v>14344</v>
      </c>
      <c r="B1816" s="233">
        <v>0.1</v>
      </c>
      <c r="C1816" s="238">
        <v>12</v>
      </c>
      <c r="D1816" s="259" t="s">
        <v>1122</v>
      </c>
      <c r="E1816" s="1142"/>
      <c r="F1816" s="558">
        <v>1050000</v>
      </c>
      <c r="G1816" s="478">
        <v>0.05</v>
      </c>
      <c r="H1816" s="1254">
        <f>F1816*G1816</f>
        <v>52500</v>
      </c>
      <c r="I1816" s="1175" t="s">
        <v>1625</v>
      </c>
    </row>
    <row r="1817" spans="1:9" ht="18.75">
      <c r="A1817" s="241">
        <v>14371</v>
      </c>
      <c r="B1817" s="233">
        <v>0.1</v>
      </c>
      <c r="C1817" s="238">
        <v>12</v>
      </c>
      <c r="D1817" s="259" t="s">
        <v>1154</v>
      </c>
      <c r="E1817" s="1142"/>
      <c r="F1817" s="558">
        <v>1350000</v>
      </c>
      <c r="G1817" s="478">
        <v>0.05</v>
      </c>
      <c r="H1817" s="1254">
        <f t="shared" ref="H1817:H1831" si="59">F1817*G1817</f>
        <v>67500</v>
      </c>
      <c r="I1817" s="1175" t="s">
        <v>1625</v>
      </c>
    </row>
    <row r="1818" spans="1:9" ht="18.75">
      <c r="A1818" s="241">
        <v>14388</v>
      </c>
      <c r="B1818" s="233">
        <v>0.1</v>
      </c>
      <c r="C1818" s="770">
        <v>12</v>
      </c>
      <c r="D1818" s="259" t="s">
        <v>1104</v>
      </c>
      <c r="E1818" s="1263"/>
      <c r="F1818" s="558">
        <v>1500000</v>
      </c>
      <c r="G1818" s="478">
        <v>0.05</v>
      </c>
      <c r="H1818" s="1254">
        <f t="shared" si="59"/>
        <v>75000</v>
      </c>
      <c r="I1818" s="1175" t="s">
        <v>1625</v>
      </c>
    </row>
    <row r="1819" spans="1:9" ht="18.75">
      <c r="A1819" s="241">
        <v>14391</v>
      </c>
      <c r="B1819" s="233">
        <v>0.1</v>
      </c>
      <c r="C1819" s="770">
        <v>12</v>
      </c>
      <c r="D1819" s="137" t="s">
        <v>1156</v>
      </c>
      <c r="E1819" s="1263"/>
      <c r="F1819" s="558">
        <v>1300000</v>
      </c>
      <c r="G1819" s="478">
        <v>0.05</v>
      </c>
      <c r="H1819" s="1254">
        <f t="shared" si="59"/>
        <v>65000</v>
      </c>
      <c r="I1819" s="1175" t="s">
        <v>1625</v>
      </c>
    </row>
    <row r="1820" spans="1:9" ht="18.75">
      <c r="A1820" s="241">
        <v>14406</v>
      </c>
      <c r="B1820" s="233">
        <v>0.1</v>
      </c>
      <c r="C1820" s="770">
        <v>12</v>
      </c>
      <c r="D1820" s="259" t="s">
        <v>1106</v>
      </c>
      <c r="E1820" s="754"/>
      <c r="F1820" s="558">
        <v>1400000</v>
      </c>
      <c r="G1820" s="478">
        <v>0.05</v>
      </c>
      <c r="H1820" s="1254">
        <f t="shared" si="59"/>
        <v>70000</v>
      </c>
      <c r="I1820" s="1175" t="s">
        <v>1625</v>
      </c>
    </row>
    <row r="1821" spans="1:9" ht="18.75">
      <c r="A1821" s="241">
        <v>14379</v>
      </c>
      <c r="B1821" s="233">
        <v>0.1</v>
      </c>
      <c r="C1821" s="770">
        <v>12</v>
      </c>
      <c r="D1821" s="259" t="s">
        <v>1766</v>
      </c>
      <c r="E1821" s="1263"/>
      <c r="F1821" s="558">
        <v>1200000</v>
      </c>
      <c r="G1821" s="478">
        <v>0.05</v>
      </c>
      <c r="H1821" s="1254">
        <f t="shared" si="59"/>
        <v>60000</v>
      </c>
      <c r="I1821" s="1175" t="s">
        <v>1625</v>
      </c>
    </row>
    <row r="1822" spans="1:9" ht="18.75">
      <c r="A1822" s="241">
        <v>14463</v>
      </c>
      <c r="B1822" s="233">
        <v>0.1</v>
      </c>
      <c r="C1822" s="770">
        <v>12</v>
      </c>
      <c r="D1822" s="259" t="s">
        <v>1139</v>
      </c>
      <c r="E1822" s="1263"/>
      <c r="F1822" s="558">
        <v>1500000</v>
      </c>
      <c r="G1822" s="478">
        <v>0.05</v>
      </c>
      <c r="H1822" s="1254">
        <f t="shared" si="59"/>
        <v>75000</v>
      </c>
      <c r="I1822" s="1175" t="s">
        <v>1625</v>
      </c>
    </row>
    <row r="1823" spans="1:9" ht="18.75">
      <c r="A1823" s="241">
        <v>14495</v>
      </c>
      <c r="B1823" s="233">
        <v>0.1</v>
      </c>
      <c r="C1823" s="1222">
        <v>12</v>
      </c>
      <c r="D1823" s="243" t="s">
        <v>1109</v>
      </c>
      <c r="E1823" s="1263"/>
      <c r="F1823" s="558">
        <v>1500000</v>
      </c>
      <c r="G1823" s="478">
        <v>0.05</v>
      </c>
      <c r="H1823" s="1254">
        <f t="shared" si="59"/>
        <v>75000</v>
      </c>
      <c r="I1823" s="1175" t="s">
        <v>1625</v>
      </c>
    </row>
    <row r="1824" spans="1:9" ht="18.75">
      <c r="A1824" s="241">
        <v>14492</v>
      </c>
      <c r="B1824" s="233">
        <v>0.1</v>
      </c>
      <c r="C1824" s="1222">
        <v>12</v>
      </c>
      <c r="D1824" s="243" t="s">
        <v>1110</v>
      </c>
      <c r="E1824" s="1263"/>
      <c r="F1824" s="558">
        <v>1200000</v>
      </c>
      <c r="G1824" s="478">
        <v>0.05</v>
      </c>
      <c r="H1824" s="1254">
        <f t="shared" si="59"/>
        <v>60000</v>
      </c>
      <c r="I1824" s="1175" t="s">
        <v>1625</v>
      </c>
    </row>
    <row r="1825" spans="1:9" ht="18.75">
      <c r="A1825" s="241">
        <v>14496</v>
      </c>
      <c r="B1825" s="331">
        <v>0.08</v>
      </c>
      <c r="C1825" s="891">
        <v>12</v>
      </c>
      <c r="D1825" s="243" t="s">
        <v>1128</v>
      </c>
      <c r="E1825" s="1263"/>
      <c r="F1825" s="558">
        <v>1700000</v>
      </c>
      <c r="G1825" s="140">
        <v>0.04</v>
      </c>
      <c r="H1825" s="1254">
        <f t="shared" si="59"/>
        <v>68000</v>
      </c>
      <c r="I1825" s="1175" t="s">
        <v>1625</v>
      </c>
    </row>
    <row r="1826" spans="1:9" ht="18.75">
      <c r="A1826" s="241">
        <v>14514</v>
      </c>
      <c r="B1826" s="233">
        <v>0.1</v>
      </c>
      <c r="C1826" s="1222">
        <v>12</v>
      </c>
      <c r="D1826" s="1057" t="s">
        <v>1159</v>
      </c>
      <c r="E1826" s="1263"/>
      <c r="F1826" s="558">
        <v>1500000</v>
      </c>
      <c r="G1826" s="478">
        <v>0.05</v>
      </c>
      <c r="H1826" s="1254">
        <f t="shared" si="59"/>
        <v>75000</v>
      </c>
      <c r="I1826" s="1175" t="s">
        <v>1625</v>
      </c>
    </row>
    <row r="1827" spans="1:9" ht="18.75">
      <c r="A1827" s="241">
        <v>14519</v>
      </c>
      <c r="B1827" s="233">
        <v>0.1</v>
      </c>
      <c r="C1827" s="1222">
        <v>12</v>
      </c>
      <c r="D1827" s="243" t="s">
        <v>1767</v>
      </c>
      <c r="E1827" s="1263"/>
      <c r="F1827" s="558">
        <v>1700000</v>
      </c>
      <c r="G1827" s="478">
        <v>0.05</v>
      </c>
      <c r="H1827" s="1254">
        <f t="shared" si="59"/>
        <v>85000</v>
      </c>
      <c r="I1827" s="1175" t="s">
        <v>1625</v>
      </c>
    </row>
    <row r="1828" spans="1:9" ht="18.75">
      <c r="A1828" s="241">
        <v>14522</v>
      </c>
      <c r="B1828" s="233">
        <v>0.1</v>
      </c>
      <c r="C1828" s="1222">
        <v>12</v>
      </c>
      <c r="D1828" s="243" t="s">
        <v>1129</v>
      </c>
      <c r="E1828" s="1263"/>
      <c r="F1828" s="558">
        <v>1200000</v>
      </c>
      <c r="G1828" s="478">
        <v>0.05</v>
      </c>
      <c r="H1828" s="1254">
        <f t="shared" si="59"/>
        <v>60000</v>
      </c>
      <c r="I1828" s="1175" t="s">
        <v>1625</v>
      </c>
    </row>
    <row r="1829" spans="1:9" ht="18.75">
      <c r="A1829" s="241">
        <v>14555</v>
      </c>
      <c r="B1829" s="233">
        <v>0.1</v>
      </c>
      <c r="C1829" s="1222">
        <v>12</v>
      </c>
      <c r="D1829" s="243" t="s">
        <v>1768</v>
      </c>
      <c r="E1829" s="1263"/>
      <c r="F1829" s="558">
        <v>1600000</v>
      </c>
      <c r="G1829" s="478">
        <v>0.05</v>
      </c>
      <c r="H1829" s="1254">
        <f t="shared" si="59"/>
        <v>80000</v>
      </c>
      <c r="I1829" s="1175" t="s">
        <v>1625</v>
      </c>
    </row>
    <row r="1830" spans="1:9" ht="18.75">
      <c r="A1830" s="241">
        <v>14546</v>
      </c>
      <c r="B1830" s="233">
        <v>0.1</v>
      </c>
      <c r="C1830" s="1222">
        <v>12</v>
      </c>
      <c r="D1830" s="243" t="s">
        <v>1769</v>
      </c>
      <c r="E1830" s="1263"/>
      <c r="F1830" s="558">
        <v>1350000</v>
      </c>
      <c r="G1830" s="478">
        <v>0.05</v>
      </c>
      <c r="H1830" s="1254">
        <f t="shared" si="59"/>
        <v>67500</v>
      </c>
      <c r="I1830" s="1175" t="s">
        <v>1625</v>
      </c>
    </row>
    <row r="1831" spans="1:9" ht="18.75">
      <c r="A1831" s="241">
        <v>14581</v>
      </c>
      <c r="B1831" s="233">
        <v>0.1</v>
      </c>
      <c r="C1831" s="1222">
        <v>12</v>
      </c>
      <c r="D1831" s="243" t="s">
        <v>1770</v>
      </c>
      <c r="E1831" s="1263"/>
      <c r="F1831" s="558">
        <v>1100000</v>
      </c>
      <c r="G1831" s="478">
        <v>0.05</v>
      </c>
      <c r="H1831" s="1254">
        <f t="shared" si="59"/>
        <v>55000</v>
      </c>
      <c r="I1831" s="1175" t="s">
        <v>1625</v>
      </c>
    </row>
    <row r="1832" spans="1:9" ht="18.75">
      <c r="A1832" s="209" t="s">
        <v>297</v>
      </c>
      <c r="B1832" s="267"/>
      <c r="C1832" s="1223"/>
      <c r="D1832" s="1345" t="s">
        <v>1771</v>
      </c>
      <c r="E1832" s="760" t="s">
        <v>1772</v>
      </c>
      <c r="F1832" s="889"/>
      <c r="G1832" s="348"/>
      <c r="H1832" s="885"/>
      <c r="I1832" s="1175"/>
    </row>
    <row r="1833" spans="1:9" ht="18.75">
      <c r="A1833" s="209" t="s">
        <v>297</v>
      </c>
      <c r="B1833" s="267"/>
      <c r="C1833" s="936"/>
      <c r="D1833" s="277" t="s">
        <v>1091</v>
      </c>
      <c r="E1833" s="760" t="s">
        <v>1773</v>
      </c>
      <c r="F1833" s="889"/>
      <c r="G1833" s="348"/>
      <c r="H1833" s="885"/>
      <c r="I1833" s="1175"/>
    </row>
    <row r="1834" spans="1:9" ht="18.75">
      <c r="A1834" s="209" t="s">
        <v>297</v>
      </c>
      <c r="B1834" s="267"/>
      <c r="C1834" s="936"/>
      <c r="D1834" s="225" t="s">
        <v>1085</v>
      </c>
      <c r="E1834" s="760" t="s">
        <v>1774</v>
      </c>
      <c r="F1834" s="889"/>
      <c r="G1834" s="348"/>
      <c r="H1834" s="885"/>
      <c r="I1834" s="1175"/>
    </row>
    <row r="1835" spans="1:9" ht="18.75">
      <c r="A1835" s="209" t="s">
        <v>297</v>
      </c>
      <c r="B1835" s="267"/>
      <c r="C1835" s="936"/>
      <c r="D1835" s="1255" t="s">
        <v>1119</v>
      </c>
      <c r="E1835" s="760" t="s">
        <v>1310</v>
      </c>
      <c r="F1835" s="889"/>
      <c r="G1835" s="348"/>
      <c r="H1835" s="885"/>
      <c r="I1835" s="1175"/>
    </row>
    <row r="1836" spans="1:9" ht="18.75">
      <c r="A1836" s="209" t="s">
        <v>297</v>
      </c>
      <c r="B1836" s="267"/>
      <c r="C1836" s="936"/>
      <c r="D1836" s="819" t="s">
        <v>1775</v>
      </c>
      <c r="E1836" s="760" t="s">
        <v>1776</v>
      </c>
      <c r="F1836" s="889"/>
      <c r="G1836" s="1242"/>
      <c r="H1836" s="1243"/>
      <c r="I1836" s="1175"/>
    </row>
    <row r="1837" spans="1:9" ht="20.25">
      <c r="A1837" s="163"/>
      <c r="B1837" s="318"/>
      <c r="C1837" s="792"/>
      <c r="D1837" s="262"/>
      <c r="E1837" s="947"/>
      <c r="F1837" s="948">
        <f>SUM(F1816:F1836)</f>
        <v>22150000</v>
      </c>
      <c r="G1837" s="949"/>
      <c r="H1837" s="950">
        <f>SUM(H1816:H1836)</f>
        <v>1090500</v>
      </c>
      <c r="I1837" s="1172"/>
    </row>
    <row r="1838" spans="1:9" ht="26.25">
      <c r="A1838" s="1645"/>
      <c r="B1838" s="1645"/>
      <c r="C1838" s="1645"/>
      <c r="D1838" s="1645"/>
      <c r="E1838" s="1645"/>
      <c r="F1838" s="1645"/>
      <c r="G1838" s="1645"/>
      <c r="H1838" s="1645"/>
    </row>
    <row r="1839" spans="1:9" ht="26.25">
      <c r="A1839" s="797"/>
      <c r="B1839" s="797"/>
      <c r="C1839" s="797"/>
      <c r="D1839" s="797"/>
      <c r="E1839" s="797"/>
      <c r="F1839" s="797"/>
      <c r="G1839" s="797"/>
      <c r="H1839" s="797"/>
    </row>
    <row r="1840" spans="1:9" ht="26.25">
      <c r="A1840" s="1640" t="s">
        <v>1777</v>
      </c>
      <c r="B1840" s="1640"/>
      <c r="C1840" s="1640"/>
      <c r="D1840" s="1641"/>
      <c r="E1840" s="1640"/>
      <c r="F1840" s="1640"/>
      <c r="G1840" s="1640"/>
      <c r="H1840" s="1642"/>
      <c r="I1840" s="1172"/>
    </row>
    <row r="1841" spans="1:9" ht="30.75">
      <c r="A1841" s="45" t="s">
        <v>1463</v>
      </c>
      <c r="B1841" s="646" t="s">
        <v>1497</v>
      </c>
      <c r="C1841" s="1300" t="s">
        <v>1465</v>
      </c>
      <c r="D1841" s="87" t="s">
        <v>5</v>
      </c>
      <c r="E1841" s="732" t="s">
        <v>1466</v>
      </c>
      <c r="F1841" s="48" t="s">
        <v>1467</v>
      </c>
      <c r="G1841" s="48" t="s">
        <v>7</v>
      </c>
      <c r="H1841" s="62" t="s">
        <v>1468</v>
      </c>
      <c r="I1841" s="1173" t="s">
        <v>1624</v>
      </c>
    </row>
    <row r="1842" spans="1:9" ht="18.75">
      <c r="A1842" s="241">
        <v>14345</v>
      </c>
      <c r="B1842" s="233">
        <v>0.1</v>
      </c>
      <c r="C1842" s="891">
        <v>12</v>
      </c>
      <c r="D1842" s="243" t="s">
        <v>1120</v>
      </c>
      <c r="E1842" s="581"/>
      <c r="F1842" s="558">
        <v>1150000</v>
      </c>
      <c r="G1842" s="478">
        <v>0.05</v>
      </c>
      <c r="H1842" s="1254">
        <f>F1842*G1842</f>
        <v>57500</v>
      </c>
      <c r="I1842" s="1175" t="s">
        <v>1625</v>
      </c>
    </row>
    <row r="1843" spans="1:9" ht="18.75">
      <c r="A1843" s="241">
        <v>14354</v>
      </c>
      <c r="B1843" s="233">
        <v>0.1</v>
      </c>
      <c r="C1843" s="770">
        <v>12</v>
      </c>
      <c r="D1843" s="243" t="s">
        <v>1778</v>
      </c>
      <c r="E1843" s="1263"/>
      <c r="F1843" s="558">
        <v>1500000</v>
      </c>
      <c r="G1843" s="478">
        <v>0.05</v>
      </c>
      <c r="H1843" s="1254">
        <f t="shared" ref="H1843:H1862" si="60">F1843*G1843</f>
        <v>75000</v>
      </c>
      <c r="I1843" s="1175" t="s">
        <v>1625</v>
      </c>
    </row>
    <row r="1844" spans="1:9" ht="18.75">
      <c r="A1844" s="241">
        <v>14348</v>
      </c>
      <c r="B1844" s="233">
        <v>0.1</v>
      </c>
      <c r="C1844" s="891">
        <v>12</v>
      </c>
      <c r="D1844" s="136" t="s">
        <v>1155</v>
      </c>
      <c r="E1844" s="581"/>
      <c r="F1844" s="558">
        <v>1100000</v>
      </c>
      <c r="G1844" s="138">
        <v>0.05</v>
      </c>
      <c r="H1844" s="1254">
        <f t="shared" si="60"/>
        <v>55000</v>
      </c>
      <c r="I1844" s="1175" t="s">
        <v>1625</v>
      </c>
    </row>
    <row r="1845" spans="1:9" ht="18.75">
      <c r="A1845" s="241">
        <v>14366</v>
      </c>
      <c r="B1845" s="233">
        <v>0.1</v>
      </c>
      <c r="C1845" s="891">
        <v>12</v>
      </c>
      <c r="D1845" s="136" t="s">
        <v>1101</v>
      </c>
      <c r="E1845" s="581"/>
      <c r="F1845" s="558">
        <v>1500000</v>
      </c>
      <c r="G1845" s="478">
        <v>0.05</v>
      </c>
      <c r="H1845" s="1254">
        <f t="shared" si="60"/>
        <v>75000</v>
      </c>
      <c r="I1845" s="1175" t="s">
        <v>1625</v>
      </c>
    </row>
    <row r="1846" spans="1:9" ht="18.75">
      <c r="A1846" s="241">
        <v>14382</v>
      </c>
      <c r="B1846" s="233">
        <v>0.1</v>
      </c>
      <c r="C1846" s="891">
        <v>12</v>
      </c>
      <c r="D1846" s="1024" t="s">
        <v>1149</v>
      </c>
      <c r="E1846" s="581"/>
      <c r="F1846" s="558">
        <v>1200000</v>
      </c>
      <c r="G1846" s="478">
        <v>0.05</v>
      </c>
      <c r="H1846" s="1254">
        <f t="shared" si="60"/>
        <v>60000</v>
      </c>
      <c r="I1846" s="1175" t="s">
        <v>1625</v>
      </c>
    </row>
    <row r="1847" spans="1:9" ht="18.75">
      <c r="A1847" s="241">
        <v>14437</v>
      </c>
      <c r="B1847" s="233">
        <v>0.1</v>
      </c>
      <c r="C1847" s="891">
        <v>12</v>
      </c>
      <c r="D1847" s="1057" t="s">
        <v>1779</v>
      </c>
      <c r="E1847" s="581"/>
      <c r="F1847" s="558">
        <v>1400000</v>
      </c>
      <c r="G1847" s="478">
        <v>0.05</v>
      </c>
      <c r="H1847" s="1254">
        <f t="shared" si="60"/>
        <v>70000</v>
      </c>
      <c r="I1847" s="1175" t="s">
        <v>1625</v>
      </c>
    </row>
    <row r="1848" spans="1:9" ht="18.75">
      <c r="A1848" s="241">
        <v>14427</v>
      </c>
      <c r="B1848" s="233">
        <v>0.1</v>
      </c>
      <c r="C1848" s="891">
        <v>12</v>
      </c>
      <c r="D1848" s="1057" t="s">
        <v>1150</v>
      </c>
      <c r="E1848" s="581"/>
      <c r="F1848" s="558">
        <v>1500000</v>
      </c>
      <c r="G1848" s="478">
        <v>0.05</v>
      </c>
      <c r="H1848" s="1254">
        <f t="shared" si="60"/>
        <v>75000</v>
      </c>
      <c r="I1848" s="1175" t="s">
        <v>1625</v>
      </c>
    </row>
    <row r="1849" spans="1:9" ht="18.75">
      <c r="A1849" s="241">
        <v>14464</v>
      </c>
      <c r="B1849" s="233">
        <v>0.1</v>
      </c>
      <c r="C1849" s="891">
        <v>12</v>
      </c>
      <c r="D1849" s="1057" t="s">
        <v>1780</v>
      </c>
      <c r="E1849" s="581"/>
      <c r="F1849" s="558">
        <v>1700000</v>
      </c>
      <c r="G1849" s="478">
        <v>0.05</v>
      </c>
      <c r="H1849" s="1254">
        <f t="shared" si="60"/>
        <v>85000</v>
      </c>
      <c r="I1849" s="1175" t="s">
        <v>1625</v>
      </c>
    </row>
    <row r="1850" spans="1:9" ht="18.75">
      <c r="A1850" s="241">
        <v>14429</v>
      </c>
      <c r="B1850" s="331">
        <v>0.08</v>
      </c>
      <c r="C1850" s="891">
        <v>12</v>
      </c>
      <c r="D1850" s="1057" t="s">
        <v>1121</v>
      </c>
      <c r="E1850" s="581"/>
      <c r="F1850" s="558">
        <v>1650000</v>
      </c>
      <c r="G1850" s="140">
        <v>0.04</v>
      </c>
      <c r="H1850" s="1254">
        <f t="shared" si="60"/>
        <v>66000</v>
      </c>
      <c r="I1850" s="1175" t="s">
        <v>1625</v>
      </c>
    </row>
    <row r="1851" spans="1:9" ht="18.75">
      <c r="A1851" s="241">
        <v>14452</v>
      </c>
      <c r="B1851" s="233">
        <v>0.1</v>
      </c>
      <c r="C1851" s="891">
        <v>12</v>
      </c>
      <c r="D1851" s="1057" t="s">
        <v>370</v>
      </c>
      <c r="E1851" s="581"/>
      <c r="F1851" s="558">
        <v>1200000</v>
      </c>
      <c r="G1851" s="478">
        <v>0.05</v>
      </c>
      <c r="H1851" s="1254">
        <f t="shared" si="60"/>
        <v>60000</v>
      </c>
      <c r="I1851" s="1175" t="s">
        <v>1625</v>
      </c>
    </row>
    <row r="1852" spans="1:9" ht="18.75">
      <c r="A1852" s="241">
        <v>14477</v>
      </c>
      <c r="B1852" s="233">
        <v>0.1</v>
      </c>
      <c r="C1852" s="891">
        <v>12</v>
      </c>
      <c r="D1852" s="243" t="s">
        <v>1127</v>
      </c>
      <c r="E1852" s="581"/>
      <c r="F1852" s="558">
        <v>2300000</v>
      </c>
      <c r="G1852" s="478">
        <v>0.05</v>
      </c>
      <c r="H1852" s="1254">
        <f t="shared" si="60"/>
        <v>115000</v>
      </c>
      <c r="I1852" s="1175" t="s">
        <v>1625</v>
      </c>
    </row>
    <row r="1853" spans="1:9" ht="18.75">
      <c r="A1853" s="241">
        <v>14479</v>
      </c>
      <c r="B1853" s="233">
        <v>0.1</v>
      </c>
      <c r="C1853" s="891">
        <v>12</v>
      </c>
      <c r="D1853" s="1232" t="s">
        <v>1111</v>
      </c>
      <c r="E1853" s="581"/>
      <c r="F1853" s="558">
        <v>1200000</v>
      </c>
      <c r="G1853" s="478">
        <v>0.05</v>
      </c>
      <c r="H1853" s="1254">
        <f t="shared" si="60"/>
        <v>60000</v>
      </c>
      <c r="I1853" s="1175" t="s">
        <v>1625</v>
      </c>
    </row>
    <row r="1854" spans="1:9" ht="18.75">
      <c r="A1854" s="241">
        <v>14520</v>
      </c>
      <c r="B1854" s="233">
        <v>0.1</v>
      </c>
      <c r="C1854" s="891">
        <v>12</v>
      </c>
      <c r="D1854" s="243" t="s">
        <v>1112</v>
      </c>
      <c r="E1854" s="581"/>
      <c r="F1854" s="558">
        <v>1900000</v>
      </c>
      <c r="G1854" s="478">
        <v>0.05</v>
      </c>
      <c r="H1854" s="1254">
        <f t="shared" si="60"/>
        <v>95000</v>
      </c>
      <c r="I1854" s="1175" t="s">
        <v>1625</v>
      </c>
    </row>
    <row r="1855" spans="1:9" ht="18.75">
      <c r="A1855" s="241">
        <v>14535</v>
      </c>
      <c r="B1855" s="233">
        <v>0.1</v>
      </c>
      <c r="C1855" s="891">
        <v>12</v>
      </c>
      <c r="D1855" s="1057" t="s">
        <v>1152</v>
      </c>
      <c r="E1855" s="581"/>
      <c r="F1855" s="558">
        <v>1400000</v>
      </c>
      <c r="G1855" s="478">
        <v>0.05</v>
      </c>
      <c r="H1855" s="1254">
        <f t="shared" si="60"/>
        <v>70000</v>
      </c>
      <c r="I1855" s="1175" t="s">
        <v>1625</v>
      </c>
    </row>
    <row r="1856" spans="1:9" ht="18.75">
      <c r="A1856" s="241">
        <v>14567</v>
      </c>
      <c r="B1856" s="233">
        <v>0.1</v>
      </c>
      <c r="C1856" s="891">
        <v>12</v>
      </c>
      <c r="D1856" s="1057" t="s">
        <v>1781</v>
      </c>
      <c r="E1856" s="581"/>
      <c r="F1856" s="558">
        <v>2200000</v>
      </c>
      <c r="G1856" s="478">
        <v>0.05</v>
      </c>
      <c r="H1856" s="1254">
        <f t="shared" si="60"/>
        <v>110000</v>
      </c>
      <c r="I1856" s="1175" t="s">
        <v>1625</v>
      </c>
    </row>
    <row r="1857" spans="1:9" ht="18.75">
      <c r="A1857" s="241">
        <v>14601</v>
      </c>
      <c r="B1857" s="233">
        <v>0.1</v>
      </c>
      <c r="C1857" s="891">
        <v>12</v>
      </c>
      <c r="D1857" s="243" t="s">
        <v>1114</v>
      </c>
      <c r="E1857" s="581"/>
      <c r="F1857" s="558">
        <v>1500000</v>
      </c>
      <c r="G1857" s="478">
        <v>0.05</v>
      </c>
      <c r="H1857" s="1254">
        <f t="shared" si="60"/>
        <v>75000</v>
      </c>
      <c r="I1857" s="1175" t="s">
        <v>1625</v>
      </c>
    </row>
    <row r="1858" spans="1:9" ht="18.75">
      <c r="A1858" s="241">
        <v>14538</v>
      </c>
      <c r="B1858" s="233">
        <v>0.1</v>
      </c>
      <c r="C1858" s="891">
        <v>12</v>
      </c>
      <c r="D1858" s="243" t="s">
        <v>1782</v>
      </c>
      <c r="E1858" s="581"/>
      <c r="F1858" s="558">
        <v>1600000</v>
      </c>
      <c r="G1858" s="478">
        <v>0.05</v>
      </c>
      <c r="H1858" s="1254">
        <f t="shared" si="60"/>
        <v>80000</v>
      </c>
      <c r="I1858" s="1175" t="s">
        <v>1625</v>
      </c>
    </row>
    <row r="1859" spans="1:9" ht="18.75">
      <c r="A1859" s="241">
        <v>14554</v>
      </c>
      <c r="B1859" s="233">
        <v>0.1</v>
      </c>
      <c r="C1859" s="891">
        <v>12</v>
      </c>
      <c r="D1859" s="243" t="s">
        <v>1161</v>
      </c>
      <c r="E1859" s="581"/>
      <c r="F1859" s="558">
        <v>1450000</v>
      </c>
      <c r="G1859" s="478">
        <v>0.05</v>
      </c>
      <c r="H1859" s="1254">
        <f t="shared" si="60"/>
        <v>72500</v>
      </c>
      <c r="I1859" s="1175" t="s">
        <v>1625</v>
      </c>
    </row>
    <row r="1860" spans="1:9" ht="18.75">
      <c r="A1860" s="241">
        <v>14568</v>
      </c>
      <c r="B1860" s="233">
        <v>0.1</v>
      </c>
      <c r="C1860" s="891">
        <v>12</v>
      </c>
      <c r="D1860" s="1057" t="s">
        <v>1783</v>
      </c>
      <c r="E1860" s="581"/>
      <c r="F1860" s="558">
        <v>1200000</v>
      </c>
      <c r="G1860" s="478">
        <v>0.05</v>
      </c>
      <c r="H1860" s="1254">
        <f t="shared" si="60"/>
        <v>60000</v>
      </c>
      <c r="I1860" s="1175" t="s">
        <v>1625</v>
      </c>
    </row>
    <row r="1861" spans="1:9" ht="18.75">
      <c r="A1861" s="241">
        <v>14598</v>
      </c>
      <c r="B1861" s="331">
        <v>0.08</v>
      </c>
      <c r="C1861" s="891">
        <v>12</v>
      </c>
      <c r="D1861" s="1057" t="s">
        <v>1144</v>
      </c>
      <c r="E1861" s="581"/>
      <c r="F1861" s="558">
        <v>900000</v>
      </c>
      <c r="G1861" s="140">
        <v>0.04</v>
      </c>
      <c r="H1861" s="1254">
        <f t="shared" si="60"/>
        <v>36000</v>
      </c>
      <c r="I1861" s="1175" t="s">
        <v>1625</v>
      </c>
    </row>
    <row r="1862" spans="1:9" ht="18.75">
      <c r="A1862" s="241">
        <v>14605</v>
      </c>
      <c r="B1862" s="233">
        <v>0.1</v>
      </c>
      <c r="C1862" s="891">
        <v>12</v>
      </c>
      <c r="D1862" s="1057" t="s">
        <v>1784</v>
      </c>
      <c r="E1862" s="581"/>
      <c r="F1862" s="558">
        <v>1550000</v>
      </c>
      <c r="G1862" s="478">
        <v>0.05</v>
      </c>
      <c r="H1862" s="1254">
        <f t="shared" si="60"/>
        <v>77500</v>
      </c>
      <c r="I1862" s="1175" t="s">
        <v>1625</v>
      </c>
    </row>
    <row r="1863" spans="1:9" ht="18.75">
      <c r="A1863" s="209" t="s">
        <v>297</v>
      </c>
      <c r="B1863" s="267"/>
      <c r="C1863" s="1225"/>
      <c r="D1863" s="1345" t="s">
        <v>1165</v>
      </c>
      <c r="E1863" s="567" t="s">
        <v>1167</v>
      </c>
      <c r="F1863" s="889"/>
      <c r="G1863" s="348"/>
      <c r="H1863" s="885"/>
      <c r="I1863" s="1175"/>
    </row>
    <row r="1864" spans="1:9" ht="18.75">
      <c r="A1864" s="211" t="s">
        <v>297</v>
      </c>
      <c r="B1864" s="645"/>
      <c r="C1864" s="814"/>
      <c r="D1864" s="277" t="s">
        <v>1135</v>
      </c>
      <c r="E1864" s="567" t="s">
        <v>1785</v>
      </c>
      <c r="F1864" s="889"/>
      <c r="G1864" s="220"/>
      <c r="H1864" s="883"/>
      <c r="I1864" s="1175"/>
    </row>
    <row r="1865" spans="1:9" ht="18.75">
      <c r="A1865" s="211" t="s">
        <v>297</v>
      </c>
      <c r="B1865" s="267"/>
      <c r="C1865" s="1225"/>
      <c r="D1865" s="1345" t="s">
        <v>1119</v>
      </c>
      <c r="E1865" s="567" t="s">
        <v>1786</v>
      </c>
      <c r="F1865" s="889"/>
      <c r="G1865" s="348"/>
      <c r="H1865" s="885"/>
      <c r="I1865" s="1175"/>
    </row>
    <row r="1866" spans="1:9" ht="18.75">
      <c r="A1866" s="211" t="s">
        <v>297</v>
      </c>
      <c r="B1866" s="267"/>
      <c r="C1866" s="1225"/>
      <c r="D1866" s="277" t="s">
        <v>1787</v>
      </c>
      <c r="E1866" s="567" t="s">
        <v>1788</v>
      </c>
      <c r="F1866" s="889"/>
      <c r="G1866" s="348"/>
      <c r="H1866" s="885"/>
      <c r="I1866" s="1175"/>
    </row>
    <row r="1867" spans="1:9" ht="18.75">
      <c r="A1867" s="211" t="s">
        <v>297</v>
      </c>
      <c r="B1867" s="267"/>
      <c r="C1867" s="1225"/>
      <c r="D1867" s="1345" t="s">
        <v>1789</v>
      </c>
      <c r="E1867" s="567" t="s">
        <v>1134</v>
      </c>
      <c r="F1867" s="889"/>
      <c r="G1867" s="348"/>
      <c r="H1867" s="885"/>
      <c r="I1867" s="1175"/>
    </row>
    <row r="1868" spans="1:9" ht="20.25">
      <c r="A1868" s="163"/>
      <c r="B1868" s="318"/>
      <c r="C1868" s="1131"/>
      <c r="D1868" s="266"/>
      <c r="E1868" s="947"/>
      <c r="F1868" s="948">
        <f>SUM(F1842:F1867)</f>
        <v>31100000</v>
      </c>
      <c r="G1868" s="1088"/>
      <c r="H1868" s="950">
        <f>SUM(H1842:H1867)</f>
        <v>1529500</v>
      </c>
      <c r="I1868" s="1172"/>
    </row>
    <row r="1869" spans="1:9" ht="18.75">
      <c r="A1869" s="1646"/>
      <c r="B1869" s="1646"/>
      <c r="C1869" s="1646"/>
      <c r="D1869" s="1646"/>
      <c r="E1869" s="1646"/>
      <c r="F1869" s="1646"/>
      <c r="G1869" s="1646"/>
      <c r="H1869" s="1646"/>
    </row>
    <row r="1870" spans="1:9" ht="18.75">
      <c r="A1870" s="1647"/>
      <c r="B1870" s="1647"/>
      <c r="C1870" s="1647"/>
      <c r="D1870" s="1647"/>
      <c r="E1870" s="1647"/>
      <c r="F1870" s="1647"/>
      <c r="G1870" s="1647"/>
      <c r="H1870" s="1647"/>
    </row>
    <row r="1871" spans="1:9" ht="26.25">
      <c r="A1871" s="1641" t="s">
        <v>1790</v>
      </c>
      <c r="B1871" s="1640"/>
      <c r="C1871" s="1640"/>
      <c r="D1871" s="1640"/>
      <c r="E1871" s="1640"/>
      <c r="F1871" s="1640"/>
      <c r="G1871" s="1640"/>
      <c r="H1871" s="1642"/>
      <c r="I1871" s="1172"/>
    </row>
    <row r="1872" spans="1:9" ht="30.75">
      <c r="A1872" s="87" t="s">
        <v>1463</v>
      </c>
      <c r="B1872" s="1299" t="s">
        <v>1497</v>
      </c>
      <c r="C1872" s="251" t="s">
        <v>1465</v>
      </c>
      <c r="D1872" s="647" t="s">
        <v>5</v>
      </c>
      <c r="E1872" s="47" t="s">
        <v>1466</v>
      </c>
      <c r="F1872" s="48" t="s">
        <v>1467</v>
      </c>
      <c r="G1872" s="48" t="s">
        <v>7</v>
      </c>
      <c r="H1872" s="62" t="s">
        <v>1468</v>
      </c>
      <c r="I1872" s="1173" t="s">
        <v>1624</v>
      </c>
    </row>
    <row r="1873" spans="1:9" ht="18.75">
      <c r="A1873" s="241">
        <v>14351</v>
      </c>
      <c r="B1873" s="331">
        <v>0.09</v>
      </c>
      <c r="C1873" s="891">
        <v>12</v>
      </c>
      <c r="D1873" s="1057" t="s">
        <v>1125</v>
      </c>
      <c r="E1873" s="581"/>
      <c r="F1873" s="558">
        <v>1200000</v>
      </c>
      <c r="G1873" s="140">
        <v>0.04</v>
      </c>
      <c r="H1873" s="882">
        <f>F1873*G1873</f>
        <v>48000</v>
      </c>
      <c r="I1873" s="1175" t="s">
        <v>1625</v>
      </c>
    </row>
    <row r="1874" spans="1:9" ht="18.75">
      <c r="A1874" s="241">
        <v>14342</v>
      </c>
      <c r="B1874" s="233">
        <v>0.1</v>
      </c>
      <c r="C1874" s="891">
        <v>12</v>
      </c>
      <c r="D1874" s="259" t="s">
        <v>1791</v>
      </c>
      <c r="E1874" s="581"/>
      <c r="F1874" s="558">
        <v>1600000</v>
      </c>
      <c r="G1874" s="138">
        <v>0.05</v>
      </c>
      <c r="H1874" s="882">
        <f t="shared" ref="H1874:H1893" si="61">F1874*G1874</f>
        <v>80000</v>
      </c>
      <c r="I1874" s="1175" t="s">
        <v>1625</v>
      </c>
    </row>
    <row r="1875" spans="1:9" ht="18.75">
      <c r="A1875" s="241">
        <v>14369</v>
      </c>
      <c r="B1875" s="233">
        <v>0.1</v>
      </c>
      <c r="C1875" s="891">
        <v>12</v>
      </c>
      <c r="D1875" s="259" t="s">
        <v>1124</v>
      </c>
      <c r="E1875" s="581"/>
      <c r="F1875" s="558">
        <v>1350000</v>
      </c>
      <c r="G1875" s="138">
        <v>0.05</v>
      </c>
      <c r="H1875" s="882">
        <f t="shared" si="61"/>
        <v>67500</v>
      </c>
      <c r="I1875" s="1175" t="s">
        <v>1625</v>
      </c>
    </row>
    <row r="1876" spans="1:9" ht="18.75">
      <c r="A1876" s="241">
        <v>14365</v>
      </c>
      <c r="B1876" s="233">
        <v>0.1</v>
      </c>
      <c r="C1876" s="891">
        <v>12</v>
      </c>
      <c r="D1876" s="1024" t="s">
        <v>1103</v>
      </c>
      <c r="E1876" s="581"/>
      <c r="F1876" s="558">
        <v>520000</v>
      </c>
      <c r="G1876" s="138">
        <v>0.05</v>
      </c>
      <c r="H1876" s="882">
        <f t="shared" si="61"/>
        <v>26000</v>
      </c>
      <c r="I1876" s="1175" t="s">
        <v>1625</v>
      </c>
    </row>
    <row r="1877" spans="1:9" ht="18.75">
      <c r="A1877" s="241">
        <v>14380</v>
      </c>
      <c r="B1877" s="233">
        <v>0.1</v>
      </c>
      <c r="C1877" s="891">
        <v>12</v>
      </c>
      <c r="D1877" s="1024" t="s">
        <v>1105</v>
      </c>
      <c r="E1877" s="581"/>
      <c r="F1877" s="558">
        <v>800000</v>
      </c>
      <c r="G1877" s="138">
        <v>0.05</v>
      </c>
      <c r="H1877" s="882">
        <f t="shared" si="61"/>
        <v>40000</v>
      </c>
      <c r="I1877" s="1175" t="s">
        <v>1625</v>
      </c>
    </row>
    <row r="1878" spans="1:9" ht="18.75">
      <c r="A1878" s="241">
        <v>14387</v>
      </c>
      <c r="B1878" s="233">
        <v>0.1</v>
      </c>
      <c r="C1878" s="891">
        <v>12</v>
      </c>
      <c r="D1878" s="259" t="s">
        <v>1141</v>
      </c>
      <c r="E1878" s="581"/>
      <c r="F1878" s="558">
        <v>1200000</v>
      </c>
      <c r="G1878" s="138">
        <v>0.05</v>
      </c>
      <c r="H1878" s="882">
        <f t="shared" si="61"/>
        <v>60000</v>
      </c>
      <c r="I1878" s="1175" t="s">
        <v>1625</v>
      </c>
    </row>
    <row r="1879" spans="1:9" ht="18.75">
      <c r="A1879" s="241">
        <v>14384</v>
      </c>
      <c r="B1879" s="233">
        <v>0.1</v>
      </c>
      <c r="C1879" s="891">
        <v>12</v>
      </c>
      <c r="D1879" s="259" t="s">
        <v>1126</v>
      </c>
      <c r="E1879" s="581"/>
      <c r="F1879" s="558">
        <v>1200000</v>
      </c>
      <c r="G1879" s="138">
        <v>0.05</v>
      </c>
      <c r="H1879" s="882">
        <f t="shared" si="61"/>
        <v>60000</v>
      </c>
      <c r="I1879" s="1175" t="s">
        <v>1625</v>
      </c>
    </row>
    <row r="1880" spans="1:9" ht="18.75">
      <c r="A1880" s="241">
        <v>14409</v>
      </c>
      <c r="B1880" s="233">
        <v>0.1</v>
      </c>
      <c r="C1880" s="891">
        <v>12</v>
      </c>
      <c r="D1880" s="1057" t="s">
        <v>1168</v>
      </c>
      <c r="E1880" s="581"/>
      <c r="F1880" s="558">
        <v>850000</v>
      </c>
      <c r="G1880" s="138">
        <v>0.05</v>
      </c>
      <c r="H1880" s="882">
        <f t="shared" si="61"/>
        <v>42500</v>
      </c>
      <c r="I1880" s="1175" t="s">
        <v>1625</v>
      </c>
    </row>
    <row r="1881" spans="1:9" ht="18.75">
      <c r="A1881" s="241">
        <v>14407</v>
      </c>
      <c r="B1881" s="233">
        <v>0.1</v>
      </c>
      <c r="C1881" s="891">
        <v>12</v>
      </c>
      <c r="D1881" s="259" t="s">
        <v>1792</v>
      </c>
      <c r="E1881" s="581"/>
      <c r="F1881" s="558">
        <v>750000</v>
      </c>
      <c r="G1881" s="138">
        <v>0.05</v>
      </c>
      <c r="H1881" s="882">
        <f t="shared" si="61"/>
        <v>37500</v>
      </c>
      <c r="I1881" s="1175" t="s">
        <v>1625</v>
      </c>
    </row>
    <row r="1882" spans="1:9" ht="18.75">
      <c r="A1882" s="241">
        <v>14381</v>
      </c>
      <c r="B1882" s="233">
        <v>0.1</v>
      </c>
      <c r="C1882" s="891">
        <v>12</v>
      </c>
      <c r="D1882" s="137" t="s">
        <v>1100</v>
      </c>
      <c r="E1882" s="581"/>
      <c r="F1882" s="558">
        <v>1600000</v>
      </c>
      <c r="G1882" s="478">
        <v>0.05</v>
      </c>
      <c r="H1882" s="882">
        <f t="shared" si="61"/>
        <v>80000</v>
      </c>
      <c r="I1882" s="1175" t="s">
        <v>1625</v>
      </c>
    </row>
    <row r="1883" spans="1:9" ht="18.75">
      <c r="A1883" s="241">
        <v>14467</v>
      </c>
      <c r="B1883" s="331">
        <v>0.08</v>
      </c>
      <c r="C1883" s="891">
        <v>12</v>
      </c>
      <c r="D1883" s="1232" t="s">
        <v>1108</v>
      </c>
      <c r="E1883" s="581"/>
      <c r="F1883" s="558">
        <v>1400000</v>
      </c>
      <c r="G1883" s="140">
        <v>0.04</v>
      </c>
      <c r="H1883" s="882">
        <f t="shared" si="61"/>
        <v>56000</v>
      </c>
      <c r="I1883" s="1175" t="s">
        <v>1625</v>
      </c>
    </row>
    <row r="1884" spans="1:9" ht="18.75">
      <c r="A1884" s="241">
        <v>14488</v>
      </c>
      <c r="B1884" s="233">
        <v>0.1</v>
      </c>
      <c r="C1884" s="891">
        <v>12</v>
      </c>
      <c r="D1884" s="1232" t="s">
        <v>1793</v>
      </c>
      <c r="E1884" s="581"/>
      <c r="F1884" s="558">
        <v>1700000</v>
      </c>
      <c r="G1884" s="478">
        <v>0.05</v>
      </c>
      <c r="H1884" s="882">
        <f t="shared" si="61"/>
        <v>85000</v>
      </c>
      <c r="I1884" s="1175" t="s">
        <v>1625</v>
      </c>
    </row>
    <row r="1885" spans="1:9" ht="18.75">
      <c r="A1885" s="241">
        <v>14503</v>
      </c>
      <c r="B1885" s="233">
        <v>0.1</v>
      </c>
      <c r="C1885" s="891">
        <v>12</v>
      </c>
      <c r="D1885" s="1232" t="s">
        <v>364</v>
      </c>
      <c r="E1885" s="581"/>
      <c r="F1885" s="558">
        <v>850000</v>
      </c>
      <c r="G1885" s="478">
        <v>0.05</v>
      </c>
      <c r="H1885" s="882">
        <f t="shared" si="61"/>
        <v>42500</v>
      </c>
      <c r="I1885" s="1175" t="s">
        <v>1625</v>
      </c>
    </row>
    <row r="1886" spans="1:9" ht="18.75">
      <c r="A1886" s="241">
        <v>14482</v>
      </c>
      <c r="B1886" s="233">
        <v>0.1</v>
      </c>
      <c r="C1886" s="891">
        <v>12</v>
      </c>
      <c r="D1886" s="243" t="s">
        <v>1142</v>
      </c>
      <c r="E1886" s="581" t="s">
        <v>1794</v>
      </c>
      <c r="F1886" s="558">
        <v>2700000</v>
      </c>
      <c r="G1886" s="478">
        <v>0.05</v>
      </c>
      <c r="H1886" s="882">
        <f t="shared" si="61"/>
        <v>135000</v>
      </c>
      <c r="I1886" s="1175" t="s">
        <v>1625</v>
      </c>
    </row>
    <row r="1887" spans="1:9" ht="18.75">
      <c r="A1887" s="241">
        <v>14553</v>
      </c>
      <c r="B1887" s="233">
        <v>0.1</v>
      </c>
      <c r="C1887" s="891">
        <v>12</v>
      </c>
      <c r="D1887" s="243" t="s">
        <v>1160</v>
      </c>
      <c r="E1887" s="581"/>
      <c r="F1887" s="558">
        <v>1350000</v>
      </c>
      <c r="G1887" s="478">
        <v>0.05</v>
      </c>
      <c r="H1887" s="882">
        <f t="shared" si="61"/>
        <v>67500</v>
      </c>
      <c r="I1887" s="1175" t="s">
        <v>1625</v>
      </c>
    </row>
    <row r="1888" spans="1:9" ht="18.75">
      <c r="A1888" s="241">
        <v>14571</v>
      </c>
      <c r="B1888" s="233">
        <v>0.1</v>
      </c>
      <c r="C1888" s="891">
        <v>12</v>
      </c>
      <c r="D1888" s="243" t="s">
        <v>1140</v>
      </c>
      <c r="E1888" s="581"/>
      <c r="F1888" s="558">
        <v>1200000</v>
      </c>
      <c r="G1888" s="478">
        <v>0.05</v>
      </c>
      <c r="H1888" s="882">
        <f t="shared" si="61"/>
        <v>60000</v>
      </c>
      <c r="I1888" s="1175" t="s">
        <v>1625</v>
      </c>
    </row>
    <row r="1889" spans="1:9" ht="18.75">
      <c r="A1889" s="241">
        <v>14603</v>
      </c>
      <c r="B1889" s="233">
        <v>0.1</v>
      </c>
      <c r="C1889" s="891">
        <v>12</v>
      </c>
      <c r="D1889" s="243" t="s">
        <v>1143</v>
      </c>
      <c r="E1889" s="581"/>
      <c r="F1889" s="558">
        <v>1150000</v>
      </c>
      <c r="G1889" s="478">
        <v>0.05</v>
      </c>
      <c r="H1889" s="882">
        <f t="shared" si="61"/>
        <v>57500</v>
      </c>
      <c r="I1889" s="1175" t="s">
        <v>1625</v>
      </c>
    </row>
    <row r="1890" spans="1:9" ht="18.75">
      <c r="A1890" s="241">
        <v>14606</v>
      </c>
      <c r="B1890" s="233">
        <v>0.1</v>
      </c>
      <c r="C1890" s="891">
        <v>12</v>
      </c>
      <c r="D1890" s="243" t="s">
        <v>1130</v>
      </c>
      <c r="E1890" s="581"/>
      <c r="F1890" s="558">
        <v>1100000</v>
      </c>
      <c r="G1890" s="478">
        <v>0.05</v>
      </c>
      <c r="H1890" s="882">
        <f t="shared" si="61"/>
        <v>55000</v>
      </c>
      <c r="I1890" s="1175" t="s">
        <v>1625</v>
      </c>
    </row>
    <row r="1891" spans="1:9" ht="18.75">
      <c r="A1891" s="241">
        <v>14583</v>
      </c>
      <c r="B1891" s="331">
        <v>0.08</v>
      </c>
      <c r="C1891" s="891">
        <v>12</v>
      </c>
      <c r="D1891" s="243" t="s">
        <v>1163</v>
      </c>
      <c r="E1891" s="581"/>
      <c r="F1891" s="558">
        <v>1350000</v>
      </c>
      <c r="G1891" s="140">
        <v>0.04</v>
      </c>
      <c r="H1891" s="882">
        <f t="shared" si="61"/>
        <v>54000</v>
      </c>
      <c r="I1891" s="1175" t="s">
        <v>1625</v>
      </c>
    </row>
    <row r="1892" spans="1:9" ht="18.75">
      <c r="A1892" s="241">
        <v>14609</v>
      </c>
      <c r="B1892" s="233">
        <v>0.1</v>
      </c>
      <c r="C1892" s="891">
        <v>12</v>
      </c>
      <c r="D1892" s="243" t="s">
        <v>1771</v>
      </c>
      <c r="E1892" s="581"/>
      <c r="F1892" s="558">
        <v>1650000</v>
      </c>
      <c r="G1892" s="478">
        <v>0.05</v>
      </c>
      <c r="H1892" s="882">
        <f t="shared" si="61"/>
        <v>82500</v>
      </c>
      <c r="I1892" s="1175" t="s">
        <v>1625</v>
      </c>
    </row>
    <row r="1893" spans="1:9" ht="18.75">
      <c r="A1893" s="241">
        <v>14604</v>
      </c>
      <c r="B1893" s="233">
        <v>0.1</v>
      </c>
      <c r="C1893" s="891">
        <v>12</v>
      </c>
      <c r="D1893" s="243" t="s">
        <v>1164</v>
      </c>
      <c r="E1893" s="581"/>
      <c r="F1893" s="558">
        <v>1350000</v>
      </c>
      <c r="G1893" s="478">
        <v>0.05</v>
      </c>
      <c r="H1893" s="882">
        <f t="shared" si="61"/>
        <v>67500</v>
      </c>
      <c r="I1893" s="1175" t="s">
        <v>1625</v>
      </c>
    </row>
    <row r="1894" spans="1:9" ht="18.75">
      <c r="A1894" s="209" t="s">
        <v>297</v>
      </c>
      <c r="B1894" s="267">
        <v>0.1</v>
      </c>
      <c r="C1894" s="1225">
        <v>12</v>
      </c>
      <c r="D1894" s="1345" t="s">
        <v>1795</v>
      </c>
      <c r="E1894" s="567" t="s">
        <v>1796</v>
      </c>
      <c r="F1894" s="889"/>
      <c r="G1894" s="220"/>
      <c r="H1894" s="883"/>
      <c r="I1894" s="1175"/>
    </row>
    <row r="1895" spans="1:9" ht="18.75">
      <c r="A1895" s="209" t="s">
        <v>297</v>
      </c>
      <c r="B1895" s="267"/>
      <c r="C1895" s="1225"/>
      <c r="D1895" s="1345" t="s">
        <v>1147</v>
      </c>
      <c r="E1895" s="567" t="s">
        <v>1797</v>
      </c>
      <c r="F1895" s="889"/>
      <c r="G1895" s="220"/>
      <c r="H1895" s="883"/>
      <c r="I1895" s="1175"/>
    </row>
    <row r="1896" spans="1:9" ht="18.75">
      <c r="A1896" s="209" t="s">
        <v>297</v>
      </c>
      <c r="B1896" s="267"/>
      <c r="C1896" s="1225"/>
      <c r="D1896" s="1345" t="s">
        <v>1158</v>
      </c>
      <c r="E1896" s="567" t="s">
        <v>1798</v>
      </c>
      <c r="F1896" s="889"/>
      <c r="G1896" s="220"/>
      <c r="H1896" s="883"/>
      <c r="I1896" s="1175"/>
    </row>
    <row r="1897" spans="1:9" ht="18.75">
      <c r="A1897" s="209" t="s">
        <v>297</v>
      </c>
      <c r="B1897" s="267"/>
      <c r="C1897" s="1225"/>
      <c r="D1897" s="1351" t="s">
        <v>1132</v>
      </c>
      <c r="E1897" s="567" t="s">
        <v>1133</v>
      </c>
      <c r="F1897" s="889"/>
      <c r="G1897" s="220"/>
      <c r="H1897" s="883"/>
      <c r="I1897" s="1175"/>
    </row>
    <row r="1898" spans="1:9" ht="20.25">
      <c r="A1898" s="163"/>
      <c r="B1898" s="318"/>
      <c r="C1898" s="1131"/>
      <c r="D1898" s="266"/>
      <c r="E1898" s="947"/>
      <c r="F1898" s="948">
        <f>SUM(F1873:F1893)</f>
        <v>26870000</v>
      </c>
      <c r="G1898" s="1088"/>
      <c r="H1898" s="950">
        <f>SUM(H1873:H1897)</f>
        <v>1304000</v>
      </c>
      <c r="I1898" s="1172"/>
    </row>
    <row r="1899" spans="1:9" ht="20.25">
      <c r="A1899" s="1290"/>
      <c r="B1899" s="1291"/>
      <c r="C1899" s="1292"/>
      <c r="D1899" s="1293"/>
      <c r="E1899" s="1294"/>
      <c r="F1899" s="1297"/>
      <c r="G1899" s="1330"/>
      <c r="H1899" s="1331"/>
    </row>
    <row r="1900" spans="1:9" ht="20.25">
      <c r="A1900" s="1290"/>
      <c r="B1900" s="1291"/>
      <c r="C1900" s="1292"/>
      <c r="D1900" s="1293"/>
      <c r="E1900" s="1294"/>
      <c r="F1900" s="1297"/>
      <c r="G1900" s="1330"/>
      <c r="H1900" s="1331"/>
    </row>
    <row r="1901" spans="1:9">
      <c r="A1901" s="1648"/>
      <c r="B1901" s="1648"/>
      <c r="C1901" s="1648"/>
      <c r="D1901" s="1648"/>
      <c r="E1901" s="1648"/>
      <c r="F1901" s="1648"/>
      <c r="G1901" s="1648"/>
      <c r="H1901" s="1648"/>
      <c r="I1901" s="1648"/>
    </row>
    <row r="1902" spans="1:9" ht="26.25">
      <c r="A1902" s="1640" t="s">
        <v>1799</v>
      </c>
      <c r="B1902" s="1640"/>
      <c r="C1902" s="1641"/>
      <c r="D1902" s="1640"/>
      <c r="E1902" s="1640"/>
      <c r="F1902" s="1640"/>
      <c r="G1902" s="1640"/>
      <c r="H1902" s="1640"/>
    </row>
    <row r="1903" spans="1:9" ht="30.75">
      <c r="A1903" s="45"/>
      <c r="B1903" s="646" t="s">
        <v>1497</v>
      </c>
      <c r="C1903" s="132" t="s">
        <v>1465</v>
      </c>
      <c r="D1903" s="647" t="s">
        <v>5</v>
      </c>
      <c r="E1903" s="47" t="s">
        <v>1466</v>
      </c>
      <c r="F1903" s="48" t="s">
        <v>1467</v>
      </c>
      <c r="G1903" s="48" t="s">
        <v>7</v>
      </c>
      <c r="H1903" s="48" t="s">
        <v>1468</v>
      </c>
    </row>
    <row r="1904" spans="1:9" ht="18.75">
      <c r="A1904" s="241">
        <v>14344</v>
      </c>
      <c r="B1904" s="233">
        <v>0.1</v>
      </c>
      <c r="C1904" s="238">
        <v>12</v>
      </c>
      <c r="D1904" s="259" t="s">
        <v>1122</v>
      </c>
      <c r="E1904" s="1142"/>
      <c r="F1904" s="558">
        <v>1050000</v>
      </c>
      <c r="G1904" s="166">
        <v>0.03</v>
      </c>
      <c r="H1904" s="139">
        <f>F1904*G1904</f>
        <v>31500</v>
      </c>
    </row>
    <row r="1905" spans="1:8" ht="18.75">
      <c r="A1905" s="241">
        <v>14371</v>
      </c>
      <c r="B1905" s="233">
        <v>0.1</v>
      </c>
      <c r="C1905" s="238">
        <v>12</v>
      </c>
      <c r="D1905" s="259" t="s">
        <v>1154</v>
      </c>
      <c r="E1905" s="1142"/>
      <c r="F1905" s="558">
        <v>1350000</v>
      </c>
      <c r="G1905" s="166">
        <v>0.03</v>
      </c>
      <c r="H1905" s="139">
        <f t="shared" ref="H1905:H1961" si="62">F1905*G1905</f>
        <v>40500</v>
      </c>
    </row>
    <row r="1906" spans="1:8" ht="18.75">
      <c r="A1906" s="241">
        <v>14388</v>
      </c>
      <c r="B1906" s="233">
        <v>0.1</v>
      </c>
      <c r="C1906" s="770">
        <v>12</v>
      </c>
      <c r="D1906" s="259" t="s">
        <v>1104</v>
      </c>
      <c r="E1906" s="1263"/>
      <c r="F1906" s="558">
        <v>1500000</v>
      </c>
      <c r="G1906" s="166">
        <v>0.03</v>
      </c>
      <c r="H1906" s="139">
        <f t="shared" si="62"/>
        <v>45000</v>
      </c>
    </row>
    <row r="1907" spans="1:8" ht="18.75">
      <c r="A1907" s="241">
        <v>14391</v>
      </c>
      <c r="B1907" s="233">
        <v>0.1</v>
      </c>
      <c r="C1907" s="770">
        <v>12</v>
      </c>
      <c r="D1907" s="137" t="s">
        <v>1156</v>
      </c>
      <c r="E1907" s="1263"/>
      <c r="F1907" s="558">
        <v>1300000</v>
      </c>
      <c r="G1907" s="166">
        <v>0.03</v>
      </c>
      <c r="H1907" s="139">
        <f t="shared" si="62"/>
        <v>39000</v>
      </c>
    </row>
    <row r="1908" spans="1:8" ht="18.75">
      <c r="A1908" s="241">
        <v>14406</v>
      </c>
      <c r="B1908" s="233">
        <v>0.1</v>
      </c>
      <c r="C1908" s="770">
        <v>12</v>
      </c>
      <c r="D1908" s="259" t="s">
        <v>1800</v>
      </c>
      <c r="E1908" s="754"/>
      <c r="F1908" s="558">
        <v>1400000</v>
      </c>
      <c r="G1908" s="166">
        <v>0.03</v>
      </c>
      <c r="H1908" s="139">
        <f t="shared" si="62"/>
        <v>42000</v>
      </c>
    </row>
    <row r="1909" spans="1:8" ht="18.75">
      <c r="A1909" s="241">
        <v>14379</v>
      </c>
      <c r="B1909" s="233">
        <v>0.1</v>
      </c>
      <c r="C1909" s="770">
        <v>12</v>
      </c>
      <c r="D1909" s="259" t="s">
        <v>1766</v>
      </c>
      <c r="E1909" s="1263"/>
      <c r="F1909" s="558">
        <v>1200000</v>
      </c>
      <c r="G1909" s="166">
        <v>0.03</v>
      </c>
      <c r="H1909" s="139">
        <f t="shared" si="62"/>
        <v>36000</v>
      </c>
    </row>
    <row r="1910" spans="1:8" ht="18.75">
      <c r="A1910" s="241">
        <v>14463</v>
      </c>
      <c r="B1910" s="233">
        <v>0.1</v>
      </c>
      <c r="C1910" s="770">
        <v>12</v>
      </c>
      <c r="D1910" s="259" t="s">
        <v>1139</v>
      </c>
      <c r="E1910" s="1263"/>
      <c r="F1910" s="558">
        <v>1500000</v>
      </c>
      <c r="G1910" s="166">
        <v>0.03</v>
      </c>
      <c r="H1910" s="139">
        <f t="shared" si="62"/>
        <v>45000</v>
      </c>
    </row>
    <row r="1911" spans="1:8" ht="18.75">
      <c r="A1911" s="241">
        <v>14495</v>
      </c>
      <c r="B1911" s="233">
        <v>0.1</v>
      </c>
      <c r="C1911" s="1222">
        <v>12</v>
      </c>
      <c r="D1911" s="243" t="s">
        <v>1109</v>
      </c>
      <c r="E1911" s="1263"/>
      <c r="F1911" s="558">
        <v>1500000</v>
      </c>
      <c r="G1911" s="166">
        <v>0.03</v>
      </c>
      <c r="H1911" s="139">
        <f t="shared" si="62"/>
        <v>45000</v>
      </c>
    </row>
    <row r="1912" spans="1:8" ht="18.75">
      <c r="A1912" s="241">
        <v>14492</v>
      </c>
      <c r="B1912" s="233">
        <v>0.1</v>
      </c>
      <c r="C1912" s="1222">
        <v>12</v>
      </c>
      <c r="D1912" s="243" t="s">
        <v>1110</v>
      </c>
      <c r="E1912" s="1263"/>
      <c r="F1912" s="558">
        <v>1200000</v>
      </c>
      <c r="G1912" s="166">
        <v>0.03</v>
      </c>
      <c r="H1912" s="139">
        <f t="shared" si="62"/>
        <v>36000</v>
      </c>
    </row>
    <row r="1913" spans="1:8" ht="18.75">
      <c r="A1913" s="241">
        <v>14496</v>
      </c>
      <c r="B1913" s="331">
        <v>0.08</v>
      </c>
      <c r="C1913" s="891">
        <v>12</v>
      </c>
      <c r="D1913" s="243" t="s">
        <v>1128</v>
      </c>
      <c r="E1913" s="1263"/>
      <c r="F1913" s="558">
        <v>1700000</v>
      </c>
      <c r="G1913" s="1111">
        <v>2.5000000000000001E-2</v>
      </c>
      <c r="H1913" s="139">
        <f t="shared" si="62"/>
        <v>42500</v>
      </c>
    </row>
    <row r="1914" spans="1:8" ht="18.75">
      <c r="A1914" s="241">
        <v>14514</v>
      </c>
      <c r="B1914" s="233">
        <v>0.1</v>
      </c>
      <c r="C1914" s="1222">
        <v>12</v>
      </c>
      <c r="D1914" s="1057" t="s">
        <v>1159</v>
      </c>
      <c r="E1914" s="1263"/>
      <c r="F1914" s="558">
        <v>1500000</v>
      </c>
      <c r="G1914" s="166">
        <v>0.03</v>
      </c>
      <c r="H1914" s="139">
        <f t="shared" si="62"/>
        <v>45000</v>
      </c>
    </row>
    <row r="1915" spans="1:8" ht="18.75">
      <c r="A1915" s="241">
        <v>14519</v>
      </c>
      <c r="B1915" s="233">
        <v>0.1</v>
      </c>
      <c r="C1915" s="1222">
        <v>12</v>
      </c>
      <c r="D1915" s="243" t="s">
        <v>1767</v>
      </c>
      <c r="E1915" s="1263"/>
      <c r="F1915" s="558">
        <v>1700000</v>
      </c>
      <c r="G1915" s="166">
        <v>0.03</v>
      </c>
      <c r="H1915" s="139">
        <f t="shared" si="62"/>
        <v>51000</v>
      </c>
    </row>
    <row r="1916" spans="1:8" ht="18.75">
      <c r="A1916" s="241">
        <v>14522</v>
      </c>
      <c r="B1916" s="233">
        <v>0.1</v>
      </c>
      <c r="C1916" s="1222">
        <v>12</v>
      </c>
      <c r="D1916" s="243" t="s">
        <v>1129</v>
      </c>
      <c r="E1916" s="1263"/>
      <c r="F1916" s="558">
        <v>1200000</v>
      </c>
      <c r="G1916" s="166">
        <v>0.03</v>
      </c>
      <c r="H1916" s="139">
        <f t="shared" si="62"/>
        <v>36000</v>
      </c>
    </row>
    <row r="1917" spans="1:8" ht="18.75">
      <c r="A1917" s="241">
        <v>14555</v>
      </c>
      <c r="B1917" s="233">
        <v>0.1</v>
      </c>
      <c r="C1917" s="1222">
        <v>12</v>
      </c>
      <c r="D1917" s="243" t="s">
        <v>1768</v>
      </c>
      <c r="E1917" s="1263"/>
      <c r="F1917" s="558">
        <v>1600000</v>
      </c>
      <c r="G1917" s="166">
        <v>0.03</v>
      </c>
      <c r="H1917" s="139">
        <f t="shared" si="62"/>
        <v>48000</v>
      </c>
    </row>
    <row r="1918" spans="1:8" ht="18.75">
      <c r="A1918" s="241">
        <v>14546</v>
      </c>
      <c r="B1918" s="233">
        <v>0.1</v>
      </c>
      <c r="C1918" s="1222">
        <v>12</v>
      </c>
      <c r="D1918" s="243" t="s">
        <v>1769</v>
      </c>
      <c r="E1918" s="1263"/>
      <c r="F1918" s="558">
        <v>1350000</v>
      </c>
      <c r="G1918" s="166">
        <v>0.03</v>
      </c>
      <c r="H1918" s="139">
        <f t="shared" si="62"/>
        <v>40500</v>
      </c>
    </row>
    <row r="1919" spans="1:8" ht="18.75">
      <c r="A1919" s="241">
        <v>14581</v>
      </c>
      <c r="B1919" s="233">
        <v>0.1</v>
      </c>
      <c r="C1919" s="1222">
        <v>12</v>
      </c>
      <c r="D1919" s="243" t="s">
        <v>1770</v>
      </c>
      <c r="E1919" s="1263"/>
      <c r="F1919" s="558">
        <v>1100000</v>
      </c>
      <c r="G1919" s="166">
        <v>0.03</v>
      </c>
      <c r="H1919" s="139">
        <f t="shared" si="62"/>
        <v>33000</v>
      </c>
    </row>
    <row r="1920" spans="1:8" ht="18.75">
      <c r="A1920" s="241">
        <v>14345</v>
      </c>
      <c r="B1920" s="233">
        <v>0.1</v>
      </c>
      <c r="C1920" s="891">
        <v>12</v>
      </c>
      <c r="D1920" s="243" t="s">
        <v>1120</v>
      </c>
      <c r="E1920" s="581"/>
      <c r="F1920" s="558">
        <v>1150000</v>
      </c>
      <c r="G1920" s="166">
        <v>0.03</v>
      </c>
      <c r="H1920" s="139">
        <f t="shared" si="62"/>
        <v>34500</v>
      </c>
    </row>
    <row r="1921" spans="1:8" ht="18.75">
      <c r="A1921" s="241">
        <v>14354</v>
      </c>
      <c r="B1921" s="233">
        <v>0.1</v>
      </c>
      <c r="C1921" s="770">
        <v>12</v>
      </c>
      <c r="D1921" s="243" t="s">
        <v>1778</v>
      </c>
      <c r="E1921" s="1263"/>
      <c r="F1921" s="558">
        <v>1500000</v>
      </c>
      <c r="G1921" s="166">
        <v>0.03</v>
      </c>
      <c r="H1921" s="139">
        <f t="shared" si="62"/>
        <v>45000</v>
      </c>
    </row>
    <row r="1922" spans="1:8" ht="18.75">
      <c r="A1922" s="241">
        <v>14348</v>
      </c>
      <c r="B1922" s="233">
        <v>0.1</v>
      </c>
      <c r="C1922" s="891">
        <v>12</v>
      </c>
      <c r="D1922" s="136" t="s">
        <v>1155</v>
      </c>
      <c r="E1922" s="581"/>
      <c r="F1922" s="558">
        <v>1100000</v>
      </c>
      <c r="G1922" s="166">
        <v>0.03</v>
      </c>
      <c r="H1922" s="139">
        <f t="shared" si="62"/>
        <v>33000</v>
      </c>
    </row>
    <row r="1923" spans="1:8" ht="18.75">
      <c r="A1923" s="241">
        <v>14366</v>
      </c>
      <c r="B1923" s="233">
        <v>0.1</v>
      </c>
      <c r="C1923" s="891">
        <v>12</v>
      </c>
      <c r="D1923" s="136" t="s">
        <v>1101</v>
      </c>
      <c r="E1923" s="581"/>
      <c r="F1923" s="558">
        <v>1500000</v>
      </c>
      <c r="G1923" s="166">
        <v>0.03</v>
      </c>
      <c r="H1923" s="139">
        <f t="shared" si="62"/>
        <v>45000</v>
      </c>
    </row>
    <row r="1924" spans="1:8" ht="18.75">
      <c r="A1924" s="241">
        <v>14382</v>
      </c>
      <c r="B1924" s="233">
        <v>0.1</v>
      </c>
      <c r="C1924" s="891">
        <v>12</v>
      </c>
      <c r="D1924" s="1024" t="s">
        <v>1149</v>
      </c>
      <c r="E1924" s="581"/>
      <c r="F1924" s="558">
        <v>1200000</v>
      </c>
      <c r="G1924" s="166">
        <v>0.03</v>
      </c>
      <c r="H1924" s="139">
        <f t="shared" si="62"/>
        <v>36000</v>
      </c>
    </row>
    <row r="1925" spans="1:8" ht="18.75">
      <c r="A1925" s="241">
        <v>14437</v>
      </c>
      <c r="B1925" s="233">
        <v>0.1</v>
      </c>
      <c r="C1925" s="891">
        <v>12</v>
      </c>
      <c r="D1925" s="1057" t="s">
        <v>1779</v>
      </c>
      <c r="E1925" s="581"/>
      <c r="F1925" s="558">
        <v>1400000</v>
      </c>
      <c r="G1925" s="166">
        <v>0.03</v>
      </c>
      <c r="H1925" s="139">
        <f t="shared" si="62"/>
        <v>42000</v>
      </c>
    </row>
    <row r="1926" spans="1:8" ht="18.75">
      <c r="A1926" s="241">
        <v>14427</v>
      </c>
      <c r="B1926" s="233">
        <v>0.1</v>
      </c>
      <c r="C1926" s="891">
        <v>12</v>
      </c>
      <c r="D1926" s="1057" t="s">
        <v>1150</v>
      </c>
      <c r="E1926" s="581"/>
      <c r="F1926" s="558">
        <v>1500000</v>
      </c>
      <c r="G1926" s="166">
        <v>0.03</v>
      </c>
      <c r="H1926" s="139">
        <f t="shared" si="62"/>
        <v>45000</v>
      </c>
    </row>
    <row r="1927" spans="1:8" ht="18.75">
      <c r="A1927" s="241">
        <v>14464</v>
      </c>
      <c r="B1927" s="233">
        <v>0.1</v>
      </c>
      <c r="C1927" s="891">
        <v>12</v>
      </c>
      <c r="D1927" s="1057" t="s">
        <v>1780</v>
      </c>
      <c r="E1927" s="581"/>
      <c r="F1927" s="558">
        <v>1700000</v>
      </c>
      <c r="G1927" s="166">
        <v>0.03</v>
      </c>
      <c r="H1927" s="139">
        <f t="shared" si="62"/>
        <v>51000</v>
      </c>
    </row>
    <row r="1928" spans="1:8" ht="18.75">
      <c r="A1928" s="241">
        <v>14429</v>
      </c>
      <c r="B1928" s="331">
        <v>0.08</v>
      </c>
      <c r="C1928" s="891">
        <v>12</v>
      </c>
      <c r="D1928" s="1057" t="s">
        <v>1121</v>
      </c>
      <c r="E1928" s="581"/>
      <c r="F1928" s="558">
        <v>1650000</v>
      </c>
      <c r="G1928" s="1111">
        <v>2.5000000000000001E-2</v>
      </c>
      <c r="H1928" s="139">
        <f t="shared" si="62"/>
        <v>41250</v>
      </c>
    </row>
    <row r="1929" spans="1:8" ht="18.75">
      <c r="A1929" s="241">
        <v>14452</v>
      </c>
      <c r="B1929" s="233">
        <v>0.1</v>
      </c>
      <c r="C1929" s="891">
        <v>12</v>
      </c>
      <c r="D1929" s="1057" t="s">
        <v>370</v>
      </c>
      <c r="E1929" s="581"/>
      <c r="F1929" s="558">
        <v>1200000</v>
      </c>
      <c r="G1929" s="166">
        <v>0.03</v>
      </c>
      <c r="H1929" s="139">
        <f t="shared" si="62"/>
        <v>36000</v>
      </c>
    </row>
    <row r="1930" spans="1:8" ht="18.75">
      <c r="A1930" s="241">
        <v>14477</v>
      </c>
      <c r="B1930" s="233">
        <v>0.1</v>
      </c>
      <c r="C1930" s="891">
        <v>12</v>
      </c>
      <c r="D1930" s="243" t="s">
        <v>1127</v>
      </c>
      <c r="E1930" s="581"/>
      <c r="F1930" s="558">
        <v>2300000</v>
      </c>
      <c r="G1930" s="166">
        <v>0.03</v>
      </c>
      <c r="H1930" s="139">
        <f t="shared" si="62"/>
        <v>69000</v>
      </c>
    </row>
    <row r="1931" spans="1:8" ht="18.75">
      <c r="A1931" s="241">
        <v>14479</v>
      </c>
      <c r="B1931" s="233">
        <v>0.1</v>
      </c>
      <c r="C1931" s="891">
        <v>12</v>
      </c>
      <c r="D1931" s="1232" t="s">
        <v>1111</v>
      </c>
      <c r="E1931" s="581"/>
      <c r="F1931" s="558">
        <v>1200000</v>
      </c>
      <c r="G1931" s="166">
        <v>0.03</v>
      </c>
      <c r="H1931" s="139">
        <f t="shared" si="62"/>
        <v>36000</v>
      </c>
    </row>
    <row r="1932" spans="1:8" ht="18.75">
      <c r="A1932" s="241">
        <v>14520</v>
      </c>
      <c r="B1932" s="233">
        <v>0.1</v>
      </c>
      <c r="C1932" s="891">
        <v>12</v>
      </c>
      <c r="D1932" s="243" t="s">
        <v>1112</v>
      </c>
      <c r="E1932" s="581"/>
      <c r="F1932" s="558">
        <v>1900000</v>
      </c>
      <c r="G1932" s="166">
        <v>0.03</v>
      </c>
      <c r="H1932" s="139">
        <f t="shared" si="62"/>
        <v>57000</v>
      </c>
    </row>
    <row r="1933" spans="1:8" ht="18.75">
      <c r="A1933" s="241">
        <v>14535</v>
      </c>
      <c r="B1933" s="233">
        <v>0.1</v>
      </c>
      <c r="C1933" s="891">
        <v>12</v>
      </c>
      <c r="D1933" s="1057" t="s">
        <v>1152</v>
      </c>
      <c r="E1933" s="581"/>
      <c r="F1933" s="558">
        <v>1400000</v>
      </c>
      <c r="G1933" s="166">
        <v>0.03</v>
      </c>
      <c r="H1933" s="139">
        <f t="shared" si="62"/>
        <v>42000</v>
      </c>
    </row>
    <row r="1934" spans="1:8" ht="18.75">
      <c r="A1934" s="241">
        <v>14567</v>
      </c>
      <c r="B1934" s="233">
        <v>0.1</v>
      </c>
      <c r="C1934" s="891">
        <v>12</v>
      </c>
      <c r="D1934" s="1057" t="s">
        <v>1781</v>
      </c>
      <c r="E1934" s="581"/>
      <c r="F1934" s="558">
        <v>2200000</v>
      </c>
      <c r="G1934" s="166">
        <v>0.03</v>
      </c>
      <c r="H1934" s="139">
        <f t="shared" si="62"/>
        <v>66000</v>
      </c>
    </row>
    <row r="1935" spans="1:8" ht="18.75">
      <c r="A1935" s="241">
        <v>14601</v>
      </c>
      <c r="B1935" s="233">
        <v>0.1</v>
      </c>
      <c r="C1935" s="891">
        <v>12</v>
      </c>
      <c r="D1935" s="243" t="s">
        <v>1114</v>
      </c>
      <c r="E1935" s="581"/>
      <c r="F1935" s="558">
        <v>1500000</v>
      </c>
      <c r="G1935" s="166">
        <v>0.03</v>
      </c>
      <c r="H1935" s="139">
        <f t="shared" si="62"/>
        <v>45000</v>
      </c>
    </row>
    <row r="1936" spans="1:8" ht="18.75">
      <c r="A1936" s="241">
        <v>14538</v>
      </c>
      <c r="B1936" s="233">
        <v>0.1</v>
      </c>
      <c r="C1936" s="891">
        <v>12</v>
      </c>
      <c r="D1936" s="243" t="s">
        <v>1782</v>
      </c>
      <c r="E1936" s="581"/>
      <c r="F1936" s="558">
        <v>1600000</v>
      </c>
      <c r="G1936" s="166">
        <v>0.03</v>
      </c>
      <c r="H1936" s="139">
        <f t="shared" si="62"/>
        <v>48000</v>
      </c>
    </row>
    <row r="1937" spans="1:8" ht="18.75">
      <c r="A1937" s="241">
        <v>14554</v>
      </c>
      <c r="B1937" s="233">
        <v>0.1</v>
      </c>
      <c r="C1937" s="891">
        <v>12</v>
      </c>
      <c r="D1937" s="243" t="s">
        <v>1161</v>
      </c>
      <c r="E1937" s="581"/>
      <c r="F1937" s="558">
        <v>1450000</v>
      </c>
      <c r="G1937" s="166">
        <v>0.03</v>
      </c>
      <c r="H1937" s="139">
        <f t="shared" si="62"/>
        <v>43500</v>
      </c>
    </row>
    <row r="1938" spans="1:8" ht="18.75">
      <c r="A1938" s="241">
        <v>14568</v>
      </c>
      <c r="B1938" s="233">
        <v>0.1</v>
      </c>
      <c r="C1938" s="891">
        <v>12</v>
      </c>
      <c r="D1938" s="1057" t="s">
        <v>1783</v>
      </c>
      <c r="E1938" s="581"/>
      <c r="F1938" s="558">
        <v>1200000</v>
      </c>
      <c r="G1938" s="166">
        <v>0.03</v>
      </c>
      <c r="H1938" s="139">
        <f t="shared" si="62"/>
        <v>36000</v>
      </c>
    </row>
    <row r="1939" spans="1:8" ht="18.75">
      <c r="A1939" s="241">
        <v>14598</v>
      </c>
      <c r="B1939" s="331">
        <v>0.08</v>
      </c>
      <c r="C1939" s="891">
        <v>12</v>
      </c>
      <c r="D1939" s="1057" t="s">
        <v>1144</v>
      </c>
      <c r="E1939" s="581"/>
      <c r="F1939" s="558">
        <v>900000</v>
      </c>
      <c r="G1939" s="1111">
        <v>2.5000000000000001E-2</v>
      </c>
      <c r="H1939" s="139">
        <f t="shared" si="62"/>
        <v>22500</v>
      </c>
    </row>
    <row r="1940" spans="1:8" ht="18.75">
      <c r="A1940" s="241">
        <v>14605</v>
      </c>
      <c r="B1940" s="233">
        <v>0.1</v>
      </c>
      <c r="C1940" s="891">
        <v>12</v>
      </c>
      <c r="D1940" s="1057" t="s">
        <v>1784</v>
      </c>
      <c r="E1940" s="581"/>
      <c r="F1940" s="558">
        <v>1550000</v>
      </c>
      <c r="G1940" s="166">
        <v>0.03</v>
      </c>
      <c r="H1940" s="139">
        <f t="shared" si="62"/>
        <v>46500</v>
      </c>
    </row>
    <row r="1941" spans="1:8" ht="18.75">
      <c r="A1941" s="241">
        <v>14351</v>
      </c>
      <c r="B1941" s="331">
        <v>0.09</v>
      </c>
      <c r="C1941" s="891">
        <v>12</v>
      </c>
      <c r="D1941" s="1057" t="s">
        <v>1125</v>
      </c>
      <c r="E1941" s="581"/>
      <c r="F1941" s="558">
        <v>1200000</v>
      </c>
      <c r="G1941" s="1111">
        <v>2.5000000000000001E-2</v>
      </c>
      <c r="H1941" s="139">
        <f t="shared" si="62"/>
        <v>30000</v>
      </c>
    </row>
    <row r="1942" spans="1:8" ht="18.75">
      <c r="A1942" s="241">
        <v>14342</v>
      </c>
      <c r="B1942" s="233">
        <v>0.1</v>
      </c>
      <c r="C1942" s="891">
        <v>12</v>
      </c>
      <c r="D1942" s="259" t="s">
        <v>1791</v>
      </c>
      <c r="E1942" s="581"/>
      <c r="F1942" s="558">
        <v>1600000</v>
      </c>
      <c r="G1942" s="166">
        <v>0.03</v>
      </c>
      <c r="H1942" s="139">
        <f t="shared" si="62"/>
        <v>48000</v>
      </c>
    </row>
    <row r="1943" spans="1:8" ht="18.75">
      <c r="A1943" s="241">
        <v>14369</v>
      </c>
      <c r="B1943" s="233">
        <v>0.1</v>
      </c>
      <c r="C1943" s="891">
        <v>12</v>
      </c>
      <c r="D1943" s="259" t="s">
        <v>1124</v>
      </c>
      <c r="E1943" s="581"/>
      <c r="F1943" s="558">
        <v>1350000</v>
      </c>
      <c r="G1943" s="166">
        <v>0.03</v>
      </c>
      <c r="H1943" s="139">
        <f t="shared" si="62"/>
        <v>40500</v>
      </c>
    </row>
    <row r="1944" spans="1:8" ht="18.75">
      <c r="A1944" s="241">
        <v>14365</v>
      </c>
      <c r="B1944" s="233">
        <v>0.1</v>
      </c>
      <c r="C1944" s="891">
        <v>12</v>
      </c>
      <c r="D1944" s="1024" t="s">
        <v>1103</v>
      </c>
      <c r="E1944" s="581"/>
      <c r="F1944" s="558">
        <v>520000</v>
      </c>
      <c r="G1944" s="166">
        <v>0.03</v>
      </c>
      <c r="H1944" s="139">
        <f t="shared" si="62"/>
        <v>15600</v>
      </c>
    </row>
    <row r="1945" spans="1:8" ht="18.75">
      <c r="A1945" s="241">
        <v>14380</v>
      </c>
      <c r="B1945" s="233">
        <v>0.1</v>
      </c>
      <c r="C1945" s="891">
        <v>12</v>
      </c>
      <c r="D1945" s="1024" t="s">
        <v>1105</v>
      </c>
      <c r="E1945" s="581"/>
      <c r="F1945" s="558">
        <v>800000</v>
      </c>
      <c r="G1945" s="166">
        <v>0.03</v>
      </c>
      <c r="H1945" s="139">
        <f t="shared" si="62"/>
        <v>24000</v>
      </c>
    </row>
    <row r="1946" spans="1:8" ht="18.75">
      <c r="A1946" s="241">
        <v>14387</v>
      </c>
      <c r="B1946" s="233">
        <v>0.1</v>
      </c>
      <c r="C1946" s="891">
        <v>12</v>
      </c>
      <c r="D1946" s="259" t="s">
        <v>1141</v>
      </c>
      <c r="E1946" s="581"/>
      <c r="F1946" s="558">
        <v>1200000</v>
      </c>
      <c r="G1946" s="166">
        <v>0.03</v>
      </c>
      <c r="H1946" s="139">
        <f t="shared" si="62"/>
        <v>36000</v>
      </c>
    </row>
    <row r="1947" spans="1:8" ht="18.75">
      <c r="A1947" s="241">
        <v>14384</v>
      </c>
      <c r="B1947" s="233">
        <v>0.1</v>
      </c>
      <c r="C1947" s="891">
        <v>12</v>
      </c>
      <c r="D1947" s="259" t="s">
        <v>1126</v>
      </c>
      <c r="E1947" s="581"/>
      <c r="F1947" s="558">
        <v>1200000</v>
      </c>
      <c r="G1947" s="166">
        <v>0.03</v>
      </c>
      <c r="H1947" s="139">
        <f t="shared" si="62"/>
        <v>36000</v>
      </c>
    </row>
    <row r="1948" spans="1:8" ht="18.75">
      <c r="A1948" s="241">
        <v>14409</v>
      </c>
      <c r="B1948" s="233">
        <v>0.1</v>
      </c>
      <c r="C1948" s="891">
        <v>12</v>
      </c>
      <c r="D1948" s="1057" t="s">
        <v>1168</v>
      </c>
      <c r="E1948" s="581"/>
      <c r="F1948" s="558">
        <v>850000</v>
      </c>
      <c r="G1948" s="166">
        <v>0.03</v>
      </c>
      <c r="H1948" s="139">
        <f t="shared" si="62"/>
        <v>25500</v>
      </c>
    </row>
    <row r="1949" spans="1:8" ht="18.75">
      <c r="A1949" s="241">
        <v>14407</v>
      </c>
      <c r="B1949" s="233">
        <v>0.1</v>
      </c>
      <c r="C1949" s="891">
        <v>12</v>
      </c>
      <c r="D1949" s="259" t="s">
        <v>1792</v>
      </c>
      <c r="E1949" s="581"/>
      <c r="F1949" s="558">
        <v>750000</v>
      </c>
      <c r="G1949" s="166">
        <v>0.03</v>
      </c>
      <c r="H1949" s="139">
        <f t="shared" si="62"/>
        <v>22500</v>
      </c>
    </row>
    <row r="1950" spans="1:8" ht="18.75">
      <c r="A1950" s="241">
        <v>14381</v>
      </c>
      <c r="B1950" s="233">
        <v>0.1</v>
      </c>
      <c r="C1950" s="891">
        <v>12</v>
      </c>
      <c r="D1950" s="137" t="s">
        <v>1100</v>
      </c>
      <c r="E1950" s="581"/>
      <c r="F1950" s="558">
        <v>1600000</v>
      </c>
      <c r="G1950" s="166">
        <v>0.03</v>
      </c>
      <c r="H1950" s="139">
        <f t="shared" si="62"/>
        <v>48000</v>
      </c>
    </row>
    <row r="1951" spans="1:8" ht="18.75">
      <c r="A1951" s="241">
        <v>14467</v>
      </c>
      <c r="B1951" s="331">
        <v>0.08</v>
      </c>
      <c r="C1951" s="891">
        <v>12</v>
      </c>
      <c r="D1951" s="1232" t="s">
        <v>1108</v>
      </c>
      <c r="E1951" s="581"/>
      <c r="F1951" s="558">
        <v>1400000</v>
      </c>
      <c r="G1951" s="1111">
        <v>2.5000000000000001E-2</v>
      </c>
      <c r="H1951" s="139">
        <f t="shared" si="62"/>
        <v>35000</v>
      </c>
    </row>
    <row r="1952" spans="1:8" ht="18.75">
      <c r="A1952" s="241">
        <v>14488</v>
      </c>
      <c r="B1952" s="233">
        <v>0.1</v>
      </c>
      <c r="C1952" s="891">
        <v>12</v>
      </c>
      <c r="D1952" s="1232" t="s">
        <v>1123</v>
      </c>
      <c r="E1952" s="581"/>
      <c r="F1952" s="558">
        <v>1700000</v>
      </c>
      <c r="G1952" s="166">
        <v>0.03</v>
      </c>
      <c r="H1952" s="139">
        <f t="shared" si="62"/>
        <v>51000</v>
      </c>
    </row>
    <row r="1953" spans="1:9" ht="18.75">
      <c r="A1953" s="241">
        <v>14503</v>
      </c>
      <c r="B1953" s="233">
        <v>0.1</v>
      </c>
      <c r="C1953" s="891">
        <v>12</v>
      </c>
      <c r="D1953" s="1232" t="s">
        <v>364</v>
      </c>
      <c r="E1953" s="581"/>
      <c r="F1953" s="558">
        <v>850000</v>
      </c>
      <c r="G1953" s="166">
        <v>0.03</v>
      </c>
      <c r="H1953" s="139">
        <f t="shared" si="62"/>
        <v>25500</v>
      </c>
    </row>
    <row r="1954" spans="1:9" ht="18.75">
      <c r="A1954" s="241">
        <v>14482</v>
      </c>
      <c r="B1954" s="233">
        <v>0.1</v>
      </c>
      <c r="C1954" s="891">
        <v>12</v>
      </c>
      <c r="D1954" s="243" t="s">
        <v>1142</v>
      </c>
      <c r="E1954" s="581"/>
      <c r="F1954" s="558">
        <v>2700000</v>
      </c>
      <c r="G1954" s="166">
        <v>0.03</v>
      </c>
      <c r="H1954" s="139">
        <f t="shared" si="62"/>
        <v>81000</v>
      </c>
    </row>
    <row r="1955" spans="1:9" ht="18.75">
      <c r="A1955" s="241">
        <v>14553</v>
      </c>
      <c r="B1955" s="233">
        <v>0.1</v>
      </c>
      <c r="C1955" s="891">
        <v>12</v>
      </c>
      <c r="D1955" s="243" t="s">
        <v>1160</v>
      </c>
      <c r="E1955" s="581"/>
      <c r="F1955" s="558">
        <v>1350000</v>
      </c>
      <c r="G1955" s="166">
        <v>0.03</v>
      </c>
      <c r="H1955" s="139">
        <f t="shared" si="62"/>
        <v>40500</v>
      </c>
    </row>
    <row r="1956" spans="1:9" ht="18.75">
      <c r="A1956" s="241">
        <v>14571</v>
      </c>
      <c r="B1956" s="233">
        <v>0.1</v>
      </c>
      <c r="C1956" s="891">
        <v>12</v>
      </c>
      <c r="D1956" s="243" t="s">
        <v>1140</v>
      </c>
      <c r="E1956" s="581"/>
      <c r="F1956" s="558">
        <v>1200000</v>
      </c>
      <c r="G1956" s="166">
        <v>0.03</v>
      </c>
      <c r="H1956" s="139">
        <f t="shared" si="62"/>
        <v>36000</v>
      </c>
    </row>
    <row r="1957" spans="1:9" ht="18.75">
      <c r="A1957" s="241">
        <v>14603</v>
      </c>
      <c r="B1957" s="233">
        <v>0.1</v>
      </c>
      <c r="C1957" s="891">
        <v>12</v>
      </c>
      <c r="D1957" s="243" t="s">
        <v>1143</v>
      </c>
      <c r="E1957" s="581"/>
      <c r="F1957" s="558">
        <v>1150000</v>
      </c>
      <c r="G1957" s="166">
        <v>0.03</v>
      </c>
      <c r="H1957" s="139">
        <f t="shared" si="62"/>
        <v>34500</v>
      </c>
    </row>
    <row r="1958" spans="1:9" ht="18.75">
      <c r="A1958" s="241">
        <v>14606</v>
      </c>
      <c r="B1958" s="233">
        <v>0.1</v>
      </c>
      <c r="C1958" s="891">
        <v>12</v>
      </c>
      <c r="D1958" s="243" t="s">
        <v>1130</v>
      </c>
      <c r="E1958" s="581"/>
      <c r="F1958" s="558">
        <v>1100000</v>
      </c>
      <c r="G1958" s="166">
        <v>0.03</v>
      </c>
      <c r="H1958" s="139">
        <f t="shared" si="62"/>
        <v>33000</v>
      </c>
    </row>
    <row r="1959" spans="1:9" ht="18.75">
      <c r="A1959" s="241">
        <v>14583</v>
      </c>
      <c r="B1959" s="331">
        <v>0.08</v>
      </c>
      <c r="C1959" s="891">
        <v>12</v>
      </c>
      <c r="D1959" s="243" t="s">
        <v>1163</v>
      </c>
      <c r="E1959" s="581"/>
      <c r="F1959" s="558">
        <v>1350000</v>
      </c>
      <c r="G1959" s="1111">
        <v>2.5000000000000001E-2</v>
      </c>
      <c r="H1959" s="139">
        <f t="shared" si="62"/>
        <v>33750</v>
      </c>
    </row>
    <row r="1960" spans="1:9" ht="18.75">
      <c r="A1960" s="241">
        <v>14609</v>
      </c>
      <c r="B1960" s="233">
        <v>0.1</v>
      </c>
      <c r="C1960" s="891">
        <v>12</v>
      </c>
      <c r="D1960" s="243" t="s">
        <v>1131</v>
      </c>
      <c r="E1960" s="581"/>
      <c r="F1960" s="558">
        <v>1650000</v>
      </c>
      <c r="G1960" s="166">
        <v>0.03</v>
      </c>
      <c r="H1960" s="139">
        <f t="shared" si="62"/>
        <v>49500</v>
      </c>
    </row>
    <row r="1961" spans="1:9" ht="18.75">
      <c r="A1961" s="241">
        <v>14604</v>
      </c>
      <c r="B1961" s="576">
        <v>0.1</v>
      </c>
      <c r="C1961" s="891">
        <v>12</v>
      </c>
      <c r="D1961" s="243" t="s">
        <v>1801</v>
      </c>
      <c r="E1961" s="765"/>
      <c r="F1961" s="558">
        <v>1350000</v>
      </c>
      <c r="G1961" s="166">
        <v>0.03</v>
      </c>
      <c r="H1961" s="139">
        <f t="shared" si="62"/>
        <v>40500</v>
      </c>
    </row>
    <row r="1962" spans="1:9" ht="18.75">
      <c r="A1962" s="163"/>
      <c r="B1962" s="1214"/>
      <c r="C1962" s="1188"/>
      <c r="D1962" s="262"/>
      <c r="E1962" s="833" t="s">
        <v>80</v>
      </c>
      <c r="F1962" s="972">
        <f>SUM(F1904:F1961)</f>
        <v>80120000</v>
      </c>
      <c r="G1962" s="910"/>
      <c r="H1962" s="1109">
        <f>SUM(H1904:H1961)</f>
        <v>2362600</v>
      </c>
    </row>
    <row r="1963" spans="1:9" ht="18.75"/>
    <row r="1964" spans="1:9" ht="18.75"/>
    <row r="1965" spans="1:9" ht="26.25">
      <c r="A1965" s="1643" t="s">
        <v>1802</v>
      </c>
      <c r="B1965" s="1643"/>
      <c r="C1965" s="1643"/>
      <c r="D1965" s="1643"/>
      <c r="E1965" s="1643"/>
      <c r="F1965" s="1643"/>
      <c r="G1965" s="1643"/>
      <c r="H1965" s="1644"/>
    </row>
    <row r="1966" spans="1:9" ht="18.75"/>
    <row r="1967" spans="1:9" ht="26.25">
      <c r="A1967" s="1641" t="s">
        <v>1803</v>
      </c>
      <c r="B1967" s="1640"/>
      <c r="C1967" s="1641"/>
      <c r="D1967" s="1641"/>
      <c r="E1967" s="1640"/>
      <c r="F1967" s="1640"/>
      <c r="G1967" s="1640"/>
      <c r="H1967" s="1642"/>
      <c r="I1967" s="1172"/>
    </row>
    <row r="1968" spans="1:9" ht="30.75">
      <c r="A1968" s="87" t="s">
        <v>1463</v>
      </c>
      <c r="B1968" s="1299" t="s">
        <v>1497</v>
      </c>
      <c r="C1968" s="731" t="s">
        <v>1465</v>
      </c>
      <c r="D1968" s="87" t="s">
        <v>5</v>
      </c>
      <c r="E1968" s="732" t="s">
        <v>1466</v>
      </c>
      <c r="F1968" s="48" t="s">
        <v>1467</v>
      </c>
      <c r="G1968" s="48" t="s">
        <v>7</v>
      </c>
      <c r="H1968" s="62" t="s">
        <v>1468</v>
      </c>
      <c r="I1968" s="1174" t="s">
        <v>1624</v>
      </c>
    </row>
    <row r="1969" spans="1:9" ht="18.75">
      <c r="A1969" s="241">
        <v>14612</v>
      </c>
      <c r="B1969" s="331">
        <v>0.09</v>
      </c>
      <c r="C1969" s="770">
        <v>12</v>
      </c>
      <c r="D1969" s="137" t="s">
        <v>1190</v>
      </c>
      <c r="E1969" s="1263"/>
      <c r="F1969" s="558">
        <v>1250000</v>
      </c>
      <c r="G1969" s="140">
        <v>0.01</v>
      </c>
      <c r="H1969" s="1254">
        <f>F1969*G1969</f>
        <v>12500</v>
      </c>
      <c r="I1969" s="1175" t="s">
        <v>1625</v>
      </c>
    </row>
    <row r="1970" spans="1:9" ht="18.75">
      <c r="A1970" s="241">
        <v>14618</v>
      </c>
      <c r="B1970" s="233">
        <v>0.1</v>
      </c>
      <c r="C1970" s="770">
        <v>12</v>
      </c>
      <c r="D1970" s="1232" t="s">
        <v>1243</v>
      </c>
      <c r="E1970" s="1263"/>
      <c r="F1970" s="558">
        <v>1400000</v>
      </c>
      <c r="G1970" s="478">
        <v>0.02</v>
      </c>
      <c r="H1970" s="1254">
        <f t="shared" ref="H1970:H1971" si="63">F1970*G1970</f>
        <v>28000</v>
      </c>
      <c r="I1970" s="1175" t="s">
        <v>1625</v>
      </c>
    </row>
    <row r="1971" spans="1:9" ht="18.75">
      <c r="A1971" s="241">
        <v>14659</v>
      </c>
      <c r="B1971" s="233">
        <v>0.1</v>
      </c>
      <c r="C1971" s="770">
        <v>12</v>
      </c>
      <c r="D1971" s="259" t="s">
        <v>1198</v>
      </c>
      <c r="E1971" s="1263"/>
      <c r="F1971" s="558">
        <v>850000</v>
      </c>
      <c r="G1971" s="478">
        <v>0.02</v>
      </c>
      <c r="H1971" s="1254">
        <f t="shared" si="63"/>
        <v>17000</v>
      </c>
      <c r="I1971" s="1175" t="s">
        <v>1625</v>
      </c>
    </row>
    <row r="1972" spans="1:9" ht="18.75">
      <c r="A1972" s="209" t="s">
        <v>245</v>
      </c>
      <c r="B1972" s="267"/>
      <c r="C1972" s="936"/>
      <c r="D1972" s="757" t="s">
        <v>1202</v>
      </c>
      <c r="E1972" s="1377" t="s">
        <v>1804</v>
      </c>
      <c r="F1972" s="889"/>
      <c r="G1972" s="348"/>
      <c r="H1972" s="885"/>
      <c r="I1972" s="1175"/>
    </row>
    <row r="1973" spans="1:9" ht="18.75">
      <c r="A1973" s="209" t="s">
        <v>245</v>
      </c>
      <c r="B1973" s="267"/>
      <c r="C1973" s="936"/>
      <c r="D1973" s="1255" t="s">
        <v>1805</v>
      </c>
      <c r="E1973" s="760" t="s">
        <v>1806</v>
      </c>
      <c r="F1973" s="889"/>
      <c r="G1973" s="348"/>
      <c r="H1973" s="885"/>
      <c r="I1973" s="1175"/>
    </row>
    <row r="1974" spans="1:9" ht="18.75">
      <c r="A1974" s="209" t="s">
        <v>297</v>
      </c>
      <c r="B1974" s="267"/>
      <c r="C1974" s="1223"/>
      <c r="D1974" s="819" t="s">
        <v>1236</v>
      </c>
      <c r="E1974" s="760" t="s">
        <v>1807</v>
      </c>
      <c r="F1974" s="889"/>
      <c r="G1974" s="348"/>
      <c r="H1974" s="885"/>
      <c r="I1974" s="1175"/>
    </row>
    <row r="1975" spans="1:9" ht="18.75">
      <c r="A1975" s="209" t="s">
        <v>638</v>
      </c>
      <c r="B1975" s="267"/>
      <c r="C1975" s="1223"/>
      <c r="D1975" s="819" t="s">
        <v>1240</v>
      </c>
      <c r="E1975" s="760" t="s">
        <v>1808</v>
      </c>
      <c r="F1975" s="889"/>
      <c r="G1975" s="348"/>
      <c r="H1975" s="885"/>
      <c r="I1975" s="1175"/>
    </row>
    <row r="1976" spans="1:9" ht="20.25">
      <c r="A1976" s="163"/>
      <c r="B1976" s="318"/>
      <c r="C1976" s="792"/>
      <c r="D1976" s="262"/>
      <c r="E1976" s="947"/>
      <c r="F1976" s="948">
        <f>SUM(F1969:F1975)</f>
        <v>3500000</v>
      </c>
      <c r="G1976" s="949"/>
      <c r="H1976" s="1394">
        <f>SUM(H1969:H1975)</f>
        <v>57500</v>
      </c>
      <c r="I1976" s="1172"/>
    </row>
    <row r="1977" spans="1:9" ht="26.25">
      <c r="A1977" s="1645"/>
      <c r="B1977" s="1645"/>
      <c r="C1977" s="1645"/>
      <c r="D1977" s="1645"/>
      <c r="E1977" s="1645"/>
      <c r="F1977" s="1645"/>
      <c r="G1977" s="1645"/>
      <c r="H1977" s="1645"/>
    </row>
    <row r="1978" spans="1:9" ht="26.25">
      <c r="A1978" s="797"/>
      <c r="B1978" s="797"/>
      <c r="C1978" s="797"/>
      <c r="D1978" s="797"/>
      <c r="E1978" s="797"/>
      <c r="F1978" s="797"/>
      <c r="G1978" s="797"/>
      <c r="H1978" s="797"/>
    </row>
    <row r="1979" spans="1:9" ht="26.25">
      <c r="A1979" s="1640" t="s">
        <v>1809</v>
      </c>
      <c r="B1979" s="1640"/>
      <c r="C1979" s="1640"/>
      <c r="D1979" s="1641"/>
      <c r="E1979" s="1641"/>
      <c r="F1979" s="1640"/>
      <c r="G1979" s="1640"/>
      <c r="H1979" s="1642"/>
      <c r="I1979" s="1172"/>
    </row>
    <row r="1980" spans="1:9" ht="30.75">
      <c r="A1980" s="45" t="s">
        <v>1463</v>
      </c>
      <c r="B1980" s="646" t="s">
        <v>1497</v>
      </c>
      <c r="C1980" s="1300" t="s">
        <v>1465</v>
      </c>
      <c r="D1980" s="880" t="s">
        <v>5</v>
      </c>
      <c r="E1980" s="879" t="s">
        <v>1466</v>
      </c>
      <c r="F1980" s="881" t="s">
        <v>1467</v>
      </c>
      <c r="G1980" s="48" t="s">
        <v>7</v>
      </c>
      <c r="H1980" s="62" t="s">
        <v>1468</v>
      </c>
      <c r="I1980" s="1173" t="s">
        <v>1624</v>
      </c>
    </row>
    <row r="1981" spans="1:9" ht="18.75">
      <c r="A1981" s="241">
        <v>14617</v>
      </c>
      <c r="B1981" s="233">
        <v>0.1</v>
      </c>
      <c r="C1981" s="233">
        <v>0.12</v>
      </c>
      <c r="D1981" s="764" t="s">
        <v>1230</v>
      </c>
      <c r="E1981" s="137"/>
      <c r="F1981" s="558">
        <v>1000000</v>
      </c>
      <c r="G1981" s="138">
        <v>0.05</v>
      </c>
      <c r="H1981" s="882">
        <f>F1981*G1981</f>
        <v>50000</v>
      </c>
      <c r="I1981" s="1175" t="s">
        <v>1625</v>
      </c>
    </row>
    <row r="1982" spans="1:9" ht="18.75">
      <c r="A1982" s="241">
        <v>14639</v>
      </c>
      <c r="B1982" s="233">
        <v>0.1</v>
      </c>
      <c r="C1982" s="233">
        <v>0.12</v>
      </c>
      <c r="D1982" s="1057" t="s">
        <v>1206</v>
      </c>
      <c r="E1982" s="1057"/>
      <c r="F1982" s="558">
        <v>1400000</v>
      </c>
      <c r="G1982" s="478">
        <v>0.05</v>
      </c>
      <c r="H1982" s="882">
        <f t="shared" ref="H1982:H2001" si="64">F1982*G1982</f>
        <v>70000</v>
      </c>
      <c r="I1982" s="1175" t="s">
        <v>1625</v>
      </c>
    </row>
    <row r="1983" spans="1:9" ht="18.75">
      <c r="A1983" s="241">
        <v>14637</v>
      </c>
      <c r="B1983" s="233">
        <v>0.1</v>
      </c>
      <c r="C1983" s="891">
        <v>12</v>
      </c>
      <c r="D1983" s="243" t="s">
        <v>1192</v>
      </c>
      <c r="E1983" s="581"/>
      <c r="F1983" s="558">
        <v>1200000</v>
      </c>
      <c r="G1983" s="478">
        <v>0.05</v>
      </c>
      <c r="H1983" s="882">
        <f t="shared" si="64"/>
        <v>60000</v>
      </c>
      <c r="I1983" s="1175" t="s">
        <v>1625</v>
      </c>
    </row>
    <row r="1984" spans="1:9" ht="18.75">
      <c r="A1984" s="241">
        <v>14661</v>
      </c>
      <c r="B1984" s="331">
        <v>0.08</v>
      </c>
      <c r="C1984" s="891">
        <v>12</v>
      </c>
      <c r="D1984" s="242" t="s">
        <v>1810</v>
      </c>
      <c r="E1984" s="581"/>
      <c r="F1984" s="558">
        <v>1650000</v>
      </c>
      <c r="G1984" s="140">
        <v>0.04</v>
      </c>
      <c r="H1984" s="882">
        <f t="shared" si="64"/>
        <v>66000</v>
      </c>
      <c r="I1984" s="1175" t="s">
        <v>1625</v>
      </c>
    </row>
    <row r="1985" spans="1:9" ht="18.75">
      <c r="A1985" s="241">
        <v>14673</v>
      </c>
      <c r="B1985" s="233">
        <v>0.1</v>
      </c>
      <c r="C1985" s="891">
        <v>12</v>
      </c>
      <c r="D1985" s="243" t="s">
        <v>1173</v>
      </c>
      <c r="E1985" s="581"/>
      <c r="F1985" s="558">
        <v>1500000</v>
      </c>
      <c r="G1985" s="478">
        <v>0.05</v>
      </c>
      <c r="H1985" s="882">
        <f t="shared" si="64"/>
        <v>75000</v>
      </c>
      <c r="I1985" s="1175" t="s">
        <v>1625</v>
      </c>
    </row>
    <row r="1986" spans="1:9" ht="18.75">
      <c r="A1986" s="241">
        <v>14688</v>
      </c>
      <c r="B1986" s="233">
        <v>0.1</v>
      </c>
      <c r="C1986" s="891">
        <v>12</v>
      </c>
      <c r="D1986" s="1057" t="s">
        <v>1175</v>
      </c>
      <c r="E1986" s="581"/>
      <c r="F1986" s="558">
        <v>1700000</v>
      </c>
      <c r="G1986" s="478">
        <v>0.05</v>
      </c>
      <c r="H1986" s="882">
        <f t="shared" si="64"/>
        <v>85000</v>
      </c>
      <c r="I1986" s="1175" t="s">
        <v>1625</v>
      </c>
    </row>
    <row r="1987" spans="1:9" ht="18.75">
      <c r="A1987" s="241">
        <v>14684</v>
      </c>
      <c r="B1987" s="233">
        <v>0.1</v>
      </c>
      <c r="C1987" s="891">
        <v>12</v>
      </c>
      <c r="D1987" s="243" t="s">
        <v>1195</v>
      </c>
      <c r="E1987" s="581"/>
      <c r="F1987" s="558">
        <v>900000</v>
      </c>
      <c r="G1987" s="478">
        <v>0.05</v>
      </c>
      <c r="H1987" s="882">
        <f t="shared" si="64"/>
        <v>45000</v>
      </c>
      <c r="I1987" s="1175" t="s">
        <v>1625</v>
      </c>
    </row>
    <row r="1988" spans="1:9" ht="18.75">
      <c r="A1988" s="241">
        <v>14698</v>
      </c>
      <c r="B1988" s="233">
        <v>0.1</v>
      </c>
      <c r="C1988" s="891">
        <v>12</v>
      </c>
      <c r="D1988" s="1057" t="s">
        <v>1181</v>
      </c>
      <c r="E1988" s="581"/>
      <c r="F1988" s="558">
        <v>1600000</v>
      </c>
      <c r="G1988" s="478">
        <v>0.05</v>
      </c>
      <c r="H1988" s="882">
        <f t="shared" si="64"/>
        <v>80000</v>
      </c>
      <c r="I1988" s="1175" t="s">
        <v>1625</v>
      </c>
    </row>
    <row r="1989" spans="1:9" ht="18.75">
      <c r="A1989" s="241">
        <v>14705</v>
      </c>
      <c r="B1989" s="233">
        <v>0.1</v>
      </c>
      <c r="C1989" s="891">
        <v>12</v>
      </c>
      <c r="D1989" s="243" t="s">
        <v>1180</v>
      </c>
      <c r="E1989" s="581"/>
      <c r="F1989" s="558">
        <v>1500000</v>
      </c>
      <c r="G1989" s="478">
        <v>0.05</v>
      </c>
      <c r="H1989" s="882">
        <f t="shared" si="64"/>
        <v>75000</v>
      </c>
      <c r="I1989" s="1175" t="s">
        <v>1625</v>
      </c>
    </row>
    <row r="1990" spans="1:9" ht="18.75">
      <c r="A1990" s="241">
        <v>14706</v>
      </c>
      <c r="B1990" s="233">
        <v>0.1</v>
      </c>
      <c r="C1990" s="891">
        <v>12</v>
      </c>
      <c r="D1990" s="243" t="s">
        <v>1182</v>
      </c>
      <c r="E1990" s="581"/>
      <c r="F1990" s="558">
        <v>1350000</v>
      </c>
      <c r="G1990" s="478">
        <v>0.05</v>
      </c>
      <c r="H1990" s="882">
        <f t="shared" si="64"/>
        <v>67500</v>
      </c>
      <c r="I1990" s="1175" t="s">
        <v>1625</v>
      </c>
    </row>
    <row r="1991" spans="1:9" ht="18.75">
      <c r="A1991" s="241">
        <v>14732</v>
      </c>
      <c r="B1991" s="233">
        <v>0.1</v>
      </c>
      <c r="C1991" s="891">
        <v>12</v>
      </c>
      <c r="D1991" s="243" t="s">
        <v>1183</v>
      </c>
      <c r="E1991" s="581"/>
      <c r="F1991" s="558">
        <v>1400000</v>
      </c>
      <c r="G1991" s="478">
        <v>0.05</v>
      </c>
      <c r="H1991" s="882">
        <f t="shared" si="64"/>
        <v>70000</v>
      </c>
      <c r="I1991" s="1175" t="s">
        <v>1625</v>
      </c>
    </row>
    <row r="1992" spans="1:9" ht="18.75">
      <c r="A1992" s="241">
        <v>14756</v>
      </c>
      <c r="B1992" s="331">
        <v>0.09</v>
      </c>
      <c r="C1992" s="891">
        <v>12</v>
      </c>
      <c r="D1992" s="243" t="s">
        <v>1185</v>
      </c>
      <c r="E1992" s="1380"/>
      <c r="F1992" s="558">
        <v>1500000</v>
      </c>
      <c r="G1992" s="140">
        <v>0.04</v>
      </c>
      <c r="H1992" s="882">
        <f t="shared" si="64"/>
        <v>60000</v>
      </c>
      <c r="I1992" s="1175" t="s">
        <v>1625</v>
      </c>
    </row>
    <row r="1993" spans="1:9" ht="18.75">
      <c r="A1993" s="241">
        <v>14763</v>
      </c>
      <c r="B1993" s="233">
        <v>0.1</v>
      </c>
      <c r="C1993" s="891">
        <v>12</v>
      </c>
      <c r="D1993" s="243" t="s">
        <v>1193</v>
      </c>
      <c r="E1993" s="581"/>
      <c r="F1993" s="558">
        <v>1700000</v>
      </c>
      <c r="G1993" s="478">
        <v>0.05</v>
      </c>
      <c r="H1993" s="882">
        <f t="shared" si="64"/>
        <v>85000</v>
      </c>
      <c r="I1993" s="1175" t="s">
        <v>1625</v>
      </c>
    </row>
    <row r="1994" spans="1:9" ht="18.75">
      <c r="A1994" s="241">
        <v>14771</v>
      </c>
      <c r="B1994" s="233">
        <v>0.1</v>
      </c>
      <c r="C1994" s="891">
        <v>12</v>
      </c>
      <c r="D1994" s="243" t="s">
        <v>243</v>
      </c>
      <c r="E1994" s="581"/>
      <c r="F1994" s="558">
        <v>1550000</v>
      </c>
      <c r="G1994" s="478">
        <v>0.05</v>
      </c>
      <c r="H1994" s="882">
        <f t="shared" si="64"/>
        <v>77500</v>
      </c>
      <c r="I1994" s="1175" t="s">
        <v>1625</v>
      </c>
    </row>
    <row r="1995" spans="1:9" ht="18.75">
      <c r="A1995" s="241">
        <v>14797</v>
      </c>
      <c r="B1995" s="233">
        <v>0.1</v>
      </c>
      <c r="C1995" s="233">
        <v>0.12</v>
      </c>
      <c r="D1995" s="243" t="s">
        <v>1811</v>
      </c>
      <c r="E1995" s="243"/>
      <c r="F1995" s="558">
        <v>1600000</v>
      </c>
      <c r="G1995" s="478">
        <v>0.05</v>
      </c>
      <c r="H1995" s="882">
        <f t="shared" si="64"/>
        <v>80000</v>
      </c>
      <c r="I1995" s="1175" t="s">
        <v>1625</v>
      </c>
    </row>
    <row r="1996" spans="1:9" ht="18.75">
      <c r="A1996" s="241">
        <v>14785</v>
      </c>
      <c r="B1996" s="233">
        <v>0.1</v>
      </c>
      <c r="C1996" s="891">
        <v>12</v>
      </c>
      <c r="D1996" s="243" t="s">
        <v>1812</v>
      </c>
      <c r="E1996" s="581"/>
      <c r="F1996" s="558">
        <v>1300000</v>
      </c>
      <c r="G1996" s="478">
        <v>0.05</v>
      </c>
      <c r="H1996" s="882">
        <f t="shared" si="64"/>
        <v>65000</v>
      </c>
      <c r="I1996" s="1175" t="s">
        <v>1625</v>
      </c>
    </row>
    <row r="1997" spans="1:9" ht="18.75">
      <c r="A1997" s="241">
        <v>14764</v>
      </c>
      <c r="B1997" s="233">
        <v>0.1</v>
      </c>
      <c r="C1997" s="891">
        <v>12</v>
      </c>
      <c r="D1997" s="243" t="s">
        <v>1813</v>
      </c>
      <c r="E1997" s="581"/>
      <c r="F1997" s="558">
        <v>750000</v>
      </c>
      <c r="G1997" s="478">
        <v>0.05</v>
      </c>
      <c r="H1997" s="882">
        <f t="shared" si="64"/>
        <v>37500</v>
      </c>
      <c r="I1997" s="1175" t="s">
        <v>1625</v>
      </c>
    </row>
    <row r="1998" spans="1:9" ht="18.75">
      <c r="A1998" s="241">
        <v>14820</v>
      </c>
      <c r="B1998" s="233">
        <v>0.1</v>
      </c>
      <c r="C1998" s="891">
        <v>12</v>
      </c>
      <c r="D1998" s="1057" t="s">
        <v>1233</v>
      </c>
      <c r="E1998" s="1380"/>
      <c r="F1998" s="558">
        <v>1350000</v>
      </c>
      <c r="G1998" s="478">
        <v>0.05</v>
      </c>
      <c r="H1998" s="882">
        <f t="shared" si="64"/>
        <v>67500</v>
      </c>
      <c r="I1998" s="1175" t="s">
        <v>1625</v>
      </c>
    </row>
    <row r="1999" spans="1:9" ht="18.75">
      <c r="A1999" s="241">
        <v>14818</v>
      </c>
      <c r="B1999" s="233">
        <v>0.1</v>
      </c>
      <c r="C1999" s="891">
        <v>12</v>
      </c>
      <c r="D1999" s="243" t="s">
        <v>1186</v>
      </c>
      <c r="E1999" s="581"/>
      <c r="F1999" s="558">
        <v>1200000</v>
      </c>
      <c r="G1999" s="478">
        <v>0.05</v>
      </c>
      <c r="H1999" s="882">
        <f t="shared" si="64"/>
        <v>60000</v>
      </c>
      <c r="I1999" s="1175" t="s">
        <v>1625</v>
      </c>
    </row>
    <row r="2000" spans="1:9" ht="18.75">
      <c r="A2000" s="241">
        <v>14845</v>
      </c>
      <c r="B2000" s="233">
        <v>0.1</v>
      </c>
      <c r="C2000" s="891">
        <v>12</v>
      </c>
      <c r="D2000" s="243" t="s">
        <v>1187</v>
      </c>
      <c r="E2000" s="581"/>
      <c r="F2000" s="558">
        <v>1100000</v>
      </c>
      <c r="G2000" s="478">
        <v>0.05</v>
      </c>
      <c r="H2000" s="882">
        <f t="shared" si="64"/>
        <v>55000</v>
      </c>
      <c r="I2000" s="1175" t="s">
        <v>1625</v>
      </c>
    </row>
    <row r="2001" spans="1:9" ht="18.75">
      <c r="A2001" s="241">
        <v>14829</v>
      </c>
      <c r="B2001" s="331">
        <v>0.08</v>
      </c>
      <c r="C2001" s="891">
        <v>6</v>
      </c>
      <c r="D2001" s="243" t="s">
        <v>1814</v>
      </c>
      <c r="E2001" s="581"/>
      <c r="F2001" s="558">
        <v>3000000</v>
      </c>
      <c r="G2001" s="140">
        <v>0.04</v>
      </c>
      <c r="H2001" s="882">
        <f t="shared" si="64"/>
        <v>120000</v>
      </c>
      <c r="I2001" s="1175" t="s">
        <v>1625</v>
      </c>
    </row>
    <row r="2002" spans="1:9" ht="30.75">
      <c r="A2002" s="209" t="s">
        <v>245</v>
      </c>
      <c r="B2002" s="267"/>
      <c r="C2002" s="1225"/>
      <c r="D2002" s="1075" t="s">
        <v>1226</v>
      </c>
      <c r="E2002" s="1393" t="s">
        <v>1815</v>
      </c>
      <c r="F2002" s="889"/>
      <c r="G2002" s="348"/>
      <c r="H2002" s="885"/>
      <c r="I2002" s="1175"/>
    </row>
    <row r="2003" spans="1:9" ht="18.75">
      <c r="A2003" s="209" t="s">
        <v>1071</v>
      </c>
      <c r="B2003" s="267">
        <v>0.1</v>
      </c>
      <c r="C2003" s="1225">
        <v>12</v>
      </c>
      <c r="D2003" s="277" t="s">
        <v>1234</v>
      </c>
      <c r="E2003" s="567" t="s">
        <v>1816</v>
      </c>
      <c r="F2003" s="889"/>
      <c r="G2003" s="348"/>
      <c r="H2003" s="885"/>
      <c r="I2003" s="1175"/>
    </row>
    <row r="2004" spans="1:9" ht="20.25">
      <c r="A2004" s="163"/>
      <c r="B2004" s="318"/>
      <c r="C2004" s="1131"/>
      <c r="D2004" s="266"/>
      <c r="E2004" s="947"/>
      <c r="F2004" s="948">
        <f>SUM(F1981:F2003)</f>
        <v>30250000</v>
      </c>
      <c r="G2004" s="1088"/>
      <c r="H2004" s="1394">
        <f>SUM(H1981:H2003)</f>
        <v>1451000</v>
      </c>
      <c r="I2004" s="1172"/>
    </row>
    <row r="2005" spans="1:9" ht="18.75">
      <c r="A2005" s="1646"/>
      <c r="B2005" s="1646"/>
      <c r="C2005" s="1646"/>
      <c r="D2005" s="1646"/>
      <c r="E2005" s="1646"/>
      <c r="F2005" s="1646"/>
      <c r="G2005" s="1646"/>
      <c r="H2005" s="1646"/>
    </row>
    <row r="2006" spans="1:9" ht="18.75">
      <c r="A2006" s="1647"/>
      <c r="B2006" s="1647"/>
      <c r="C2006" s="1647"/>
      <c r="D2006" s="1647"/>
      <c r="E2006" s="1647"/>
      <c r="F2006" s="1647"/>
      <c r="G2006" s="1647"/>
      <c r="H2006" s="1647"/>
    </row>
    <row r="2007" spans="1:9" ht="26.25">
      <c r="A2007" s="1640" t="s">
        <v>1817</v>
      </c>
      <c r="B2007" s="1640"/>
      <c r="C2007" s="1640"/>
      <c r="D2007" s="1641"/>
      <c r="E2007" s="1640"/>
      <c r="F2007" s="1640"/>
      <c r="G2007" s="1640"/>
      <c r="H2007" s="1642"/>
      <c r="I2007" s="1172"/>
    </row>
    <row r="2008" spans="1:9" ht="30.75">
      <c r="A2008" s="45" t="s">
        <v>1463</v>
      </c>
      <c r="B2008" s="646" t="s">
        <v>1497</v>
      </c>
      <c r="C2008" s="1300" t="s">
        <v>1465</v>
      </c>
      <c r="D2008" s="87" t="s">
        <v>5</v>
      </c>
      <c r="E2008" s="732" t="s">
        <v>1466</v>
      </c>
      <c r="F2008" s="48" t="s">
        <v>1467</v>
      </c>
      <c r="G2008" s="48" t="s">
        <v>7</v>
      </c>
      <c r="H2008" s="62" t="s">
        <v>1468</v>
      </c>
      <c r="I2008" s="1173" t="s">
        <v>1624</v>
      </c>
    </row>
    <row r="2009" spans="1:9" ht="18.75">
      <c r="A2009" s="241">
        <v>14649</v>
      </c>
      <c r="B2009" s="233">
        <v>0.1</v>
      </c>
      <c r="C2009" s="891">
        <v>12</v>
      </c>
      <c r="D2009" s="259" t="s">
        <v>1818</v>
      </c>
      <c r="E2009" s="581"/>
      <c r="F2009" s="558">
        <v>1250000</v>
      </c>
      <c r="G2009" s="138">
        <v>0.03</v>
      </c>
      <c r="H2009" s="882">
        <f>F2009*G2009</f>
        <v>37500</v>
      </c>
      <c r="I2009" s="1175" t="s">
        <v>1625</v>
      </c>
    </row>
    <row r="2010" spans="1:9" ht="18.75">
      <c r="A2010" s="241">
        <v>14668</v>
      </c>
      <c r="B2010" s="233">
        <v>0.1</v>
      </c>
      <c r="C2010" s="891">
        <v>12</v>
      </c>
      <c r="D2010" s="1024" t="s">
        <v>1819</v>
      </c>
      <c r="E2010" s="581"/>
      <c r="F2010" s="558">
        <v>1800000</v>
      </c>
      <c r="G2010" s="138">
        <v>0.03</v>
      </c>
      <c r="H2010" s="882">
        <f t="shared" ref="H2010:H2020" si="65">F2010*G2010</f>
        <v>54000</v>
      </c>
      <c r="I2010" s="1175" t="s">
        <v>1625</v>
      </c>
    </row>
    <row r="2011" spans="1:9" ht="18.75">
      <c r="A2011" s="241">
        <v>14672</v>
      </c>
      <c r="B2011" s="233">
        <v>0.1</v>
      </c>
      <c r="C2011" s="891">
        <v>12</v>
      </c>
      <c r="D2011" s="1376" t="s">
        <v>1196</v>
      </c>
      <c r="E2011" s="581"/>
      <c r="F2011" s="558">
        <v>1400000</v>
      </c>
      <c r="G2011" s="138">
        <v>0.03</v>
      </c>
      <c r="H2011" s="882">
        <f t="shared" si="65"/>
        <v>42000</v>
      </c>
      <c r="I2011" s="1175" t="s">
        <v>1625</v>
      </c>
    </row>
    <row r="2012" spans="1:9" ht="18.75">
      <c r="A2012" s="241">
        <v>14703</v>
      </c>
      <c r="B2012" s="233">
        <v>0.1</v>
      </c>
      <c r="C2012" s="891">
        <v>12</v>
      </c>
      <c r="D2012" s="1057" t="s">
        <v>1820</v>
      </c>
      <c r="E2012" s="581"/>
      <c r="F2012" s="558">
        <v>850000</v>
      </c>
      <c r="G2012" s="138">
        <v>0.03</v>
      </c>
      <c r="H2012" s="882">
        <f t="shared" si="65"/>
        <v>25500</v>
      </c>
      <c r="I2012" s="1175" t="s">
        <v>1625</v>
      </c>
    </row>
    <row r="2013" spans="1:9" ht="18.75">
      <c r="A2013" s="241">
        <v>14710</v>
      </c>
      <c r="B2013" s="233">
        <v>0.1</v>
      </c>
      <c r="C2013" s="891">
        <v>12</v>
      </c>
      <c r="D2013" s="1057" t="s">
        <v>1821</v>
      </c>
      <c r="E2013" s="581"/>
      <c r="F2013" s="558">
        <v>1200000</v>
      </c>
      <c r="G2013" s="138">
        <v>0.03</v>
      </c>
      <c r="H2013" s="882">
        <f t="shared" si="65"/>
        <v>36000</v>
      </c>
      <c r="I2013" s="1175" t="s">
        <v>1625</v>
      </c>
    </row>
    <row r="2014" spans="1:9" ht="18.75">
      <c r="A2014" s="241">
        <v>14734</v>
      </c>
      <c r="B2014" s="233">
        <v>0.1</v>
      </c>
      <c r="C2014" s="891">
        <v>12</v>
      </c>
      <c r="D2014" s="1376" t="s">
        <v>1199</v>
      </c>
      <c r="E2014" s="581"/>
      <c r="F2014" s="558">
        <v>1600000</v>
      </c>
      <c r="G2014" s="138">
        <v>0.03</v>
      </c>
      <c r="H2014" s="882">
        <f t="shared" si="65"/>
        <v>48000</v>
      </c>
      <c r="I2014" s="1175" t="s">
        <v>1625</v>
      </c>
    </row>
    <row r="2015" spans="1:9" ht="18.75">
      <c r="A2015" s="241">
        <v>14783</v>
      </c>
      <c r="B2015" s="233">
        <v>0.1</v>
      </c>
      <c r="C2015" s="891">
        <v>12</v>
      </c>
      <c r="D2015" s="1376" t="s">
        <v>1221</v>
      </c>
      <c r="E2015" s="581"/>
      <c r="F2015" s="558">
        <v>1150000</v>
      </c>
      <c r="G2015" s="138">
        <v>0.03</v>
      </c>
      <c r="H2015" s="882">
        <f t="shared" si="65"/>
        <v>34500</v>
      </c>
      <c r="I2015" s="1175" t="s">
        <v>1625</v>
      </c>
    </row>
    <row r="2016" spans="1:9" ht="18.75">
      <c r="A2016" s="241">
        <v>14781</v>
      </c>
      <c r="B2016" s="331">
        <v>0.08</v>
      </c>
      <c r="C2016" s="891">
        <v>12</v>
      </c>
      <c r="D2016" s="243" t="s">
        <v>1231</v>
      </c>
      <c r="E2016" s="581"/>
      <c r="F2016" s="558">
        <v>1350000</v>
      </c>
      <c r="G2016" s="140">
        <v>0.02</v>
      </c>
      <c r="H2016" s="882">
        <f t="shared" si="65"/>
        <v>27000</v>
      </c>
      <c r="I2016" s="1175" t="s">
        <v>1625</v>
      </c>
    </row>
    <row r="2017" spans="1:9" ht="18.75">
      <c r="A2017" s="241">
        <v>14765</v>
      </c>
      <c r="B2017" s="233">
        <v>0.1</v>
      </c>
      <c r="C2017" s="891">
        <v>12</v>
      </c>
      <c r="D2017" s="1376" t="s">
        <v>1208</v>
      </c>
      <c r="E2017" s="581"/>
      <c r="F2017" s="558">
        <v>1100000</v>
      </c>
      <c r="G2017" s="138">
        <v>0.03</v>
      </c>
      <c r="H2017" s="882">
        <f t="shared" si="65"/>
        <v>33000</v>
      </c>
      <c r="I2017" s="1175" t="s">
        <v>1625</v>
      </c>
    </row>
    <row r="2018" spans="1:9" ht="18.75">
      <c r="A2018" s="241">
        <v>14784</v>
      </c>
      <c r="B2018" s="233">
        <v>0.1</v>
      </c>
      <c r="C2018" s="891">
        <v>12</v>
      </c>
      <c r="D2018" s="1376" t="s">
        <v>1224</v>
      </c>
      <c r="E2018" s="581"/>
      <c r="F2018" s="558">
        <v>1600000</v>
      </c>
      <c r="G2018" s="138">
        <v>0.03</v>
      </c>
      <c r="H2018" s="882">
        <f t="shared" si="65"/>
        <v>48000</v>
      </c>
      <c r="I2018" s="1175" t="s">
        <v>1625</v>
      </c>
    </row>
    <row r="2019" spans="1:9" ht="18.75">
      <c r="A2019" s="241">
        <v>14819</v>
      </c>
      <c r="B2019" s="233">
        <v>0.1</v>
      </c>
      <c r="C2019" s="891">
        <v>12</v>
      </c>
      <c r="D2019" s="1376" t="s">
        <v>1223</v>
      </c>
      <c r="E2019" s="581"/>
      <c r="F2019" s="558">
        <v>1200000</v>
      </c>
      <c r="G2019" s="138">
        <v>0.03</v>
      </c>
      <c r="H2019" s="882">
        <f t="shared" si="65"/>
        <v>36000</v>
      </c>
      <c r="I2019" s="1175" t="s">
        <v>1625</v>
      </c>
    </row>
    <row r="2020" spans="1:9" ht="18.75">
      <c r="A2020" s="241">
        <v>14860</v>
      </c>
      <c r="B2020" s="233">
        <v>0.1</v>
      </c>
      <c r="C2020" s="891">
        <v>12</v>
      </c>
      <c r="D2020" s="1376" t="s">
        <v>1211</v>
      </c>
      <c r="E2020" s="581"/>
      <c r="F2020" s="558">
        <v>1000000</v>
      </c>
      <c r="G2020" s="138">
        <v>0.03</v>
      </c>
      <c r="H2020" s="882">
        <f t="shared" si="65"/>
        <v>30000</v>
      </c>
      <c r="I2020" s="1175" t="s">
        <v>1625</v>
      </c>
    </row>
    <row r="2021" spans="1:9" ht="18.75">
      <c r="A2021" s="209" t="s">
        <v>297</v>
      </c>
      <c r="B2021" s="267">
        <v>0.1</v>
      </c>
      <c r="C2021" s="1225">
        <v>12</v>
      </c>
      <c r="D2021" s="1345" t="s">
        <v>1822</v>
      </c>
      <c r="E2021" s="567"/>
      <c r="F2021" s="889"/>
      <c r="G2021" s="220"/>
      <c r="H2021" s="883"/>
      <c r="I2021" s="1175"/>
    </row>
    <row r="2022" spans="1:9" ht="18.75">
      <c r="A2022" s="209" t="s">
        <v>297</v>
      </c>
      <c r="B2022" s="267">
        <v>0.1</v>
      </c>
      <c r="C2022" s="1225">
        <v>12</v>
      </c>
      <c r="D2022" s="1345" t="s">
        <v>1236</v>
      </c>
      <c r="E2022" s="567"/>
      <c r="F2022" s="889"/>
      <c r="G2022" s="220"/>
      <c r="H2022" s="883"/>
      <c r="I2022" s="1175"/>
    </row>
    <row r="2023" spans="1:9" ht="18.75">
      <c r="A2023" s="209" t="s">
        <v>297</v>
      </c>
      <c r="B2023" s="267"/>
      <c r="C2023" s="1225"/>
      <c r="D2023" s="819" t="s">
        <v>1823</v>
      </c>
      <c r="E2023" s="567" t="s">
        <v>1239</v>
      </c>
      <c r="F2023" s="889"/>
      <c r="G2023" s="220"/>
      <c r="H2023" s="883"/>
      <c r="I2023" s="1175"/>
    </row>
    <row r="2024" spans="1:9" ht="18.75">
      <c r="A2024" s="209" t="s">
        <v>297</v>
      </c>
      <c r="B2024" s="267"/>
      <c r="C2024" s="1225"/>
      <c r="D2024" s="757" t="s">
        <v>1226</v>
      </c>
      <c r="E2024" s="567" t="s">
        <v>1824</v>
      </c>
      <c r="F2024" s="889"/>
      <c r="G2024" s="220"/>
      <c r="H2024" s="883"/>
      <c r="I2024" s="1175"/>
    </row>
    <row r="2025" spans="1:9" ht="18.75">
      <c r="A2025" s="209" t="s">
        <v>297</v>
      </c>
      <c r="B2025" s="267"/>
      <c r="C2025" s="1225"/>
      <c r="D2025" s="1382" t="s">
        <v>1215</v>
      </c>
      <c r="E2025" s="567"/>
      <c r="F2025" s="889"/>
      <c r="G2025" s="348"/>
      <c r="H2025" s="885"/>
      <c r="I2025" s="1175"/>
    </row>
    <row r="2026" spans="1:9" ht="20.25">
      <c r="A2026" s="163"/>
      <c r="B2026" s="318"/>
      <c r="C2026" s="1131"/>
      <c r="D2026" s="266"/>
      <c r="E2026" s="947"/>
      <c r="F2026" s="948">
        <f>SUM(F2009:F2025)</f>
        <v>15500000</v>
      </c>
      <c r="G2026" s="1088"/>
      <c r="H2026" s="1394">
        <f>SUM(H2009:H2020)</f>
        <v>451500</v>
      </c>
      <c r="I2026" s="1172"/>
    </row>
    <row r="2027" spans="1:9" ht="20.25">
      <c r="A2027" s="1290"/>
      <c r="B2027" s="1291"/>
      <c r="C2027" s="1292"/>
      <c r="D2027" s="1293"/>
      <c r="E2027" s="1294"/>
      <c r="F2027" s="1297"/>
      <c r="G2027" s="1330"/>
      <c r="H2027" s="1331"/>
    </row>
    <row r="2028" spans="1:9" ht="20.25">
      <c r="A2028" s="1290"/>
      <c r="B2028" s="1291"/>
      <c r="C2028" s="1292"/>
      <c r="D2028" s="1293"/>
      <c r="E2028" s="1294"/>
      <c r="F2028" s="1297"/>
      <c r="G2028" s="1330"/>
      <c r="H2028" s="1331"/>
    </row>
    <row r="2029" spans="1:9">
      <c r="A2029" s="1648"/>
      <c r="B2029" s="1648"/>
      <c r="C2029" s="1648"/>
      <c r="D2029" s="1648"/>
      <c r="E2029" s="1648"/>
      <c r="F2029" s="1648"/>
      <c r="G2029" s="1648"/>
      <c r="H2029" s="1648"/>
      <c r="I2029" s="1648"/>
    </row>
    <row r="2030" spans="1:9" ht="26.25">
      <c r="A2030" s="1640" t="s">
        <v>1825</v>
      </c>
      <c r="B2030" s="1640"/>
      <c r="C2030" s="1641"/>
      <c r="D2030" s="1640"/>
      <c r="E2030" s="1640"/>
      <c r="F2030" s="1640"/>
      <c r="G2030" s="1640"/>
      <c r="H2030" s="1640"/>
    </row>
    <row r="2031" spans="1:9" ht="30.75">
      <c r="A2031" s="45"/>
      <c r="B2031" s="646" t="s">
        <v>1497</v>
      </c>
      <c r="C2031" s="132" t="s">
        <v>1465</v>
      </c>
      <c r="D2031" s="647" t="s">
        <v>5</v>
      </c>
      <c r="E2031" s="47" t="s">
        <v>1466</v>
      </c>
      <c r="F2031" s="48" t="s">
        <v>1467</v>
      </c>
      <c r="G2031" s="48" t="s">
        <v>7</v>
      </c>
      <c r="H2031" s="48" t="s">
        <v>1468</v>
      </c>
    </row>
    <row r="2032" spans="1:9" ht="18.75">
      <c r="A2032" s="241">
        <v>14612</v>
      </c>
      <c r="B2032" s="331">
        <v>0.09</v>
      </c>
      <c r="C2032" s="770">
        <v>12</v>
      </c>
      <c r="D2032" s="137" t="s">
        <v>1190</v>
      </c>
      <c r="E2032" s="1263"/>
      <c r="F2032" s="558">
        <v>1250000</v>
      </c>
      <c r="G2032" s="140">
        <v>0.01</v>
      </c>
      <c r="H2032" s="1254">
        <f>F2032*G2032</f>
        <v>12500</v>
      </c>
    </row>
    <row r="2033" spans="1:8" ht="18.75">
      <c r="A2033" s="241">
        <v>14618</v>
      </c>
      <c r="B2033" s="233">
        <v>0.1</v>
      </c>
      <c r="C2033" s="770">
        <v>12</v>
      </c>
      <c r="D2033" s="1232" t="s">
        <v>1243</v>
      </c>
      <c r="E2033" s="1263"/>
      <c r="F2033" s="558">
        <v>1400000</v>
      </c>
      <c r="G2033" s="478">
        <v>0.02</v>
      </c>
      <c r="H2033" s="1254">
        <f t="shared" ref="H2033:H2067" si="66">F2033*G2033</f>
        <v>28000</v>
      </c>
    </row>
    <row r="2034" spans="1:8" ht="18.75">
      <c r="A2034" s="241">
        <v>14659</v>
      </c>
      <c r="B2034" s="233">
        <v>0.1</v>
      </c>
      <c r="C2034" s="770">
        <v>12</v>
      </c>
      <c r="D2034" s="259" t="s">
        <v>1198</v>
      </c>
      <c r="E2034" s="1263"/>
      <c r="F2034" s="558">
        <v>850000</v>
      </c>
      <c r="G2034" s="478">
        <v>0.02</v>
      </c>
      <c r="H2034" s="1254">
        <f t="shared" si="66"/>
        <v>17000</v>
      </c>
    </row>
    <row r="2035" spans="1:8" ht="18.75">
      <c r="A2035" s="241">
        <v>14617</v>
      </c>
      <c r="B2035" s="233">
        <v>0.1</v>
      </c>
      <c r="C2035" s="233">
        <v>0.12</v>
      </c>
      <c r="D2035" s="764" t="s">
        <v>1230</v>
      </c>
      <c r="E2035" s="137"/>
      <c r="F2035" s="558">
        <v>1000000</v>
      </c>
      <c r="G2035" s="138">
        <v>0.02</v>
      </c>
      <c r="H2035" s="1254">
        <f t="shared" si="66"/>
        <v>20000</v>
      </c>
    </row>
    <row r="2036" spans="1:8" ht="18.75">
      <c r="A2036" s="241">
        <v>14639</v>
      </c>
      <c r="B2036" s="233">
        <v>0.1</v>
      </c>
      <c r="C2036" s="233">
        <v>0.12</v>
      </c>
      <c r="D2036" s="1057" t="s">
        <v>1206</v>
      </c>
      <c r="E2036" s="1057"/>
      <c r="F2036" s="558">
        <v>1400000</v>
      </c>
      <c r="G2036" s="478">
        <v>0.02</v>
      </c>
      <c r="H2036" s="1254">
        <f t="shared" si="66"/>
        <v>28000</v>
      </c>
    </row>
    <row r="2037" spans="1:8" ht="18.75">
      <c r="A2037" s="241">
        <v>14637</v>
      </c>
      <c r="B2037" s="233">
        <v>0.1</v>
      </c>
      <c r="C2037" s="891">
        <v>12</v>
      </c>
      <c r="D2037" s="243" t="s">
        <v>1192</v>
      </c>
      <c r="E2037" s="581"/>
      <c r="F2037" s="558">
        <v>1200000</v>
      </c>
      <c r="G2037" s="478">
        <v>0.02</v>
      </c>
      <c r="H2037" s="1254">
        <f t="shared" si="66"/>
        <v>24000</v>
      </c>
    </row>
    <row r="2038" spans="1:8" ht="18.75">
      <c r="A2038" s="241">
        <v>14661</v>
      </c>
      <c r="B2038" s="331">
        <v>0.08</v>
      </c>
      <c r="C2038" s="891">
        <v>12</v>
      </c>
      <c r="D2038" s="242" t="s">
        <v>1810</v>
      </c>
      <c r="E2038" s="581"/>
      <c r="F2038" s="558">
        <v>1650000</v>
      </c>
      <c r="G2038" s="140">
        <v>0.01</v>
      </c>
      <c r="H2038" s="1254">
        <f t="shared" si="66"/>
        <v>16500</v>
      </c>
    </row>
    <row r="2039" spans="1:8" ht="18.75">
      <c r="A2039" s="241">
        <v>14673</v>
      </c>
      <c r="B2039" s="233">
        <v>0.1</v>
      </c>
      <c r="C2039" s="891">
        <v>12</v>
      </c>
      <c r="D2039" s="243" t="s">
        <v>1173</v>
      </c>
      <c r="E2039" s="581"/>
      <c r="F2039" s="558">
        <v>1500000</v>
      </c>
      <c r="G2039" s="478">
        <v>0.02</v>
      </c>
      <c r="H2039" s="1254">
        <f t="shared" si="66"/>
        <v>30000</v>
      </c>
    </row>
    <row r="2040" spans="1:8" ht="18.75">
      <c r="A2040" s="241">
        <v>14688</v>
      </c>
      <c r="B2040" s="233">
        <v>0.1</v>
      </c>
      <c r="C2040" s="891">
        <v>12</v>
      </c>
      <c r="D2040" s="1057" t="s">
        <v>1175</v>
      </c>
      <c r="E2040" s="581"/>
      <c r="F2040" s="558">
        <v>1700000</v>
      </c>
      <c r="G2040" s="478">
        <v>0.02</v>
      </c>
      <c r="H2040" s="1254">
        <f t="shared" si="66"/>
        <v>34000</v>
      </c>
    </row>
    <row r="2041" spans="1:8" ht="18.75">
      <c r="A2041" s="241">
        <v>14684</v>
      </c>
      <c r="B2041" s="233">
        <v>0.1</v>
      </c>
      <c r="C2041" s="891">
        <v>12</v>
      </c>
      <c r="D2041" s="243" t="s">
        <v>1195</v>
      </c>
      <c r="E2041" s="581"/>
      <c r="F2041" s="558">
        <v>900000</v>
      </c>
      <c r="G2041" s="478">
        <v>0.02</v>
      </c>
      <c r="H2041" s="1254">
        <f t="shared" si="66"/>
        <v>18000</v>
      </c>
    </row>
    <row r="2042" spans="1:8" ht="18.75">
      <c r="A2042" s="241">
        <v>14698</v>
      </c>
      <c r="B2042" s="233">
        <v>0.1</v>
      </c>
      <c r="C2042" s="891">
        <v>12</v>
      </c>
      <c r="D2042" s="1057" t="s">
        <v>1181</v>
      </c>
      <c r="E2042" s="581"/>
      <c r="F2042" s="558">
        <v>1600000</v>
      </c>
      <c r="G2042" s="478">
        <v>0.02</v>
      </c>
      <c r="H2042" s="1254">
        <f t="shared" si="66"/>
        <v>32000</v>
      </c>
    </row>
    <row r="2043" spans="1:8" ht="18.75">
      <c r="A2043" s="241">
        <v>14705</v>
      </c>
      <c r="B2043" s="233">
        <v>0.1</v>
      </c>
      <c r="C2043" s="891">
        <v>12</v>
      </c>
      <c r="D2043" s="243" t="s">
        <v>1180</v>
      </c>
      <c r="E2043" s="581"/>
      <c r="F2043" s="558">
        <v>1500000</v>
      </c>
      <c r="G2043" s="478">
        <v>0.02</v>
      </c>
      <c r="H2043" s="1254">
        <f t="shared" si="66"/>
        <v>30000</v>
      </c>
    </row>
    <row r="2044" spans="1:8" ht="18.75">
      <c r="A2044" s="241">
        <v>14706</v>
      </c>
      <c r="B2044" s="233">
        <v>0.1</v>
      </c>
      <c r="C2044" s="891">
        <v>12</v>
      </c>
      <c r="D2044" s="243" t="s">
        <v>1182</v>
      </c>
      <c r="E2044" s="581"/>
      <c r="F2044" s="558">
        <v>1350000</v>
      </c>
      <c r="G2044" s="478">
        <v>0.02</v>
      </c>
      <c r="H2044" s="1254">
        <f t="shared" si="66"/>
        <v>27000</v>
      </c>
    </row>
    <row r="2045" spans="1:8" ht="18.75">
      <c r="A2045" s="241">
        <v>14732</v>
      </c>
      <c r="B2045" s="233">
        <v>0.1</v>
      </c>
      <c r="C2045" s="891">
        <v>12</v>
      </c>
      <c r="D2045" s="243" t="s">
        <v>1183</v>
      </c>
      <c r="E2045" s="581"/>
      <c r="F2045" s="558">
        <v>1400000</v>
      </c>
      <c r="G2045" s="478">
        <v>0.02</v>
      </c>
      <c r="H2045" s="1254">
        <f t="shared" si="66"/>
        <v>28000</v>
      </c>
    </row>
    <row r="2046" spans="1:8" ht="18.75">
      <c r="A2046" s="241">
        <v>14756</v>
      </c>
      <c r="B2046" s="331">
        <v>0.09</v>
      </c>
      <c r="C2046" s="891">
        <v>12</v>
      </c>
      <c r="D2046" s="243" t="s">
        <v>1185</v>
      </c>
      <c r="E2046" s="1380"/>
      <c r="F2046" s="558">
        <v>1500000</v>
      </c>
      <c r="G2046" s="140">
        <v>0.01</v>
      </c>
      <c r="H2046" s="1254">
        <f t="shared" si="66"/>
        <v>15000</v>
      </c>
    </row>
    <row r="2047" spans="1:8" ht="18.75">
      <c r="A2047" s="241">
        <v>14763</v>
      </c>
      <c r="B2047" s="233">
        <v>0.1</v>
      </c>
      <c r="C2047" s="891">
        <v>12</v>
      </c>
      <c r="D2047" s="243" t="s">
        <v>1193</v>
      </c>
      <c r="E2047" s="581"/>
      <c r="F2047" s="558">
        <v>1700000</v>
      </c>
      <c r="G2047" s="478">
        <v>0.02</v>
      </c>
      <c r="H2047" s="1254">
        <f t="shared" si="66"/>
        <v>34000</v>
      </c>
    </row>
    <row r="2048" spans="1:8" ht="18.75">
      <c r="A2048" s="241">
        <v>14771</v>
      </c>
      <c r="B2048" s="233">
        <v>0.1</v>
      </c>
      <c r="C2048" s="891">
        <v>12</v>
      </c>
      <c r="D2048" s="243" t="s">
        <v>243</v>
      </c>
      <c r="E2048" s="581"/>
      <c r="F2048" s="558">
        <v>1550000</v>
      </c>
      <c r="G2048" s="478">
        <v>0.02</v>
      </c>
      <c r="H2048" s="1254">
        <f t="shared" si="66"/>
        <v>31000</v>
      </c>
    </row>
    <row r="2049" spans="1:8" ht="18.75">
      <c r="A2049" s="241">
        <v>14797</v>
      </c>
      <c r="B2049" s="233">
        <v>0.1</v>
      </c>
      <c r="C2049" s="233">
        <v>0.12</v>
      </c>
      <c r="D2049" s="243" t="s">
        <v>1811</v>
      </c>
      <c r="E2049" s="243"/>
      <c r="F2049" s="558">
        <v>1600000</v>
      </c>
      <c r="G2049" s="478">
        <v>0.02</v>
      </c>
      <c r="H2049" s="1254">
        <f t="shared" si="66"/>
        <v>32000</v>
      </c>
    </row>
    <row r="2050" spans="1:8" ht="18.75">
      <c r="A2050" s="241">
        <v>14785</v>
      </c>
      <c r="B2050" s="233">
        <v>0.1</v>
      </c>
      <c r="C2050" s="891">
        <v>12</v>
      </c>
      <c r="D2050" s="243" t="s">
        <v>1812</v>
      </c>
      <c r="E2050" s="581"/>
      <c r="F2050" s="558">
        <v>1300000</v>
      </c>
      <c r="G2050" s="478">
        <v>0.02</v>
      </c>
      <c r="H2050" s="1254">
        <f t="shared" si="66"/>
        <v>26000</v>
      </c>
    </row>
    <row r="2051" spans="1:8" ht="18.75">
      <c r="A2051" s="241">
        <v>14764</v>
      </c>
      <c r="B2051" s="233">
        <v>0.1</v>
      </c>
      <c r="C2051" s="891">
        <v>12</v>
      </c>
      <c r="D2051" s="243" t="s">
        <v>1813</v>
      </c>
      <c r="E2051" s="581"/>
      <c r="F2051" s="558">
        <v>750000</v>
      </c>
      <c r="G2051" s="478">
        <v>0.02</v>
      </c>
      <c r="H2051" s="1254">
        <f t="shared" si="66"/>
        <v>15000</v>
      </c>
    </row>
    <row r="2052" spans="1:8" ht="18.75">
      <c r="A2052" s="241">
        <v>14820</v>
      </c>
      <c r="B2052" s="233">
        <v>0.1</v>
      </c>
      <c r="C2052" s="891">
        <v>12</v>
      </c>
      <c r="D2052" s="1057" t="s">
        <v>1233</v>
      </c>
      <c r="E2052" s="1380"/>
      <c r="F2052" s="558">
        <v>1350000</v>
      </c>
      <c r="G2052" s="478">
        <v>0.02</v>
      </c>
      <c r="H2052" s="1254">
        <f t="shared" si="66"/>
        <v>27000</v>
      </c>
    </row>
    <row r="2053" spans="1:8" ht="18.75">
      <c r="A2053" s="241">
        <v>14818</v>
      </c>
      <c r="B2053" s="233">
        <v>0.1</v>
      </c>
      <c r="C2053" s="891">
        <v>12</v>
      </c>
      <c r="D2053" s="243" t="s">
        <v>1826</v>
      </c>
      <c r="E2053" s="581"/>
      <c r="F2053" s="558">
        <v>1200000</v>
      </c>
      <c r="G2053" s="478">
        <v>0.02</v>
      </c>
      <c r="H2053" s="1254">
        <f t="shared" si="66"/>
        <v>24000</v>
      </c>
    </row>
    <row r="2054" spans="1:8" ht="18.75">
      <c r="A2054" s="241">
        <v>14845</v>
      </c>
      <c r="B2054" s="233">
        <v>0.1</v>
      </c>
      <c r="C2054" s="891">
        <v>12</v>
      </c>
      <c r="D2054" s="243" t="s">
        <v>1187</v>
      </c>
      <c r="E2054" s="581"/>
      <c r="F2054" s="558">
        <v>1100000</v>
      </c>
      <c r="G2054" s="478">
        <v>0.02</v>
      </c>
      <c r="H2054" s="1254">
        <f t="shared" si="66"/>
        <v>22000</v>
      </c>
    </row>
    <row r="2055" spans="1:8" ht="18.75">
      <c r="A2055" s="241">
        <v>14829</v>
      </c>
      <c r="B2055" s="331">
        <v>0.08</v>
      </c>
      <c r="C2055" s="891">
        <v>6</v>
      </c>
      <c r="D2055" s="243" t="s">
        <v>1814</v>
      </c>
      <c r="E2055" s="581"/>
      <c r="F2055" s="558">
        <v>3000000</v>
      </c>
      <c r="G2055" s="140">
        <v>0.01</v>
      </c>
      <c r="H2055" s="1254">
        <f t="shared" si="66"/>
        <v>30000</v>
      </c>
    </row>
    <row r="2056" spans="1:8" ht="18.75">
      <c r="A2056" s="241">
        <v>14649</v>
      </c>
      <c r="B2056" s="233">
        <v>0.1</v>
      </c>
      <c r="C2056" s="891">
        <v>12</v>
      </c>
      <c r="D2056" s="259" t="s">
        <v>1818</v>
      </c>
      <c r="E2056" s="581"/>
      <c r="F2056" s="558">
        <v>1250000</v>
      </c>
      <c r="G2056" s="138">
        <v>0.02</v>
      </c>
      <c r="H2056" s="1254">
        <f t="shared" si="66"/>
        <v>25000</v>
      </c>
    </row>
    <row r="2057" spans="1:8" ht="18.75">
      <c r="A2057" s="241">
        <v>14668</v>
      </c>
      <c r="B2057" s="233">
        <v>0.1</v>
      </c>
      <c r="C2057" s="891">
        <v>12</v>
      </c>
      <c r="D2057" s="1024" t="s">
        <v>1819</v>
      </c>
      <c r="E2057" s="581"/>
      <c r="F2057" s="558">
        <v>1800000</v>
      </c>
      <c r="G2057" s="138">
        <v>0.02</v>
      </c>
      <c r="H2057" s="1254">
        <f t="shared" si="66"/>
        <v>36000</v>
      </c>
    </row>
    <row r="2058" spans="1:8" ht="18.75">
      <c r="A2058" s="241">
        <v>14672</v>
      </c>
      <c r="B2058" s="233">
        <v>0.1</v>
      </c>
      <c r="C2058" s="891">
        <v>12</v>
      </c>
      <c r="D2058" s="1376" t="s">
        <v>1196</v>
      </c>
      <c r="E2058" s="581"/>
      <c r="F2058" s="558">
        <v>1400000</v>
      </c>
      <c r="G2058" s="138">
        <v>0.02</v>
      </c>
      <c r="H2058" s="1254">
        <f t="shared" si="66"/>
        <v>28000</v>
      </c>
    </row>
    <row r="2059" spans="1:8" ht="18.75">
      <c r="A2059" s="241">
        <v>14703</v>
      </c>
      <c r="B2059" s="233">
        <v>0.1</v>
      </c>
      <c r="C2059" s="891">
        <v>12</v>
      </c>
      <c r="D2059" s="1057" t="s">
        <v>1820</v>
      </c>
      <c r="E2059" s="581"/>
      <c r="F2059" s="558">
        <v>850000</v>
      </c>
      <c r="G2059" s="138">
        <v>0.02</v>
      </c>
      <c r="H2059" s="1254">
        <f t="shared" si="66"/>
        <v>17000</v>
      </c>
    </row>
    <row r="2060" spans="1:8" ht="18.75">
      <c r="A2060" s="241">
        <v>14710</v>
      </c>
      <c r="B2060" s="233">
        <v>0.1</v>
      </c>
      <c r="C2060" s="891">
        <v>12</v>
      </c>
      <c r="D2060" s="1057" t="s">
        <v>1821</v>
      </c>
      <c r="E2060" s="581"/>
      <c r="F2060" s="558">
        <v>1200000</v>
      </c>
      <c r="G2060" s="138">
        <v>0.02</v>
      </c>
      <c r="H2060" s="1254">
        <f t="shared" si="66"/>
        <v>24000</v>
      </c>
    </row>
    <row r="2061" spans="1:8" ht="18.75">
      <c r="A2061" s="241">
        <v>14734</v>
      </c>
      <c r="B2061" s="233">
        <v>0.1</v>
      </c>
      <c r="C2061" s="891">
        <v>12</v>
      </c>
      <c r="D2061" s="1376" t="s">
        <v>1199</v>
      </c>
      <c r="E2061" s="581"/>
      <c r="F2061" s="558">
        <v>1600000</v>
      </c>
      <c r="G2061" s="138">
        <v>0.02</v>
      </c>
      <c r="H2061" s="1254">
        <f t="shared" si="66"/>
        <v>32000</v>
      </c>
    </row>
    <row r="2062" spans="1:8" ht="18.75">
      <c r="A2062" s="241">
        <v>14783</v>
      </c>
      <c r="B2062" s="233">
        <v>0.1</v>
      </c>
      <c r="C2062" s="891">
        <v>12</v>
      </c>
      <c r="D2062" s="1376" t="s">
        <v>1221</v>
      </c>
      <c r="E2062" s="581"/>
      <c r="F2062" s="558">
        <v>1150000</v>
      </c>
      <c r="G2062" s="138">
        <v>0.02</v>
      </c>
      <c r="H2062" s="1254">
        <f t="shared" si="66"/>
        <v>23000</v>
      </c>
    </row>
    <row r="2063" spans="1:8" ht="18.75">
      <c r="A2063" s="241">
        <v>14781</v>
      </c>
      <c r="B2063" s="233">
        <v>0.1</v>
      </c>
      <c r="C2063" s="891">
        <v>12</v>
      </c>
      <c r="D2063" s="243" t="s">
        <v>1231</v>
      </c>
      <c r="E2063" s="581"/>
      <c r="F2063" s="558">
        <v>1350000</v>
      </c>
      <c r="G2063" s="138">
        <v>0.02</v>
      </c>
      <c r="H2063" s="1254">
        <f t="shared" si="66"/>
        <v>27000</v>
      </c>
    </row>
    <row r="2064" spans="1:8" ht="18.75">
      <c r="A2064" s="241">
        <v>14765</v>
      </c>
      <c r="B2064" s="233">
        <v>0.1</v>
      </c>
      <c r="C2064" s="891">
        <v>12</v>
      </c>
      <c r="D2064" s="1376" t="s">
        <v>1208</v>
      </c>
      <c r="E2064" s="581"/>
      <c r="F2064" s="558">
        <v>1100000</v>
      </c>
      <c r="G2064" s="138">
        <v>0.02</v>
      </c>
      <c r="H2064" s="1254">
        <f t="shared" si="66"/>
        <v>22000</v>
      </c>
    </row>
    <row r="2065" spans="1:9" ht="18.75">
      <c r="A2065" s="241">
        <v>14784</v>
      </c>
      <c r="B2065" s="233">
        <v>0.1</v>
      </c>
      <c r="C2065" s="891">
        <v>12</v>
      </c>
      <c r="D2065" s="1376" t="s">
        <v>1224</v>
      </c>
      <c r="E2065" s="581"/>
      <c r="F2065" s="558">
        <v>1600000</v>
      </c>
      <c r="G2065" s="138">
        <v>0.02</v>
      </c>
      <c r="H2065" s="1254">
        <f t="shared" si="66"/>
        <v>32000</v>
      </c>
    </row>
    <row r="2066" spans="1:9" ht="18.75">
      <c r="A2066" s="241">
        <v>14819</v>
      </c>
      <c r="B2066" s="233">
        <v>0.1</v>
      </c>
      <c r="C2066" s="891">
        <v>12</v>
      </c>
      <c r="D2066" s="1376" t="s">
        <v>1223</v>
      </c>
      <c r="E2066" s="581"/>
      <c r="F2066" s="558">
        <v>1200000</v>
      </c>
      <c r="G2066" s="138">
        <v>0.02</v>
      </c>
      <c r="H2066" s="1254">
        <f t="shared" si="66"/>
        <v>24000</v>
      </c>
    </row>
    <row r="2067" spans="1:9" ht="18.75">
      <c r="A2067" s="241">
        <v>14860</v>
      </c>
      <c r="B2067" s="233">
        <v>0.1</v>
      </c>
      <c r="C2067" s="891">
        <v>12</v>
      </c>
      <c r="D2067" s="1376" t="s">
        <v>1211</v>
      </c>
      <c r="E2067" s="581"/>
      <c r="F2067" s="558">
        <v>1000000</v>
      </c>
      <c r="G2067" s="138">
        <v>0.02</v>
      </c>
      <c r="H2067" s="1254">
        <f t="shared" si="66"/>
        <v>20000</v>
      </c>
    </row>
    <row r="2068" spans="1:9" ht="18.75">
      <c r="A2068" s="163"/>
      <c r="B2068" s="1214"/>
      <c r="C2068" s="1188"/>
      <c r="D2068" s="262"/>
      <c r="E2068" s="833" t="s">
        <v>80</v>
      </c>
      <c r="F2068" s="834">
        <f>SUM(F2032:F2067)</f>
        <v>49250000</v>
      </c>
      <c r="G2068" s="162"/>
      <c r="H2068" s="550">
        <f>SUM(H2033:H2067)</f>
        <v>898500</v>
      </c>
    </row>
    <row r="2069" spans="1:9" ht="18.75">
      <c r="I2069" s="1395">
        <f>H2068/30*22</f>
        <v>658900</v>
      </c>
    </row>
    <row r="2070" spans="1:9" ht="18.75"/>
    <row r="2071" spans="1:9" ht="26.25">
      <c r="A2071" s="1643" t="s">
        <v>1827</v>
      </c>
      <c r="B2071" s="1643"/>
      <c r="C2071" s="1643"/>
      <c r="D2071" s="1643"/>
      <c r="E2071" s="1643"/>
      <c r="F2071" s="1643"/>
      <c r="G2071" s="1643"/>
      <c r="H2071" s="1644"/>
    </row>
    <row r="2072" spans="1:9" ht="18.75"/>
    <row r="2073" spans="1:9" ht="26.25">
      <c r="A2073" s="1641" t="s">
        <v>1566</v>
      </c>
      <c r="B2073" s="1640"/>
      <c r="C2073" s="1641"/>
      <c r="D2073" s="1641"/>
      <c r="E2073" s="1640"/>
      <c r="F2073" s="1640"/>
      <c r="G2073" s="1640"/>
      <c r="H2073" s="1642"/>
      <c r="I2073" s="1172"/>
    </row>
    <row r="2074" spans="1:9" ht="30.75">
      <c r="A2074" s="87" t="s">
        <v>1463</v>
      </c>
      <c r="B2074" s="1299" t="s">
        <v>1497</v>
      </c>
      <c r="C2074" s="731" t="s">
        <v>1465</v>
      </c>
      <c r="D2074" s="87" t="s">
        <v>5</v>
      </c>
      <c r="E2074" s="732" t="s">
        <v>1466</v>
      </c>
      <c r="F2074" s="48" t="s">
        <v>1467</v>
      </c>
      <c r="G2074" s="48" t="s">
        <v>7</v>
      </c>
      <c r="H2074" s="62" t="s">
        <v>1468</v>
      </c>
      <c r="I2074" s="1174" t="s">
        <v>1624</v>
      </c>
    </row>
    <row r="2075" spans="1:9" ht="18.75">
      <c r="A2075" s="241">
        <v>14949</v>
      </c>
      <c r="B2075" s="233">
        <v>0.1</v>
      </c>
      <c r="C2075" s="770">
        <v>12</v>
      </c>
      <c r="D2075" s="243" t="s">
        <v>1256</v>
      </c>
      <c r="E2075" s="754" t="s">
        <v>137</v>
      </c>
      <c r="F2075" s="558">
        <v>1600000</v>
      </c>
      <c r="G2075" s="478">
        <v>0.05</v>
      </c>
      <c r="H2075" s="1254">
        <f>F2075*G2075</f>
        <v>80000</v>
      </c>
      <c r="I2075" s="1175" t="s">
        <v>1625</v>
      </c>
    </row>
    <row r="2076" spans="1:9" ht="18.75">
      <c r="A2076" s="241">
        <v>14953</v>
      </c>
      <c r="B2076" s="331">
        <v>0.09</v>
      </c>
      <c r="C2076" s="770">
        <v>12</v>
      </c>
      <c r="D2076" s="1232" t="s">
        <v>1828</v>
      </c>
      <c r="E2076" s="754" t="s">
        <v>137</v>
      </c>
      <c r="F2076" s="558">
        <v>1400000</v>
      </c>
      <c r="G2076" s="140">
        <v>0.04</v>
      </c>
      <c r="H2076" s="1254">
        <f t="shared" ref="H2076:H2089" si="67">F2076*G2076</f>
        <v>56000</v>
      </c>
      <c r="I2076" s="1175" t="s">
        <v>1625</v>
      </c>
    </row>
    <row r="2077" spans="1:9" ht="18.75">
      <c r="A2077" s="241">
        <v>14951</v>
      </c>
      <c r="B2077" s="233">
        <v>0.1</v>
      </c>
      <c r="C2077" s="770">
        <v>12</v>
      </c>
      <c r="D2077" s="1232" t="s">
        <v>1304</v>
      </c>
      <c r="E2077" s="754" t="s">
        <v>137</v>
      </c>
      <c r="F2077" s="558">
        <v>1450000</v>
      </c>
      <c r="G2077" s="478">
        <v>0.05</v>
      </c>
      <c r="H2077" s="1254">
        <f t="shared" si="67"/>
        <v>72500</v>
      </c>
      <c r="I2077" s="1175" t="s">
        <v>1625</v>
      </c>
    </row>
    <row r="2078" spans="1:9" ht="18.75">
      <c r="A2078" s="241">
        <v>14944</v>
      </c>
      <c r="B2078" s="233">
        <v>0.1</v>
      </c>
      <c r="C2078" s="770">
        <v>12</v>
      </c>
      <c r="D2078" s="1232" t="s">
        <v>1253</v>
      </c>
      <c r="E2078" s="754" t="s">
        <v>137</v>
      </c>
      <c r="F2078" s="558">
        <v>1100000</v>
      </c>
      <c r="G2078" s="478">
        <v>0.05</v>
      </c>
      <c r="H2078" s="1254">
        <f t="shared" si="67"/>
        <v>55000</v>
      </c>
      <c r="I2078" s="1175" t="s">
        <v>1625</v>
      </c>
    </row>
    <row r="2079" spans="1:9" ht="18.75">
      <c r="A2079" s="241">
        <v>14988</v>
      </c>
      <c r="B2079" s="233">
        <v>0.1</v>
      </c>
      <c r="C2079" s="770">
        <v>12</v>
      </c>
      <c r="D2079" s="1232" t="s">
        <v>489</v>
      </c>
      <c r="E2079" s="754" t="s">
        <v>137</v>
      </c>
      <c r="F2079" s="558">
        <v>1700000</v>
      </c>
      <c r="G2079" s="478">
        <v>0.05</v>
      </c>
      <c r="H2079" s="1254">
        <f t="shared" si="67"/>
        <v>85000</v>
      </c>
      <c r="I2079" s="1175" t="s">
        <v>1625</v>
      </c>
    </row>
    <row r="2080" spans="1:9" ht="18.75">
      <c r="A2080" s="241">
        <v>14991</v>
      </c>
      <c r="B2080" s="233">
        <v>0.1</v>
      </c>
      <c r="C2080" s="770">
        <v>12</v>
      </c>
      <c r="D2080" s="1232" t="s">
        <v>1829</v>
      </c>
      <c r="E2080" s="754" t="s">
        <v>137</v>
      </c>
      <c r="F2080" s="558">
        <v>2000000</v>
      </c>
      <c r="G2080" s="478">
        <v>0.05</v>
      </c>
      <c r="H2080" s="1254">
        <f t="shared" si="67"/>
        <v>100000</v>
      </c>
      <c r="I2080" s="1175" t="s">
        <v>1625</v>
      </c>
    </row>
    <row r="2081" spans="1:9" ht="18.75">
      <c r="A2081" s="241">
        <v>15002</v>
      </c>
      <c r="B2081" s="233">
        <v>0.1</v>
      </c>
      <c r="C2081" s="770">
        <v>12</v>
      </c>
      <c r="D2081" s="243" t="s">
        <v>1289</v>
      </c>
      <c r="E2081" s="754" t="s">
        <v>137</v>
      </c>
      <c r="F2081" s="558">
        <v>1100000</v>
      </c>
      <c r="G2081" s="478">
        <v>0.05</v>
      </c>
      <c r="H2081" s="1254">
        <f t="shared" si="67"/>
        <v>55000</v>
      </c>
      <c r="I2081" s="1175" t="s">
        <v>1625</v>
      </c>
    </row>
    <row r="2082" spans="1:9" ht="18.75">
      <c r="A2082" s="241">
        <v>14994</v>
      </c>
      <c r="B2082" s="233">
        <v>0.1</v>
      </c>
      <c r="C2082" s="770">
        <v>12</v>
      </c>
      <c r="D2082" s="1232" t="s">
        <v>1259</v>
      </c>
      <c r="E2082" s="754" t="s">
        <v>137</v>
      </c>
      <c r="F2082" s="558">
        <v>1600000</v>
      </c>
      <c r="G2082" s="478">
        <v>0.05</v>
      </c>
      <c r="H2082" s="1254">
        <f t="shared" si="67"/>
        <v>80000</v>
      </c>
      <c r="I2082" s="1175" t="s">
        <v>1625</v>
      </c>
    </row>
    <row r="2083" spans="1:9" ht="18.75">
      <c r="A2083" s="241">
        <v>15036</v>
      </c>
      <c r="B2083" s="331">
        <v>0.09</v>
      </c>
      <c r="C2083" s="770">
        <v>12</v>
      </c>
      <c r="D2083" s="1232" t="s">
        <v>1263</v>
      </c>
      <c r="E2083" s="754" t="s">
        <v>137</v>
      </c>
      <c r="F2083" s="558">
        <v>1550000</v>
      </c>
      <c r="G2083" s="140">
        <v>0.04</v>
      </c>
      <c r="H2083" s="1254">
        <f t="shared" si="67"/>
        <v>62000</v>
      </c>
      <c r="I2083" s="1175" t="s">
        <v>1625</v>
      </c>
    </row>
    <row r="2084" spans="1:9" ht="18.75">
      <c r="A2084" s="241">
        <v>15029</v>
      </c>
      <c r="B2084" s="233">
        <v>0.1</v>
      </c>
      <c r="C2084" s="770">
        <v>12</v>
      </c>
      <c r="D2084" s="259" t="s">
        <v>1830</v>
      </c>
      <c r="E2084" s="754" t="s">
        <v>137</v>
      </c>
      <c r="F2084" s="558">
        <v>1400000</v>
      </c>
      <c r="G2084" s="478">
        <v>0.05</v>
      </c>
      <c r="H2084" s="1254">
        <f t="shared" si="67"/>
        <v>70000</v>
      </c>
      <c r="I2084" s="1175" t="s">
        <v>1625</v>
      </c>
    </row>
    <row r="2085" spans="1:9" ht="18.75">
      <c r="A2085" s="241">
        <v>15056</v>
      </c>
      <c r="B2085" s="233">
        <v>0.1</v>
      </c>
      <c r="C2085" s="1222">
        <v>12</v>
      </c>
      <c r="D2085" s="1376" t="s">
        <v>1273</v>
      </c>
      <c r="E2085" s="754" t="s">
        <v>137</v>
      </c>
      <c r="F2085" s="558">
        <v>1550000</v>
      </c>
      <c r="G2085" s="478">
        <v>0.05</v>
      </c>
      <c r="H2085" s="1254">
        <f t="shared" si="67"/>
        <v>77500</v>
      </c>
      <c r="I2085" s="1175" t="s">
        <v>1625</v>
      </c>
    </row>
    <row r="2086" spans="1:9" ht="18.75">
      <c r="A2086" s="241">
        <v>15054</v>
      </c>
      <c r="B2086" s="233">
        <v>0.1</v>
      </c>
      <c r="C2086" s="1222">
        <v>12</v>
      </c>
      <c r="D2086" s="1376" t="s">
        <v>369</v>
      </c>
      <c r="E2086" s="754" t="s">
        <v>137</v>
      </c>
      <c r="F2086" s="558">
        <v>1550000</v>
      </c>
      <c r="G2086" s="478">
        <v>0.05</v>
      </c>
      <c r="H2086" s="1254">
        <f t="shared" si="67"/>
        <v>77500</v>
      </c>
      <c r="I2086" s="1175" t="s">
        <v>1625</v>
      </c>
    </row>
    <row r="2087" spans="1:9" ht="18.75">
      <c r="A2087" s="241">
        <v>15072</v>
      </c>
      <c r="B2087" s="233">
        <v>0.1</v>
      </c>
      <c r="C2087" s="1222">
        <v>12</v>
      </c>
      <c r="D2087" s="1232" t="s">
        <v>1264</v>
      </c>
      <c r="E2087" s="754" t="s">
        <v>137</v>
      </c>
      <c r="F2087" s="558">
        <v>1600000</v>
      </c>
      <c r="G2087" s="478">
        <v>0.05</v>
      </c>
      <c r="H2087" s="1254">
        <f t="shared" si="67"/>
        <v>80000</v>
      </c>
      <c r="I2087" s="1391" t="s">
        <v>1625</v>
      </c>
    </row>
    <row r="2088" spans="1:9" ht="18.75">
      <c r="A2088" s="241">
        <v>15108</v>
      </c>
      <c r="B2088" s="331">
        <v>0.09</v>
      </c>
      <c r="C2088" s="1222">
        <v>12</v>
      </c>
      <c r="D2088" s="1232" t="s">
        <v>1831</v>
      </c>
      <c r="E2088" s="754" t="s">
        <v>1832</v>
      </c>
      <c r="F2088" s="558">
        <v>1400000</v>
      </c>
      <c r="G2088" s="140">
        <v>0.04</v>
      </c>
      <c r="H2088" s="1254">
        <f t="shared" si="67"/>
        <v>56000</v>
      </c>
      <c r="I2088" s="1175" t="s">
        <v>1625</v>
      </c>
    </row>
    <row r="2089" spans="1:9" ht="18.75">
      <c r="A2089" s="241" t="s">
        <v>1265</v>
      </c>
      <c r="B2089" s="233">
        <v>0.1</v>
      </c>
      <c r="C2089" s="1222">
        <v>12</v>
      </c>
      <c r="D2089" s="243" t="s">
        <v>1266</v>
      </c>
      <c r="E2089" s="754" t="s">
        <v>137</v>
      </c>
      <c r="F2089" s="558">
        <v>850000</v>
      </c>
      <c r="G2089" s="478">
        <v>0.05</v>
      </c>
      <c r="H2089" s="1254">
        <f t="shared" si="67"/>
        <v>42500</v>
      </c>
      <c r="I2089" s="1172" t="s">
        <v>1625</v>
      </c>
    </row>
    <row r="2090" spans="1:9" ht="18.75">
      <c r="A2090" s="209" t="s">
        <v>297</v>
      </c>
      <c r="B2090" s="267"/>
      <c r="C2090" s="1223"/>
      <c r="D2090" s="1382" t="s">
        <v>1833</v>
      </c>
      <c r="E2090" s="760" t="s">
        <v>1834</v>
      </c>
      <c r="F2090" s="889"/>
      <c r="G2090" s="348"/>
      <c r="H2090" s="885"/>
      <c r="I2090" s="1143"/>
    </row>
    <row r="2091" spans="1:9" ht="18.75">
      <c r="A2091" s="209" t="s">
        <v>297</v>
      </c>
      <c r="B2091" s="267"/>
      <c r="C2091" s="1223"/>
      <c r="D2091" s="1382" t="s">
        <v>1835</v>
      </c>
      <c r="E2091" s="760" t="s">
        <v>1836</v>
      </c>
      <c r="F2091" s="889"/>
      <c r="G2091" s="348"/>
      <c r="H2091" s="885"/>
      <c r="I2091" s="1175"/>
    </row>
    <row r="2092" spans="1:9" ht="18.75">
      <c r="A2092" s="209" t="s">
        <v>297</v>
      </c>
      <c r="B2092" s="267"/>
      <c r="C2092" s="1223"/>
      <c r="D2092" s="1382" t="s">
        <v>1837</v>
      </c>
      <c r="E2092" s="760" t="s">
        <v>1838</v>
      </c>
      <c r="F2092" s="889"/>
      <c r="G2092" s="348"/>
      <c r="H2092" s="885"/>
      <c r="I2092" s="1175"/>
    </row>
    <row r="2093" spans="1:9" ht="18.75">
      <c r="A2093" s="209" t="s">
        <v>297</v>
      </c>
      <c r="B2093" s="267"/>
      <c r="C2093" s="1223"/>
      <c r="D2093" s="819" t="s">
        <v>1839</v>
      </c>
      <c r="E2093" s="760" t="s">
        <v>796</v>
      </c>
      <c r="F2093" s="889"/>
      <c r="G2093" s="348"/>
      <c r="H2093" s="885"/>
      <c r="I2093" s="1175"/>
    </row>
    <row r="2094" spans="1:9" ht="18.75">
      <c r="A2094" s="209" t="s">
        <v>297</v>
      </c>
      <c r="B2094" s="267"/>
      <c r="C2094" s="1223"/>
      <c r="D2094" s="819" t="s">
        <v>1300</v>
      </c>
      <c r="E2094" s="760" t="s">
        <v>1840</v>
      </c>
      <c r="F2094" s="889"/>
      <c r="G2094" s="348"/>
      <c r="H2094" s="885"/>
      <c r="I2094" s="1175"/>
    </row>
    <row r="2095" spans="1:9" ht="20.25">
      <c r="A2095" s="163"/>
      <c r="B2095" s="318"/>
      <c r="C2095" s="792"/>
      <c r="D2095" s="262"/>
      <c r="E2095" s="947"/>
      <c r="F2095" s="948">
        <f>SUM(F2075:F2094)</f>
        <v>21850000</v>
      </c>
      <c r="G2095" s="949"/>
      <c r="H2095" s="950">
        <f>SUM(H2075:H2089)</f>
        <v>1049000</v>
      </c>
      <c r="I2095" s="1172"/>
    </row>
    <row r="2096" spans="1:9" ht="26.25">
      <c r="A2096" s="1645"/>
      <c r="B2096" s="1645"/>
      <c r="C2096" s="1645"/>
      <c r="D2096" s="1645"/>
      <c r="E2096" s="1645"/>
      <c r="F2096" s="1645"/>
      <c r="G2096" s="1645"/>
      <c r="H2096" s="1645"/>
    </row>
    <row r="2097" spans="1:9" ht="26.25">
      <c r="A2097" s="797"/>
      <c r="B2097" s="797"/>
      <c r="C2097" s="797"/>
      <c r="D2097" s="797"/>
      <c r="E2097" s="797"/>
      <c r="F2097" s="797"/>
      <c r="G2097" s="797"/>
      <c r="H2097" s="797"/>
    </row>
    <row r="2098" spans="1:9" ht="26.25">
      <c r="A2098" s="1641" t="s">
        <v>1841</v>
      </c>
      <c r="B2098" s="1640"/>
      <c r="C2098" s="1640"/>
      <c r="D2098" s="1641"/>
      <c r="E2098" s="1641"/>
      <c r="F2098" s="1640"/>
      <c r="G2098" s="1640"/>
      <c r="H2098" s="1642"/>
      <c r="I2098" s="1172"/>
    </row>
    <row r="2099" spans="1:9" ht="30.75">
      <c r="A2099" s="87" t="s">
        <v>1463</v>
      </c>
      <c r="B2099" s="1299" t="s">
        <v>1497</v>
      </c>
      <c r="C2099" s="1300" t="s">
        <v>1465</v>
      </c>
      <c r="D2099" s="880" t="s">
        <v>5</v>
      </c>
      <c r="E2099" s="879" t="s">
        <v>1466</v>
      </c>
      <c r="F2099" s="881" t="s">
        <v>1467</v>
      </c>
      <c r="G2099" s="48" t="s">
        <v>7</v>
      </c>
      <c r="H2099" s="62" t="s">
        <v>1468</v>
      </c>
      <c r="I2099" s="1173" t="s">
        <v>1624</v>
      </c>
    </row>
    <row r="2100" spans="1:9" ht="18.75">
      <c r="A2100" s="241">
        <v>14876</v>
      </c>
      <c r="B2100" s="233">
        <v>0.1</v>
      </c>
      <c r="C2100" s="891">
        <v>12</v>
      </c>
      <c r="D2100" s="1057" t="s">
        <v>1303</v>
      </c>
      <c r="E2100" s="581" t="s">
        <v>137</v>
      </c>
      <c r="F2100" s="558">
        <v>1450000</v>
      </c>
      <c r="G2100" s="478">
        <v>0.04</v>
      </c>
      <c r="H2100" s="1254">
        <f>F2100*G2100</f>
        <v>58000</v>
      </c>
      <c r="I2100" s="1175" t="s">
        <v>1625</v>
      </c>
    </row>
    <row r="2101" spans="1:9" ht="18.75">
      <c r="A2101" s="241">
        <v>14871</v>
      </c>
      <c r="B2101" s="233">
        <v>0.1</v>
      </c>
      <c r="C2101" s="891">
        <v>12</v>
      </c>
      <c r="D2101" s="243" t="s">
        <v>1284</v>
      </c>
      <c r="E2101" s="581" t="s">
        <v>137</v>
      </c>
      <c r="F2101" s="558">
        <v>1800000</v>
      </c>
      <c r="G2101" s="478">
        <v>0.04</v>
      </c>
      <c r="H2101" s="1254">
        <f t="shared" ref="H2101:H2110" si="68">F2101*G2101</f>
        <v>72000</v>
      </c>
      <c r="I2101" s="1175" t="s">
        <v>1625</v>
      </c>
    </row>
    <row r="2102" spans="1:9" ht="18.75">
      <c r="A2102" s="241">
        <v>14879</v>
      </c>
      <c r="B2102" s="233">
        <v>0.1</v>
      </c>
      <c r="C2102" s="891">
        <v>12</v>
      </c>
      <c r="D2102" s="259" t="s">
        <v>1248</v>
      </c>
      <c r="E2102" s="581" t="s">
        <v>137</v>
      </c>
      <c r="F2102" s="558">
        <v>2100000</v>
      </c>
      <c r="G2102" s="478">
        <v>0.04</v>
      </c>
      <c r="H2102" s="1254">
        <f t="shared" si="68"/>
        <v>84000</v>
      </c>
      <c r="I2102" s="1175" t="s">
        <v>1625</v>
      </c>
    </row>
    <row r="2103" spans="1:9" ht="18.75">
      <c r="A2103" s="241">
        <v>14905</v>
      </c>
      <c r="B2103" s="233">
        <v>0.1</v>
      </c>
      <c r="C2103" s="891">
        <v>12</v>
      </c>
      <c r="D2103" s="243" t="s">
        <v>1250</v>
      </c>
      <c r="E2103" s="581" t="s">
        <v>137</v>
      </c>
      <c r="F2103" s="558">
        <v>1400000</v>
      </c>
      <c r="G2103" s="478">
        <v>0.04</v>
      </c>
      <c r="H2103" s="1254">
        <f t="shared" si="68"/>
        <v>56000</v>
      </c>
      <c r="I2103" s="1175" t="s">
        <v>1625</v>
      </c>
    </row>
    <row r="2104" spans="1:9" ht="18.75">
      <c r="A2104" s="241">
        <v>14912</v>
      </c>
      <c r="B2104" s="233">
        <v>0.1</v>
      </c>
      <c r="C2104" s="891">
        <v>12</v>
      </c>
      <c r="D2104" s="1376" t="s">
        <v>1286</v>
      </c>
      <c r="E2104" s="581" t="s">
        <v>137</v>
      </c>
      <c r="F2104" s="558">
        <v>1000000</v>
      </c>
      <c r="G2104" s="478">
        <v>0.04</v>
      </c>
      <c r="H2104" s="1254">
        <f t="shared" si="68"/>
        <v>40000</v>
      </c>
      <c r="I2104" s="1175" t="s">
        <v>1625</v>
      </c>
    </row>
    <row r="2105" spans="1:9" ht="19.5" customHeight="1">
      <c r="A2105" s="241">
        <v>14915</v>
      </c>
      <c r="B2105" s="233">
        <v>0.1</v>
      </c>
      <c r="C2105" s="891">
        <v>12</v>
      </c>
      <c r="D2105" s="243" t="s">
        <v>1254</v>
      </c>
      <c r="E2105" s="581" t="s">
        <v>137</v>
      </c>
      <c r="F2105" s="558">
        <v>1700000</v>
      </c>
      <c r="G2105" s="478">
        <v>0.04</v>
      </c>
      <c r="H2105" s="1254">
        <f t="shared" si="68"/>
        <v>68000</v>
      </c>
      <c r="I2105" s="1175" t="s">
        <v>1625</v>
      </c>
    </row>
    <row r="2106" spans="1:9" ht="19.5" customHeight="1">
      <c r="A2106" s="241">
        <v>14930</v>
      </c>
      <c r="B2106" s="331">
        <v>0.08</v>
      </c>
      <c r="C2106" s="891">
        <v>12</v>
      </c>
      <c r="D2106" s="243" t="s">
        <v>1255</v>
      </c>
      <c r="E2106" s="581" t="s">
        <v>137</v>
      </c>
      <c r="F2106" s="558">
        <v>1600000</v>
      </c>
      <c r="G2106" s="140">
        <v>0.03</v>
      </c>
      <c r="H2106" s="1254">
        <f t="shared" si="68"/>
        <v>48000</v>
      </c>
      <c r="I2106" s="1175" t="s">
        <v>1625</v>
      </c>
    </row>
    <row r="2107" spans="1:9" ht="19.5" customHeight="1">
      <c r="A2107" s="241">
        <v>14938</v>
      </c>
      <c r="B2107" s="233">
        <v>0.1</v>
      </c>
      <c r="C2107" s="891">
        <v>12</v>
      </c>
      <c r="D2107" s="243" t="s">
        <v>474</v>
      </c>
      <c r="E2107" s="581" t="s">
        <v>137</v>
      </c>
      <c r="F2107" s="558">
        <v>1480000</v>
      </c>
      <c r="G2107" s="478">
        <v>0.04</v>
      </c>
      <c r="H2107" s="1254">
        <f t="shared" si="68"/>
        <v>59200</v>
      </c>
      <c r="I2107" s="1175" t="s">
        <v>1625</v>
      </c>
    </row>
    <row r="2108" spans="1:9" ht="18.75">
      <c r="A2108" s="241">
        <v>14913</v>
      </c>
      <c r="B2108" s="233">
        <v>0.1</v>
      </c>
      <c r="C2108" s="891">
        <v>12</v>
      </c>
      <c r="D2108" s="243" t="s">
        <v>1249</v>
      </c>
      <c r="E2108" s="581" t="s">
        <v>137</v>
      </c>
      <c r="F2108" s="558">
        <v>1300000</v>
      </c>
      <c r="G2108" s="478">
        <v>0.04</v>
      </c>
      <c r="H2108" s="1254">
        <f t="shared" si="68"/>
        <v>52000</v>
      </c>
      <c r="I2108" s="1175" t="s">
        <v>1625</v>
      </c>
    </row>
    <row r="2109" spans="1:9" ht="18.75">
      <c r="A2109" s="241">
        <v>15017</v>
      </c>
      <c r="B2109" s="331">
        <v>0.08</v>
      </c>
      <c r="C2109" s="891">
        <v>12</v>
      </c>
      <c r="D2109" s="243" t="s">
        <v>1842</v>
      </c>
      <c r="E2109" s="581" t="s">
        <v>137</v>
      </c>
      <c r="F2109" s="558">
        <v>1500000</v>
      </c>
      <c r="G2109" s="140">
        <v>0.03</v>
      </c>
      <c r="H2109" s="1254">
        <f t="shared" si="68"/>
        <v>45000</v>
      </c>
      <c r="I2109" s="1175" t="s">
        <v>1625</v>
      </c>
    </row>
    <row r="2110" spans="1:9" ht="18.75">
      <c r="A2110" s="241">
        <v>15079</v>
      </c>
      <c r="B2110" s="331">
        <v>0.08</v>
      </c>
      <c r="C2110" s="891">
        <v>12</v>
      </c>
      <c r="D2110" s="243" t="s">
        <v>1843</v>
      </c>
      <c r="E2110" s="1380" t="s">
        <v>137</v>
      </c>
      <c r="F2110" s="558">
        <v>1900000</v>
      </c>
      <c r="G2110" s="140">
        <v>0.03</v>
      </c>
      <c r="H2110" s="1254">
        <f t="shared" si="68"/>
        <v>57000</v>
      </c>
      <c r="I2110" s="1175" t="s">
        <v>1625</v>
      </c>
    </row>
    <row r="2111" spans="1:9" ht="18.75">
      <c r="A2111" s="209" t="s">
        <v>625</v>
      </c>
      <c r="B2111" s="267">
        <v>0.1</v>
      </c>
      <c r="C2111" s="1225">
        <v>12</v>
      </c>
      <c r="D2111" s="819" t="s">
        <v>1317</v>
      </c>
      <c r="E2111" s="567" t="s">
        <v>1844</v>
      </c>
      <c r="F2111" s="889"/>
      <c r="G2111" s="348"/>
      <c r="H2111" s="885"/>
      <c r="I2111" s="1175"/>
    </row>
    <row r="2112" spans="1:9" ht="18.75">
      <c r="A2112" s="209" t="s">
        <v>297</v>
      </c>
      <c r="B2112" s="645"/>
      <c r="C2112" s="1225"/>
      <c r="D2112" s="819" t="s">
        <v>1845</v>
      </c>
      <c r="E2112" s="1398" t="s">
        <v>1846</v>
      </c>
      <c r="F2112" s="889"/>
      <c r="G2112" s="348"/>
      <c r="H2112" s="885"/>
      <c r="I2112" s="1175"/>
    </row>
    <row r="2113" spans="1:9" ht="18.75">
      <c r="A2113" s="209" t="s">
        <v>297</v>
      </c>
      <c r="B2113" s="267"/>
      <c r="C2113" s="1225"/>
      <c r="D2113" s="1345" t="s">
        <v>1847</v>
      </c>
      <c r="E2113" s="567" t="s">
        <v>1848</v>
      </c>
      <c r="F2113" s="889"/>
      <c r="G2113" s="348"/>
      <c r="H2113" s="885"/>
      <c r="I2113" s="1175"/>
    </row>
    <row r="2114" spans="1:9" ht="18.75">
      <c r="A2114" s="209" t="s">
        <v>538</v>
      </c>
      <c r="B2114" s="267"/>
      <c r="C2114" s="1225"/>
      <c r="D2114" s="819" t="s">
        <v>1849</v>
      </c>
      <c r="E2114" s="1398" t="s">
        <v>1850</v>
      </c>
      <c r="F2114" s="889"/>
      <c r="G2114" s="348"/>
      <c r="H2114" s="885"/>
      <c r="I2114" s="1175"/>
    </row>
    <row r="2115" spans="1:9" ht="20.25">
      <c r="A2115" s="163"/>
      <c r="B2115" s="318"/>
      <c r="C2115" s="1131"/>
      <c r="D2115" s="266"/>
      <c r="E2115" s="947"/>
      <c r="F2115" s="948">
        <f>SUM(F2100:F2114)</f>
        <v>17230000</v>
      </c>
      <c r="G2115" s="1088"/>
      <c r="H2115" s="950">
        <f>SUM(H2100:H2114)</f>
        <v>639200</v>
      </c>
      <c r="I2115" s="1172"/>
    </row>
    <row r="2116" spans="1:9" ht="18.75">
      <c r="A2116" s="1646"/>
      <c r="B2116" s="1646"/>
      <c r="C2116" s="1646"/>
      <c r="D2116" s="1646"/>
      <c r="E2116" s="1646"/>
      <c r="F2116" s="1646"/>
      <c r="G2116" s="1646"/>
      <c r="H2116" s="1646"/>
    </row>
    <row r="2117" spans="1:9" ht="18.75">
      <c r="A2117" s="1647"/>
      <c r="B2117" s="1647"/>
      <c r="C2117" s="1647"/>
      <c r="D2117" s="1647"/>
      <c r="E2117" s="1647"/>
      <c r="F2117" s="1647"/>
      <c r="G2117" s="1647"/>
      <c r="H2117" s="1647"/>
    </row>
    <row r="2118" spans="1:9" ht="26.25">
      <c r="A2118" s="1640" t="s">
        <v>1851</v>
      </c>
      <c r="B2118" s="1640"/>
      <c r="C2118" s="1640"/>
      <c r="D2118" s="1641"/>
      <c r="E2118" s="1640"/>
      <c r="F2118" s="1640"/>
      <c r="G2118" s="1640"/>
      <c r="H2118" s="1642"/>
      <c r="I2118" s="1172"/>
    </row>
    <row r="2119" spans="1:9" ht="30.75">
      <c r="A2119" s="45" t="s">
        <v>1463</v>
      </c>
      <c r="B2119" s="646" t="s">
        <v>1497</v>
      </c>
      <c r="C2119" s="1300" t="s">
        <v>1465</v>
      </c>
      <c r="D2119" s="87" t="s">
        <v>5</v>
      </c>
      <c r="E2119" s="732" t="s">
        <v>1466</v>
      </c>
      <c r="F2119" s="48" t="s">
        <v>1467</v>
      </c>
      <c r="G2119" s="48" t="s">
        <v>7</v>
      </c>
      <c r="H2119" s="62" t="s">
        <v>1468</v>
      </c>
      <c r="I2119" s="1173" t="s">
        <v>1624</v>
      </c>
    </row>
    <row r="2120" spans="1:9" ht="18.75">
      <c r="A2120" s="241">
        <v>14870</v>
      </c>
      <c r="B2120" s="331">
        <v>0.08</v>
      </c>
      <c r="C2120" s="891">
        <v>12</v>
      </c>
      <c r="D2120" s="1376" t="s">
        <v>1282</v>
      </c>
      <c r="E2120" s="581" t="s">
        <v>137</v>
      </c>
      <c r="F2120" s="558">
        <v>900000</v>
      </c>
      <c r="G2120" s="140">
        <v>0.04</v>
      </c>
      <c r="H2120" s="882">
        <f>F2120*G2120</f>
        <v>36000</v>
      </c>
      <c r="I2120" s="1391" t="s">
        <v>1625</v>
      </c>
    </row>
    <row r="2121" spans="1:9" ht="18.75">
      <c r="A2121" s="241">
        <v>14863</v>
      </c>
      <c r="B2121" s="233">
        <v>0.1</v>
      </c>
      <c r="C2121" s="891">
        <v>12</v>
      </c>
      <c r="D2121" s="1376" t="s">
        <v>1283</v>
      </c>
      <c r="E2121" s="581" t="s">
        <v>137</v>
      </c>
      <c r="F2121" s="558">
        <v>1200000</v>
      </c>
      <c r="G2121" s="138">
        <v>0.05</v>
      </c>
      <c r="H2121" s="882">
        <f t="shared" ref="H2121:H2134" si="69">F2121*G2121</f>
        <v>60000</v>
      </c>
      <c r="I2121" s="1391" t="s">
        <v>1625</v>
      </c>
    </row>
    <row r="2122" spans="1:9" ht="18.75">
      <c r="A2122" s="241">
        <v>14899</v>
      </c>
      <c r="B2122" s="233">
        <v>0.1</v>
      </c>
      <c r="C2122" s="891">
        <v>12</v>
      </c>
      <c r="D2122" s="1057" t="s">
        <v>1285</v>
      </c>
      <c r="E2122" s="581" t="s">
        <v>137</v>
      </c>
      <c r="F2122" s="558">
        <v>1150000</v>
      </c>
      <c r="G2122" s="138">
        <v>0.05</v>
      </c>
      <c r="H2122" s="882">
        <f t="shared" si="69"/>
        <v>57500</v>
      </c>
      <c r="I2122" s="1391" t="s">
        <v>1625</v>
      </c>
    </row>
    <row r="2123" spans="1:9" ht="18.75">
      <c r="A2123" s="241">
        <v>14917</v>
      </c>
      <c r="B2123" s="233">
        <v>0.1</v>
      </c>
      <c r="C2123" s="891">
        <v>12</v>
      </c>
      <c r="D2123" s="1396" t="s">
        <v>1293</v>
      </c>
      <c r="E2123" s="581" t="s">
        <v>137</v>
      </c>
      <c r="F2123" s="558">
        <v>1850000</v>
      </c>
      <c r="G2123" s="478">
        <v>0.05</v>
      </c>
      <c r="H2123" s="882">
        <f t="shared" si="69"/>
        <v>92500</v>
      </c>
      <c r="I2123" s="1391" t="s">
        <v>1625</v>
      </c>
    </row>
    <row r="2124" spans="1:9" ht="18.75">
      <c r="A2124" s="241">
        <v>14927</v>
      </c>
      <c r="B2124" s="331">
        <v>0.09</v>
      </c>
      <c r="C2124" s="891">
        <v>12</v>
      </c>
      <c r="D2124" s="1396" t="s">
        <v>1251</v>
      </c>
      <c r="E2124" s="581" t="s">
        <v>137</v>
      </c>
      <c r="F2124" s="558">
        <v>1800000</v>
      </c>
      <c r="G2124" s="140">
        <v>0.04</v>
      </c>
      <c r="H2124" s="882">
        <f t="shared" si="69"/>
        <v>72000</v>
      </c>
      <c r="I2124" s="1391" t="s">
        <v>1625</v>
      </c>
    </row>
    <row r="2125" spans="1:9" ht="18.75">
      <c r="A2125" s="241">
        <v>14919</v>
      </c>
      <c r="B2125" s="331">
        <v>0.08</v>
      </c>
      <c r="C2125" s="891">
        <v>12</v>
      </c>
      <c r="D2125" s="1397" t="s">
        <v>1852</v>
      </c>
      <c r="E2125" s="581" t="s">
        <v>1853</v>
      </c>
      <c r="F2125" s="558">
        <v>1400000</v>
      </c>
      <c r="G2125" s="140">
        <v>0.04</v>
      </c>
      <c r="H2125" s="882">
        <f t="shared" si="69"/>
        <v>56000</v>
      </c>
      <c r="I2125" s="1175" t="s">
        <v>1625</v>
      </c>
    </row>
    <row r="2126" spans="1:9" ht="18.75">
      <c r="A2126" s="241">
        <v>14898</v>
      </c>
      <c r="B2126" s="233">
        <v>0.1</v>
      </c>
      <c r="C2126" s="891">
        <v>12</v>
      </c>
      <c r="D2126" s="1376" t="s">
        <v>1854</v>
      </c>
      <c r="E2126" s="581" t="s">
        <v>137</v>
      </c>
      <c r="F2126" s="558">
        <v>1900000</v>
      </c>
      <c r="G2126" s="138">
        <v>0.05</v>
      </c>
      <c r="H2126" s="882">
        <f t="shared" si="69"/>
        <v>95000</v>
      </c>
      <c r="I2126" s="1175" t="s">
        <v>1625</v>
      </c>
    </row>
    <row r="2127" spans="1:9" ht="18.75">
      <c r="A2127" s="241">
        <v>14934</v>
      </c>
      <c r="B2127" s="233">
        <v>0.1</v>
      </c>
      <c r="C2127" s="891">
        <v>12</v>
      </c>
      <c r="D2127" s="1376" t="s">
        <v>399</v>
      </c>
      <c r="E2127" s="581" t="s">
        <v>137</v>
      </c>
      <c r="F2127" s="558">
        <v>1400000</v>
      </c>
      <c r="G2127" s="138">
        <v>0.05</v>
      </c>
      <c r="H2127" s="882">
        <f t="shared" si="69"/>
        <v>70000</v>
      </c>
      <c r="I2127" s="1175" t="s">
        <v>1625</v>
      </c>
    </row>
    <row r="2128" spans="1:9" ht="18.75">
      <c r="A2128" s="241">
        <v>14971</v>
      </c>
      <c r="B2128" s="233">
        <v>0.1</v>
      </c>
      <c r="C2128" s="891">
        <v>12</v>
      </c>
      <c r="D2128" s="1376" t="s">
        <v>1258</v>
      </c>
      <c r="E2128" s="581" t="s">
        <v>137</v>
      </c>
      <c r="F2128" s="558">
        <v>1600000</v>
      </c>
      <c r="G2128" s="138">
        <v>0.05</v>
      </c>
      <c r="H2128" s="882">
        <f t="shared" si="69"/>
        <v>80000</v>
      </c>
      <c r="I2128" s="1175" t="s">
        <v>1625</v>
      </c>
    </row>
    <row r="2129" spans="1:9" ht="18.75">
      <c r="A2129" s="241">
        <v>15023</v>
      </c>
      <c r="B2129" s="331">
        <v>0.08</v>
      </c>
      <c r="C2129" s="891">
        <v>12</v>
      </c>
      <c r="D2129" s="1376" t="s">
        <v>1262</v>
      </c>
      <c r="E2129" s="581" t="s">
        <v>137</v>
      </c>
      <c r="F2129" s="558">
        <v>1650000</v>
      </c>
      <c r="G2129" s="140">
        <v>0.04</v>
      </c>
      <c r="H2129" s="882">
        <f t="shared" si="69"/>
        <v>66000</v>
      </c>
      <c r="I2129" s="1175" t="s">
        <v>1625</v>
      </c>
    </row>
    <row r="2130" spans="1:9" ht="18.75">
      <c r="A2130" s="241">
        <v>15021</v>
      </c>
      <c r="B2130" s="233">
        <v>0.1</v>
      </c>
      <c r="C2130" s="891">
        <v>12</v>
      </c>
      <c r="D2130" s="1232" t="s">
        <v>1291</v>
      </c>
      <c r="E2130" s="581" t="s">
        <v>137</v>
      </c>
      <c r="F2130" s="558">
        <v>1250000</v>
      </c>
      <c r="G2130" s="138">
        <v>0.05</v>
      </c>
      <c r="H2130" s="882">
        <f t="shared" si="69"/>
        <v>62500</v>
      </c>
      <c r="I2130" s="1175" t="s">
        <v>1625</v>
      </c>
    </row>
    <row r="2131" spans="1:9" ht="18.75">
      <c r="A2131" s="241">
        <v>15083</v>
      </c>
      <c r="B2131" s="233">
        <v>0.1</v>
      </c>
      <c r="C2131" s="891">
        <v>12</v>
      </c>
      <c r="D2131" s="1232" t="s">
        <v>1296</v>
      </c>
      <c r="E2131" s="581" t="s">
        <v>137</v>
      </c>
      <c r="F2131" s="558">
        <v>1150000</v>
      </c>
      <c r="G2131" s="138">
        <v>0.05</v>
      </c>
      <c r="H2131" s="882">
        <f t="shared" si="69"/>
        <v>57500</v>
      </c>
      <c r="I2131" s="1175" t="s">
        <v>1625</v>
      </c>
    </row>
    <row r="2132" spans="1:9" ht="18.75">
      <c r="A2132" s="241">
        <v>15081</v>
      </c>
      <c r="B2132" s="233">
        <v>0.1</v>
      </c>
      <c r="C2132" s="891">
        <v>12</v>
      </c>
      <c r="D2132" s="1376" t="s">
        <v>1297</v>
      </c>
      <c r="E2132" s="581" t="s">
        <v>137</v>
      </c>
      <c r="F2132" s="558">
        <v>1200000</v>
      </c>
      <c r="G2132" s="138">
        <v>0.05</v>
      </c>
      <c r="H2132" s="882">
        <f t="shared" si="69"/>
        <v>60000</v>
      </c>
      <c r="I2132" s="1175" t="s">
        <v>1625</v>
      </c>
    </row>
    <row r="2133" spans="1:9" ht="18.75">
      <c r="A2133" s="241">
        <v>15074</v>
      </c>
      <c r="B2133" s="233">
        <v>0.1</v>
      </c>
      <c r="C2133" s="891">
        <v>12</v>
      </c>
      <c r="D2133" s="1232" t="s">
        <v>1305</v>
      </c>
      <c r="E2133" s="581" t="s">
        <v>137</v>
      </c>
      <c r="F2133" s="558">
        <v>1350000</v>
      </c>
      <c r="G2133" s="138">
        <v>0.05</v>
      </c>
      <c r="H2133" s="882">
        <f t="shared" si="69"/>
        <v>67500</v>
      </c>
      <c r="I2133" s="1175" t="s">
        <v>1625</v>
      </c>
    </row>
    <row r="2134" spans="1:9" ht="18.75">
      <c r="A2134" s="241">
        <v>15092</v>
      </c>
      <c r="B2134" s="233">
        <v>0.1</v>
      </c>
      <c r="C2134" s="891">
        <v>12</v>
      </c>
      <c r="D2134" s="1024" t="s">
        <v>1272</v>
      </c>
      <c r="E2134" s="581" t="s">
        <v>137</v>
      </c>
      <c r="F2134" s="558">
        <v>1750000</v>
      </c>
      <c r="G2134" s="138">
        <v>0.05</v>
      </c>
      <c r="H2134" s="882">
        <f t="shared" si="69"/>
        <v>87500</v>
      </c>
      <c r="I2134" s="1175" t="s">
        <v>1625</v>
      </c>
    </row>
    <row r="2135" spans="1:9" ht="18.75">
      <c r="A2135" s="209" t="s">
        <v>297</v>
      </c>
      <c r="B2135" s="267"/>
      <c r="C2135" s="1225"/>
      <c r="D2135" s="1382" t="s">
        <v>1855</v>
      </c>
      <c r="E2135" s="567" t="s">
        <v>1856</v>
      </c>
      <c r="F2135" s="889"/>
      <c r="G2135" s="220"/>
      <c r="H2135" s="883"/>
      <c r="I2135" s="1175"/>
    </row>
    <row r="2136" spans="1:9" ht="18.75">
      <c r="A2136" s="209" t="s">
        <v>297</v>
      </c>
      <c r="B2136" s="267"/>
      <c r="C2136" s="1225"/>
      <c r="D2136" s="819" t="s">
        <v>1857</v>
      </c>
      <c r="E2136" s="567" t="s">
        <v>1858</v>
      </c>
      <c r="F2136" s="889"/>
      <c r="G2136" s="220"/>
      <c r="H2136" s="883"/>
      <c r="I2136" s="1175"/>
    </row>
    <row r="2137" spans="1:9" ht="18.75">
      <c r="A2137" s="209" t="s">
        <v>297</v>
      </c>
      <c r="B2137" s="645"/>
      <c r="C2137" s="1225"/>
      <c r="D2137" s="819" t="s">
        <v>1859</v>
      </c>
      <c r="E2137" s="567" t="s">
        <v>1860</v>
      </c>
      <c r="F2137" s="889"/>
      <c r="G2137" s="220"/>
      <c r="H2137" s="883"/>
      <c r="I2137" s="1175"/>
    </row>
    <row r="2138" spans="1:9" ht="18.75">
      <c r="A2138" s="209" t="s">
        <v>297</v>
      </c>
      <c r="B2138" s="267"/>
      <c r="C2138" s="1225"/>
      <c r="D2138" s="1382" t="s">
        <v>1861</v>
      </c>
      <c r="E2138" s="567" t="s">
        <v>1308</v>
      </c>
      <c r="F2138" s="889"/>
      <c r="G2138" s="220"/>
      <c r="H2138" s="883"/>
      <c r="I2138" s="1175"/>
    </row>
    <row r="2139" spans="1:9" ht="18.75">
      <c r="A2139" s="209" t="s">
        <v>297</v>
      </c>
      <c r="B2139" s="267"/>
      <c r="C2139" s="1225"/>
      <c r="D2139" s="819" t="s">
        <v>1862</v>
      </c>
      <c r="E2139" s="567" t="s">
        <v>1863</v>
      </c>
      <c r="F2139" s="889"/>
      <c r="G2139" s="220"/>
      <c r="H2139" s="883"/>
      <c r="I2139" s="1175"/>
    </row>
    <row r="2140" spans="1:9" ht="18.75">
      <c r="A2140" s="209" t="s">
        <v>1314</v>
      </c>
      <c r="B2140" s="267"/>
      <c r="C2140" s="1225"/>
      <c r="D2140" s="1255" t="s">
        <v>1315</v>
      </c>
      <c r="E2140" s="567" t="s">
        <v>1864</v>
      </c>
      <c r="F2140" s="889"/>
      <c r="G2140" s="220"/>
      <c r="H2140" s="883"/>
      <c r="I2140" s="1175"/>
    </row>
    <row r="2141" spans="1:9" ht="20.25">
      <c r="A2141" s="163"/>
      <c r="B2141" s="318"/>
      <c r="C2141" s="1131"/>
      <c r="D2141" s="266"/>
      <c r="E2141" s="947"/>
      <c r="F2141" s="948">
        <f>SUM(F2120:F2140)</f>
        <v>21550000</v>
      </c>
      <c r="G2141" s="1088"/>
      <c r="H2141" s="950">
        <f>SUM(H2120:H2140)</f>
        <v>1020000</v>
      </c>
      <c r="I2141" s="1172"/>
    </row>
    <row r="2142" spans="1:9" ht="20.25">
      <c r="A2142" s="1290"/>
      <c r="B2142" s="1291"/>
      <c r="C2142" s="1292"/>
      <c r="D2142" s="1293"/>
      <c r="E2142" s="1294"/>
      <c r="F2142" s="1297"/>
      <c r="G2142" s="1330"/>
      <c r="H2142" s="1331"/>
    </row>
    <row r="2143" spans="1:9" ht="20.25">
      <c r="A2143" s="1290"/>
      <c r="B2143" s="1291"/>
      <c r="C2143" s="1292"/>
      <c r="D2143" s="1293"/>
      <c r="E2143" s="1294"/>
      <c r="F2143" s="1297"/>
      <c r="G2143" s="1330"/>
      <c r="H2143" s="1331"/>
    </row>
    <row r="2144" spans="1:9">
      <c r="A2144" s="1648"/>
      <c r="B2144" s="1648"/>
      <c r="C2144" s="1648"/>
      <c r="D2144" s="1648"/>
      <c r="E2144" s="1648"/>
      <c r="F2144" s="1648"/>
      <c r="G2144" s="1648"/>
      <c r="H2144" s="1648"/>
      <c r="I2144" s="1648"/>
    </row>
    <row r="2145" spans="1:8" ht="26.25">
      <c r="A2145" s="1640" t="s">
        <v>1865</v>
      </c>
      <c r="B2145" s="1640"/>
      <c r="C2145" s="1641"/>
      <c r="D2145" s="1641"/>
      <c r="E2145" s="1640"/>
      <c r="F2145" s="1640"/>
      <c r="G2145" s="1640"/>
      <c r="H2145" s="1640"/>
    </row>
    <row r="2146" spans="1:8" ht="30.75">
      <c r="A2146" s="45" t="s">
        <v>1463</v>
      </c>
      <c r="B2146" s="646" t="s">
        <v>1497</v>
      </c>
      <c r="C2146" s="731" t="s">
        <v>1465</v>
      </c>
      <c r="D2146" s="87" t="s">
        <v>5</v>
      </c>
      <c r="E2146" s="732" t="s">
        <v>1466</v>
      </c>
      <c r="F2146" s="48" t="s">
        <v>1467</v>
      </c>
      <c r="G2146" s="48" t="s">
        <v>7</v>
      </c>
      <c r="H2146" s="48" t="s">
        <v>1468</v>
      </c>
    </row>
    <row r="2147" spans="1:8" ht="18.75">
      <c r="A2147" s="241">
        <v>14949</v>
      </c>
      <c r="B2147" s="233">
        <v>0.1</v>
      </c>
      <c r="C2147" s="770">
        <v>12</v>
      </c>
      <c r="D2147" s="243" t="s">
        <v>1256</v>
      </c>
      <c r="E2147" s="754"/>
      <c r="F2147" s="558">
        <v>1600000</v>
      </c>
      <c r="G2147" s="1138">
        <v>2.5000000000000001E-2</v>
      </c>
      <c r="H2147" s="1254">
        <f>F2147*G2147</f>
        <v>40000</v>
      </c>
    </row>
    <row r="2148" spans="1:8" ht="18.75">
      <c r="A2148" s="241">
        <v>14953</v>
      </c>
      <c r="B2148" s="331">
        <v>0.09</v>
      </c>
      <c r="C2148" s="770">
        <v>12</v>
      </c>
      <c r="D2148" s="1232" t="s">
        <v>1828</v>
      </c>
      <c r="E2148" s="754"/>
      <c r="F2148" s="558">
        <v>1400000</v>
      </c>
      <c r="G2148" s="1111">
        <v>1.4999999999999999E-2</v>
      </c>
      <c r="H2148" s="1254">
        <f t="shared" ref="H2148:H2187" si="70">F2148*G2148</f>
        <v>21000</v>
      </c>
    </row>
    <row r="2149" spans="1:8" ht="18.75">
      <c r="A2149" s="241">
        <v>14951</v>
      </c>
      <c r="B2149" s="233">
        <v>0.1</v>
      </c>
      <c r="C2149" s="770">
        <v>12</v>
      </c>
      <c r="D2149" s="1232" t="s">
        <v>1304</v>
      </c>
      <c r="E2149" s="754"/>
      <c r="F2149" s="558">
        <v>1450000</v>
      </c>
      <c r="G2149" s="1138">
        <v>2.5000000000000001E-2</v>
      </c>
      <c r="H2149" s="1254">
        <f t="shared" si="70"/>
        <v>36250</v>
      </c>
    </row>
    <row r="2150" spans="1:8" ht="18.75">
      <c r="A2150" s="241">
        <v>14944</v>
      </c>
      <c r="B2150" s="233">
        <v>0.1</v>
      </c>
      <c r="C2150" s="770">
        <v>12</v>
      </c>
      <c r="D2150" s="1232" t="s">
        <v>1253</v>
      </c>
      <c r="E2150" s="754"/>
      <c r="F2150" s="558">
        <v>1100000</v>
      </c>
      <c r="G2150" s="1138">
        <v>2.5000000000000001E-2</v>
      </c>
      <c r="H2150" s="1254">
        <f t="shared" si="70"/>
        <v>27500</v>
      </c>
    </row>
    <row r="2151" spans="1:8" ht="18.75">
      <c r="A2151" s="241">
        <v>14988</v>
      </c>
      <c r="B2151" s="233">
        <v>0.1</v>
      </c>
      <c r="C2151" s="770">
        <v>12</v>
      </c>
      <c r="D2151" s="1232" t="s">
        <v>489</v>
      </c>
      <c r="E2151" s="754"/>
      <c r="F2151" s="558">
        <v>1700000</v>
      </c>
      <c r="G2151" s="1138">
        <v>2.5000000000000001E-2</v>
      </c>
      <c r="H2151" s="1254">
        <f t="shared" si="70"/>
        <v>42500</v>
      </c>
    </row>
    <row r="2152" spans="1:8" ht="18.75">
      <c r="A2152" s="241">
        <v>14991</v>
      </c>
      <c r="B2152" s="233">
        <v>0.1</v>
      </c>
      <c r="C2152" s="770">
        <v>12</v>
      </c>
      <c r="D2152" s="1232" t="s">
        <v>1829</v>
      </c>
      <c r="E2152" s="754"/>
      <c r="F2152" s="558">
        <v>2000000</v>
      </c>
      <c r="G2152" s="1138">
        <v>2.5000000000000001E-2</v>
      </c>
      <c r="H2152" s="1254">
        <f t="shared" si="70"/>
        <v>50000</v>
      </c>
    </row>
    <row r="2153" spans="1:8" ht="18.75">
      <c r="A2153" s="241">
        <v>15002</v>
      </c>
      <c r="B2153" s="233">
        <v>0.1</v>
      </c>
      <c r="C2153" s="770">
        <v>12</v>
      </c>
      <c r="D2153" s="243" t="s">
        <v>1289</v>
      </c>
      <c r="E2153" s="754"/>
      <c r="F2153" s="558">
        <v>1100000</v>
      </c>
      <c r="G2153" s="1138">
        <v>2.5000000000000001E-2</v>
      </c>
      <c r="H2153" s="1254">
        <f t="shared" si="70"/>
        <v>27500</v>
      </c>
    </row>
    <row r="2154" spans="1:8" ht="18.75">
      <c r="A2154" s="241">
        <v>14994</v>
      </c>
      <c r="B2154" s="233">
        <v>0.1</v>
      </c>
      <c r="C2154" s="770">
        <v>12</v>
      </c>
      <c r="D2154" s="1232" t="s">
        <v>1259</v>
      </c>
      <c r="E2154" s="754"/>
      <c r="F2154" s="558">
        <v>1600000</v>
      </c>
      <c r="G2154" s="1138">
        <v>2.5000000000000001E-2</v>
      </c>
      <c r="H2154" s="1254">
        <f t="shared" si="70"/>
        <v>40000</v>
      </c>
    </row>
    <row r="2155" spans="1:8" ht="18.75">
      <c r="A2155" s="241">
        <v>15036</v>
      </c>
      <c r="B2155" s="331">
        <v>0.09</v>
      </c>
      <c r="C2155" s="770">
        <v>12</v>
      </c>
      <c r="D2155" s="1232" t="s">
        <v>1263</v>
      </c>
      <c r="E2155" s="754"/>
      <c r="F2155" s="558">
        <v>1550000</v>
      </c>
      <c r="G2155" s="1111">
        <v>1.4999999999999999E-2</v>
      </c>
      <c r="H2155" s="1254">
        <f t="shared" si="70"/>
        <v>23250</v>
      </c>
    </row>
    <row r="2156" spans="1:8" ht="18.75">
      <c r="A2156" s="241">
        <v>15029</v>
      </c>
      <c r="B2156" s="233">
        <v>0.1</v>
      </c>
      <c r="C2156" s="770">
        <v>12</v>
      </c>
      <c r="D2156" s="259" t="s">
        <v>1830</v>
      </c>
      <c r="E2156" s="754"/>
      <c r="F2156" s="558">
        <v>1400000</v>
      </c>
      <c r="G2156" s="1138">
        <v>2.5000000000000001E-2</v>
      </c>
      <c r="H2156" s="1254">
        <f t="shared" si="70"/>
        <v>35000</v>
      </c>
    </row>
    <row r="2157" spans="1:8" ht="18.75">
      <c r="A2157" s="241">
        <v>15056</v>
      </c>
      <c r="B2157" s="233">
        <v>0.1</v>
      </c>
      <c r="C2157" s="1222">
        <v>12</v>
      </c>
      <c r="D2157" s="1376" t="s">
        <v>1273</v>
      </c>
      <c r="E2157" s="754"/>
      <c r="F2157" s="558">
        <v>1550000</v>
      </c>
      <c r="G2157" s="1138">
        <v>2.5000000000000001E-2</v>
      </c>
      <c r="H2157" s="1254">
        <f t="shared" si="70"/>
        <v>38750</v>
      </c>
    </row>
    <row r="2158" spans="1:8" ht="18.75">
      <c r="A2158" s="241">
        <v>15054</v>
      </c>
      <c r="B2158" s="233">
        <v>0.1</v>
      </c>
      <c r="C2158" s="1222">
        <v>12</v>
      </c>
      <c r="D2158" s="1376" t="s">
        <v>369</v>
      </c>
      <c r="E2158" s="754"/>
      <c r="F2158" s="558">
        <v>1550000</v>
      </c>
      <c r="G2158" s="1138">
        <v>2.5000000000000001E-2</v>
      </c>
      <c r="H2158" s="1254">
        <f t="shared" si="70"/>
        <v>38750</v>
      </c>
    </row>
    <row r="2159" spans="1:8" ht="18.75">
      <c r="A2159" s="241">
        <v>15072</v>
      </c>
      <c r="B2159" s="233">
        <v>0.1</v>
      </c>
      <c r="C2159" s="1222">
        <v>12</v>
      </c>
      <c r="D2159" s="1232" t="s">
        <v>1264</v>
      </c>
      <c r="E2159" s="754"/>
      <c r="F2159" s="558">
        <v>1600000</v>
      </c>
      <c r="G2159" s="1138">
        <v>2.5000000000000001E-2</v>
      </c>
      <c r="H2159" s="1254">
        <f t="shared" si="70"/>
        <v>40000</v>
      </c>
    </row>
    <row r="2160" spans="1:8" ht="18.75">
      <c r="A2160" s="241">
        <v>15108</v>
      </c>
      <c r="B2160" s="331">
        <v>0.09</v>
      </c>
      <c r="C2160" s="1222">
        <v>12</v>
      </c>
      <c r="D2160" s="1232" t="s">
        <v>1831</v>
      </c>
      <c r="E2160" s="754"/>
      <c r="F2160" s="558">
        <v>1400000</v>
      </c>
      <c r="G2160" s="1111">
        <v>1.4999999999999999E-2</v>
      </c>
      <c r="H2160" s="1254">
        <f t="shared" si="70"/>
        <v>21000</v>
      </c>
    </row>
    <row r="2161" spans="1:8" ht="18.75">
      <c r="A2161" s="241" t="s">
        <v>1265</v>
      </c>
      <c r="B2161" s="233">
        <v>0.1</v>
      </c>
      <c r="C2161" s="1222">
        <v>12</v>
      </c>
      <c r="D2161" s="243" t="s">
        <v>1266</v>
      </c>
      <c r="E2161" s="754"/>
      <c r="F2161" s="558">
        <v>850000</v>
      </c>
      <c r="G2161" s="1138">
        <v>2.5000000000000001E-2</v>
      </c>
      <c r="H2161" s="1254">
        <f t="shared" si="70"/>
        <v>21250</v>
      </c>
    </row>
    <row r="2162" spans="1:8" ht="18.75">
      <c r="A2162" s="241">
        <v>14876</v>
      </c>
      <c r="B2162" s="233">
        <v>0.1</v>
      </c>
      <c r="C2162" s="891">
        <v>12</v>
      </c>
      <c r="D2162" s="1057" t="s">
        <v>1303</v>
      </c>
      <c r="E2162" s="581"/>
      <c r="F2162" s="558">
        <v>1450000</v>
      </c>
      <c r="G2162" s="1138">
        <v>2.5000000000000001E-2</v>
      </c>
      <c r="H2162" s="1254">
        <f t="shared" si="70"/>
        <v>36250</v>
      </c>
    </row>
    <row r="2163" spans="1:8" ht="18.75">
      <c r="A2163" s="241">
        <v>14871</v>
      </c>
      <c r="B2163" s="233">
        <v>0.1</v>
      </c>
      <c r="C2163" s="891">
        <v>12</v>
      </c>
      <c r="D2163" s="243" t="s">
        <v>1284</v>
      </c>
      <c r="E2163" s="581"/>
      <c r="F2163" s="558">
        <v>1800000</v>
      </c>
      <c r="G2163" s="1138">
        <v>2.5000000000000001E-2</v>
      </c>
      <c r="H2163" s="1254">
        <f t="shared" si="70"/>
        <v>45000</v>
      </c>
    </row>
    <row r="2164" spans="1:8" ht="18.75">
      <c r="A2164" s="241">
        <v>14879</v>
      </c>
      <c r="B2164" s="233">
        <v>0.1</v>
      </c>
      <c r="C2164" s="891">
        <v>12</v>
      </c>
      <c r="D2164" s="259" t="s">
        <v>1248</v>
      </c>
      <c r="E2164" s="581"/>
      <c r="F2164" s="558">
        <v>2100000</v>
      </c>
      <c r="G2164" s="1138">
        <v>2.5000000000000001E-2</v>
      </c>
      <c r="H2164" s="1254">
        <f t="shared" si="70"/>
        <v>52500</v>
      </c>
    </row>
    <row r="2165" spans="1:8" ht="18.75">
      <c r="A2165" s="241">
        <v>14905</v>
      </c>
      <c r="B2165" s="233">
        <v>0.1</v>
      </c>
      <c r="C2165" s="891">
        <v>12</v>
      </c>
      <c r="D2165" s="243" t="s">
        <v>1250</v>
      </c>
      <c r="E2165" s="581"/>
      <c r="F2165" s="558">
        <v>1400000</v>
      </c>
      <c r="G2165" s="1138">
        <v>2.5000000000000001E-2</v>
      </c>
      <c r="H2165" s="1254">
        <f t="shared" si="70"/>
        <v>35000</v>
      </c>
    </row>
    <row r="2166" spans="1:8" ht="18.75">
      <c r="A2166" s="241">
        <v>14912</v>
      </c>
      <c r="B2166" s="233">
        <v>0.1</v>
      </c>
      <c r="C2166" s="891">
        <v>12</v>
      </c>
      <c r="D2166" s="1376" t="s">
        <v>1286</v>
      </c>
      <c r="E2166" s="581"/>
      <c r="F2166" s="558">
        <v>1000000</v>
      </c>
      <c r="G2166" s="1138">
        <v>2.5000000000000001E-2</v>
      </c>
      <c r="H2166" s="1254">
        <f t="shared" si="70"/>
        <v>25000</v>
      </c>
    </row>
    <row r="2167" spans="1:8" ht="18.75">
      <c r="A2167" s="241">
        <v>14915</v>
      </c>
      <c r="B2167" s="233">
        <v>0.1</v>
      </c>
      <c r="C2167" s="891">
        <v>12</v>
      </c>
      <c r="D2167" s="243" t="s">
        <v>1254</v>
      </c>
      <c r="E2167" s="581"/>
      <c r="F2167" s="558">
        <v>1700000</v>
      </c>
      <c r="G2167" s="1138">
        <v>2.5000000000000001E-2</v>
      </c>
      <c r="H2167" s="1254">
        <f t="shared" si="70"/>
        <v>42500</v>
      </c>
    </row>
    <row r="2168" spans="1:8" ht="18.75">
      <c r="A2168" s="241">
        <v>14930</v>
      </c>
      <c r="B2168" s="331">
        <v>0.08</v>
      </c>
      <c r="C2168" s="891">
        <v>12</v>
      </c>
      <c r="D2168" s="243" t="s">
        <v>1255</v>
      </c>
      <c r="E2168" s="581"/>
      <c r="F2168" s="558">
        <v>1600000</v>
      </c>
      <c r="G2168" s="1111">
        <v>1.4999999999999999E-2</v>
      </c>
      <c r="H2168" s="1254">
        <f t="shared" si="70"/>
        <v>24000</v>
      </c>
    </row>
    <row r="2169" spans="1:8" ht="18.75">
      <c r="A2169" s="241">
        <v>14938</v>
      </c>
      <c r="B2169" s="233">
        <v>0.1</v>
      </c>
      <c r="C2169" s="891">
        <v>12</v>
      </c>
      <c r="D2169" s="243" t="s">
        <v>474</v>
      </c>
      <c r="E2169" s="581"/>
      <c r="F2169" s="558">
        <v>1480000</v>
      </c>
      <c r="G2169" s="1138">
        <v>2.5000000000000001E-2</v>
      </c>
      <c r="H2169" s="1254">
        <f t="shared" si="70"/>
        <v>37000</v>
      </c>
    </row>
    <row r="2170" spans="1:8" ht="18.75">
      <c r="A2170" s="241">
        <v>14913</v>
      </c>
      <c r="B2170" s="233">
        <v>0.1</v>
      </c>
      <c r="C2170" s="891">
        <v>12</v>
      </c>
      <c r="D2170" s="243" t="s">
        <v>1249</v>
      </c>
      <c r="E2170" s="581"/>
      <c r="F2170" s="558">
        <v>1300000</v>
      </c>
      <c r="G2170" s="1138">
        <v>2.5000000000000001E-2</v>
      </c>
      <c r="H2170" s="1254">
        <f t="shared" si="70"/>
        <v>32500</v>
      </c>
    </row>
    <row r="2171" spans="1:8" ht="18.75">
      <c r="A2171" s="241">
        <v>15017</v>
      </c>
      <c r="B2171" s="331">
        <v>0.08</v>
      </c>
      <c r="C2171" s="891">
        <v>12</v>
      </c>
      <c r="D2171" s="243" t="s">
        <v>1842</v>
      </c>
      <c r="E2171" s="581"/>
      <c r="F2171" s="558">
        <v>1500000</v>
      </c>
      <c r="G2171" s="1111">
        <v>1.4999999999999999E-2</v>
      </c>
      <c r="H2171" s="1254">
        <f t="shared" si="70"/>
        <v>22500</v>
      </c>
    </row>
    <row r="2172" spans="1:8" ht="18.75">
      <c r="A2172" s="241">
        <v>15079</v>
      </c>
      <c r="B2172" s="331">
        <v>0.08</v>
      </c>
      <c r="C2172" s="891">
        <v>12</v>
      </c>
      <c r="D2172" s="243" t="s">
        <v>1843</v>
      </c>
      <c r="E2172" s="1380"/>
      <c r="F2172" s="558">
        <v>1900000</v>
      </c>
      <c r="G2172" s="1111">
        <v>1.4999999999999999E-2</v>
      </c>
      <c r="H2172" s="1254">
        <f t="shared" si="70"/>
        <v>28500</v>
      </c>
    </row>
    <row r="2173" spans="1:8" ht="18.75">
      <c r="A2173" s="241">
        <v>14870</v>
      </c>
      <c r="B2173" s="331">
        <v>0.08</v>
      </c>
      <c r="C2173" s="891">
        <v>12</v>
      </c>
      <c r="D2173" s="1376" t="s">
        <v>1282</v>
      </c>
      <c r="E2173" s="581"/>
      <c r="F2173" s="558">
        <v>900000</v>
      </c>
      <c r="G2173" s="1111">
        <v>1.4999999999999999E-2</v>
      </c>
      <c r="H2173" s="1254">
        <f t="shared" si="70"/>
        <v>13500</v>
      </c>
    </row>
    <row r="2174" spans="1:8" ht="18.75">
      <c r="A2174" s="241">
        <v>14863</v>
      </c>
      <c r="B2174" s="233">
        <v>0.1</v>
      </c>
      <c r="C2174" s="891">
        <v>12</v>
      </c>
      <c r="D2174" s="1376" t="s">
        <v>1283</v>
      </c>
      <c r="E2174" s="581"/>
      <c r="F2174" s="558">
        <v>1200000</v>
      </c>
      <c r="G2174" s="1138">
        <v>2.5000000000000001E-2</v>
      </c>
      <c r="H2174" s="1254">
        <f t="shared" si="70"/>
        <v>30000</v>
      </c>
    </row>
    <row r="2175" spans="1:8" ht="18.75">
      <c r="A2175" s="241">
        <v>14899</v>
      </c>
      <c r="B2175" s="233">
        <v>0.1</v>
      </c>
      <c r="C2175" s="891">
        <v>12</v>
      </c>
      <c r="D2175" s="1057" t="s">
        <v>1285</v>
      </c>
      <c r="E2175" s="581"/>
      <c r="F2175" s="558">
        <v>1150000</v>
      </c>
      <c r="G2175" s="1138">
        <v>2.5000000000000001E-2</v>
      </c>
      <c r="H2175" s="1254">
        <f t="shared" si="70"/>
        <v>28750</v>
      </c>
    </row>
    <row r="2176" spans="1:8" ht="18.75">
      <c r="A2176" s="241">
        <v>14917</v>
      </c>
      <c r="B2176" s="233">
        <v>0.1</v>
      </c>
      <c r="C2176" s="891">
        <v>12</v>
      </c>
      <c r="D2176" s="1396" t="s">
        <v>1293</v>
      </c>
      <c r="E2176" s="581"/>
      <c r="F2176" s="558">
        <v>1850000</v>
      </c>
      <c r="G2176" s="1138">
        <v>2.5000000000000001E-2</v>
      </c>
      <c r="H2176" s="1254">
        <f t="shared" si="70"/>
        <v>46250</v>
      </c>
    </row>
    <row r="2177" spans="1:9" ht="18.75">
      <c r="A2177" s="241">
        <v>14927</v>
      </c>
      <c r="B2177" s="331">
        <v>0.09</v>
      </c>
      <c r="C2177" s="891">
        <v>12</v>
      </c>
      <c r="D2177" s="1396" t="s">
        <v>1251</v>
      </c>
      <c r="E2177" s="581"/>
      <c r="F2177" s="558">
        <v>1800000</v>
      </c>
      <c r="G2177" s="1111">
        <v>1.4999999999999999E-2</v>
      </c>
      <c r="H2177" s="1254">
        <f t="shared" si="70"/>
        <v>27000</v>
      </c>
    </row>
    <row r="2178" spans="1:9" ht="18.75">
      <c r="A2178" s="241">
        <v>14919</v>
      </c>
      <c r="B2178" s="331">
        <v>0.08</v>
      </c>
      <c r="C2178" s="891">
        <v>12</v>
      </c>
      <c r="D2178" s="1397" t="s">
        <v>1852</v>
      </c>
      <c r="E2178" s="581"/>
      <c r="F2178" s="558">
        <v>1400000</v>
      </c>
      <c r="G2178" s="1111">
        <v>1.4999999999999999E-2</v>
      </c>
      <c r="H2178" s="1254">
        <f t="shared" si="70"/>
        <v>21000</v>
      </c>
    </row>
    <row r="2179" spans="1:9" ht="18.75">
      <c r="A2179" s="241">
        <v>14898</v>
      </c>
      <c r="B2179" s="233">
        <v>0.1</v>
      </c>
      <c r="C2179" s="891">
        <v>12</v>
      </c>
      <c r="D2179" s="1376" t="s">
        <v>1854</v>
      </c>
      <c r="E2179" s="581"/>
      <c r="F2179" s="558">
        <v>1900000</v>
      </c>
      <c r="G2179" s="1138">
        <v>2.5000000000000001E-2</v>
      </c>
      <c r="H2179" s="1254">
        <f t="shared" si="70"/>
        <v>47500</v>
      </c>
    </row>
    <row r="2180" spans="1:9" ht="18.75">
      <c r="A2180" s="241">
        <v>14934</v>
      </c>
      <c r="B2180" s="233">
        <v>0.1</v>
      </c>
      <c r="C2180" s="891">
        <v>12</v>
      </c>
      <c r="D2180" s="1376" t="s">
        <v>399</v>
      </c>
      <c r="E2180" s="581"/>
      <c r="F2180" s="558">
        <v>1400000</v>
      </c>
      <c r="G2180" s="1138">
        <v>2.5000000000000001E-2</v>
      </c>
      <c r="H2180" s="1254">
        <f t="shared" si="70"/>
        <v>35000</v>
      </c>
    </row>
    <row r="2181" spans="1:9" ht="18.75">
      <c r="A2181" s="241">
        <v>14971</v>
      </c>
      <c r="B2181" s="233">
        <v>0.1</v>
      </c>
      <c r="C2181" s="891">
        <v>12</v>
      </c>
      <c r="D2181" s="1376" t="s">
        <v>1258</v>
      </c>
      <c r="E2181" s="581"/>
      <c r="F2181" s="558">
        <v>1600000</v>
      </c>
      <c r="G2181" s="1138">
        <v>2.5000000000000001E-2</v>
      </c>
      <c r="H2181" s="1254">
        <f t="shared" si="70"/>
        <v>40000</v>
      </c>
    </row>
    <row r="2182" spans="1:9" ht="18.75">
      <c r="A2182" s="241">
        <v>15023</v>
      </c>
      <c r="B2182" s="331">
        <v>0.08</v>
      </c>
      <c r="C2182" s="891">
        <v>12</v>
      </c>
      <c r="D2182" s="1376" t="s">
        <v>1262</v>
      </c>
      <c r="E2182" s="581"/>
      <c r="F2182" s="558">
        <v>1650000</v>
      </c>
      <c r="G2182" s="1111">
        <v>1.4999999999999999E-2</v>
      </c>
      <c r="H2182" s="1254">
        <f t="shared" si="70"/>
        <v>24750</v>
      </c>
    </row>
    <row r="2183" spans="1:9" ht="18.75">
      <c r="A2183" s="241">
        <v>15021</v>
      </c>
      <c r="B2183" s="233">
        <v>0.1</v>
      </c>
      <c r="C2183" s="891">
        <v>12</v>
      </c>
      <c r="D2183" s="1232" t="s">
        <v>1291</v>
      </c>
      <c r="E2183" s="581"/>
      <c r="F2183" s="558">
        <v>1250000</v>
      </c>
      <c r="G2183" s="1138">
        <v>2.5000000000000001E-2</v>
      </c>
      <c r="H2183" s="1254">
        <f t="shared" si="70"/>
        <v>31250</v>
      </c>
    </row>
    <row r="2184" spans="1:9" ht="18.75">
      <c r="A2184" s="241">
        <v>15083</v>
      </c>
      <c r="B2184" s="233">
        <v>0.1</v>
      </c>
      <c r="C2184" s="891">
        <v>12</v>
      </c>
      <c r="D2184" s="1232" t="s">
        <v>1296</v>
      </c>
      <c r="E2184" s="581"/>
      <c r="F2184" s="558">
        <v>1150000</v>
      </c>
      <c r="G2184" s="1138">
        <v>2.5000000000000001E-2</v>
      </c>
      <c r="H2184" s="1254">
        <f t="shared" si="70"/>
        <v>28750</v>
      </c>
    </row>
    <row r="2185" spans="1:9" ht="18.75">
      <c r="A2185" s="241">
        <v>15081</v>
      </c>
      <c r="B2185" s="233">
        <v>0.1</v>
      </c>
      <c r="C2185" s="891">
        <v>12</v>
      </c>
      <c r="D2185" s="1376" t="s">
        <v>1297</v>
      </c>
      <c r="E2185" s="581"/>
      <c r="F2185" s="558">
        <v>1200000</v>
      </c>
      <c r="G2185" s="1138">
        <v>2.5000000000000001E-2</v>
      </c>
      <c r="H2185" s="1254">
        <f t="shared" si="70"/>
        <v>30000</v>
      </c>
    </row>
    <row r="2186" spans="1:9" ht="18.75">
      <c r="A2186" s="241">
        <v>15074</v>
      </c>
      <c r="B2186" s="233">
        <v>0.1</v>
      </c>
      <c r="C2186" s="891">
        <v>12</v>
      </c>
      <c r="D2186" s="1232" t="s">
        <v>1305</v>
      </c>
      <c r="E2186" s="581"/>
      <c r="F2186" s="558">
        <v>1350000</v>
      </c>
      <c r="G2186" s="1138">
        <v>2.5000000000000001E-2</v>
      </c>
      <c r="H2186" s="1254">
        <f t="shared" si="70"/>
        <v>33750</v>
      </c>
    </row>
    <row r="2187" spans="1:9" ht="18.75">
      <c r="A2187" s="241">
        <v>15092</v>
      </c>
      <c r="B2187" s="233">
        <v>0.1</v>
      </c>
      <c r="C2187" s="891">
        <v>12</v>
      </c>
      <c r="D2187" s="1024" t="s">
        <v>1272</v>
      </c>
      <c r="E2187" s="581"/>
      <c r="F2187" s="558">
        <v>1750000</v>
      </c>
      <c r="G2187" s="1138">
        <v>2.5000000000000001E-2</v>
      </c>
      <c r="H2187" s="1254">
        <f t="shared" si="70"/>
        <v>43750</v>
      </c>
    </row>
    <row r="2188" spans="1:9" ht="18.75">
      <c r="A2188" s="235"/>
      <c r="B2188" s="318"/>
      <c r="C2188" s="1131"/>
      <c r="D2188" s="266"/>
      <c r="E2188" s="720"/>
      <c r="F2188" s="793"/>
      <c r="G2188" s="162"/>
      <c r="H2188" s="550"/>
    </row>
    <row r="2189" spans="1:9" ht="18.75">
      <c r="A2189" s="163"/>
      <c r="B2189" s="1214"/>
      <c r="C2189" s="1188"/>
      <c r="D2189" s="262"/>
      <c r="E2189" s="833" t="s">
        <v>80</v>
      </c>
      <c r="F2189" s="972">
        <f>SUM(F2147:F2188)</f>
        <v>60630000</v>
      </c>
      <c r="G2189" s="910"/>
      <c r="H2189" s="1109">
        <f>SUM(H2147:H2188)-48000</f>
        <v>1316750</v>
      </c>
      <c r="I2189" s="1170" t="s">
        <v>1866</v>
      </c>
    </row>
    <row r="2190" spans="1:9" ht="18.75">
      <c r="H2190" s="1438"/>
    </row>
    <row r="2191" spans="1:9" ht="18.75"/>
    <row r="2192" spans="1:9" ht="18.75"/>
    <row r="2193" spans="1:9" ht="18.75"/>
    <row r="2194" spans="1:9" ht="26.25">
      <c r="A2194" s="1643" t="s">
        <v>1867</v>
      </c>
      <c r="B2194" s="1643"/>
      <c r="C2194" s="1643"/>
      <c r="D2194" s="1643"/>
      <c r="E2194" s="1643"/>
      <c r="F2194" s="1643"/>
      <c r="G2194" s="1643"/>
      <c r="H2194" s="1644"/>
    </row>
    <row r="2195" spans="1:9" ht="18.75"/>
    <row r="2196" spans="1:9" ht="26.25">
      <c r="A2196" s="1641" t="s">
        <v>1575</v>
      </c>
      <c r="B2196" s="1640"/>
      <c r="C2196" s="1641"/>
      <c r="D2196" s="1641"/>
      <c r="E2196" s="1640"/>
      <c r="F2196" s="1640"/>
      <c r="G2196" s="1640"/>
      <c r="H2196" s="1642"/>
      <c r="I2196" s="1172"/>
    </row>
    <row r="2197" spans="1:9" ht="30.75">
      <c r="A2197" s="87" t="s">
        <v>1463</v>
      </c>
      <c r="B2197" s="1299" t="s">
        <v>1497</v>
      </c>
      <c r="C2197" s="731" t="s">
        <v>1465</v>
      </c>
      <c r="D2197" s="87" t="s">
        <v>5</v>
      </c>
      <c r="E2197" s="732" t="s">
        <v>1466</v>
      </c>
      <c r="F2197" s="48" t="s">
        <v>1467</v>
      </c>
      <c r="G2197" s="48" t="s">
        <v>7</v>
      </c>
      <c r="H2197" s="62" t="s">
        <v>1468</v>
      </c>
      <c r="I2197" s="1174" t="s">
        <v>1624</v>
      </c>
    </row>
    <row r="2198" spans="1:9" ht="18.75">
      <c r="A2198" s="241">
        <v>15151</v>
      </c>
      <c r="B2198" s="233">
        <v>0.1</v>
      </c>
      <c r="C2198" s="770">
        <v>9</v>
      </c>
      <c r="D2198" s="243" t="s">
        <v>1868</v>
      </c>
      <c r="E2198" s="754" t="s">
        <v>137</v>
      </c>
      <c r="F2198" s="558">
        <v>1650000</v>
      </c>
      <c r="G2198" s="478">
        <v>0.05</v>
      </c>
      <c r="H2198" s="1254">
        <f>F2198*G2198</f>
        <v>82500</v>
      </c>
      <c r="I2198" s="1175" t="s">
        <v>1625</v>
      </c>
    </row>
    <row r="2199" spans="1:9" ht="18.75">
      <c r="A2199" s="135">
        <v>15180</v>
      </c>
      <c r="B2199" s="331">
        <v>0.08</v>
      </c>
      <c r="C2199" s="1222">
        <v>12</v>
      </c>
      <c r="D2199" s="243" t="s">
        <v>1323</v>
      </c>
      <c r="E2199" s="754" t="s">
        <v>1869</v>
      </c>
      <c r="F2199" s="558">
        <v>1800000</v>
      </c>
      <c r="G2199" s="140">
        <v>0.04</v>
      </c>
      <c r="H2199" s="1254">
        <f t="shared" ref="H2199:H2212" si="71">F2199*G2199</f>
        <v>72000</v>
      </c>
      <c r="I2199" s="1175" t="s">
        <v>1625</v>
      </c>
    </row>
    <row r="2200" spans="1:9" ht="18.75">
      <c r="A2200" s="241">
        <v>15182</v>
      </c>
      <c r="B2200" s="233">
        <v>0.1</v>
      </c>
      <c r="C2200" s="1222">
        <v>12</v>
      </c>
      <c r="D2200" s="243" t="s">
        <v>1325</v>
      </c>
      <c r="E2200" s="754" t="s">
        <v>1869</v>
      </c>
      <c r="F2200" s="558">
        <v>1800000</v>
      </c>
      <c r="G2200" s="478">
        <v>0.05</v>
      </c>
      <c r="H2200" s="1254">
        <f t="shared" si="71"/>
        <v>90000</v>
      </c>
      <c r="I2200" s="1175" t="s">
        <v>1625</v>
      </c>
    </row>
    <row r="2201" spans="1:9" ht="18.75">
      <c r="A2201" s="241">
        <v>15165</v>
      </c>
      <c r="B2201" s="233">
        <v>0.1</v>
      </c>
      <c r="C2201" s="770">
        <v>12</v>
      </c>
      <c r="D2201" s="243" t="s">
        <v>1358</v>
      </c>
      <c r="E2201" s="754" t="s">
        <v>1869</v>
      </c>
      <c r="F2201" s="558">
        <v>1200000</v>
      </c>
      <c r="G2201" s="478">
        <v>0.05</v>
      </c>
      <c r="H2201" s="1254">
        <f t="shared" si="71"/>
        <v>60000</v>
      </c>
      <c r="I2201" s="1175" t="s">
        <v>1625</v>
      </c>
    </row>
    <row r="2202" spans="1:9" ht="18.75">
      <c r="A2202" s="241">
        <v>15193</v>
      </c>
      <c r="B2202" s="233">
        <v>0.1</v>
      </c>
      <c r="C2202" s="770">
        <v>12</v>
      </c>
      <c r="D2202" s="243" t="s">
        <v>483</v>
      </c>
      <c r="E2202" s="754" t="s">
        <v>1869</v>
      </c>
      <c r="F2202" s="558">
        <v>1050000</v>
      </c>
      <c r="G2202" s="478">
        <v>0.05</v>
      </c>
      <c r="H2202" s="1254">
        <f t="shared" si="71"/>
        <v>52500</v>
      </c>
      <c r="I2202" s="1175" t="s">
        <v>1625</v>
      </c>
    </row>
    <row r="2203" spans="1:9" ht="18.75">
      <c r="A2203" s="241">
        <v>15196</v>
      </c>
      <c r="B2203" s="233">
        <v>0.1</v>
      </c>
      <c r="C2203" s="1222">
        <v>12</v>
      </c>
      <c r="D2203" s="243" t="s">
        <v>1359</v>
      </c>
      <c r="E2203" s="754" t="s">
        <v>1869</v>
      </c>
      <c r="F2203" s="558">
        <v>1200000</v>
      </c>
      <c r="G2203" s="478">
        <v>0.05</v>
      </c>
      <c r="H2203" s="1254">
        <f t="shared" si="71"/>
        <v>60000</v>
      </c>
      <c r="I2203" s="1175" t="s">
        <v>1625</v>
      </c>
    </row>
    <row r="2204" spans="1:9" ht="18.75">
      <c r="A2204" s="241">
        <v>15212</v>
      </c>
      <c r="B2204" s="233">
        <v>0.1</v>
      </c>
      <c r="C2204" s="770">
        <v>12</v>
      </c>
      <c r="D2204" s="1232" t="s">
        <v>1326</v>
      </c>
      <c r="E2204" s="754" t="s">
        <v>1869</v>
      </c>
      <c r="F2204" s="558">
        <v>1450000</v>
      </c>
      <c r="G2204" s="478">
        <v>0.05</v>
      </c>
      <c r="H2204" s="1254">
        <f t="shared" si="71"/>
        <v>72500</v>
      </c>
      <c r="I2204" s="1175" t="s">
        <v>1625</v>
      </c>
    </row>
    <row r="2205" spans="1:9" ht="18.75">
      <c r="A2205" s="241">
        <v>15218</v>
      </c>
      <c r="B2205" s="233">
        <v>0.1</v>
      </c>
      <c r="C2205" s="1222">
        <v>12</v>
      </c>
      <c r="D2205" s="243" t="s">
        <v>1370</v>
      </c>
      <c r="E2205" s="754" t="s">
        <v>1869</v>
      </c>
      <c r="F2205" s="558">
        <v>1900000</v>
      </c>
      <c r="G2205" s="478">
        <v>0.05</v>
      </c>
      <c r="H2205" s="1254">
        <f t="shared" si="71"/>
        <v>95000</v>
      </c>
      <c r="I2205" s="1175" t="s">
        <v>1625</v>
      </c>
    </row>
    <row r="2206" spans="1:9" ht="18.75">
      <c r="A2206" s="241">
        <v>15227</v>
      </c>
      <c r="B2206" s="233">
        <v>0.1</v>
      </c>
      <c r="C2206" s="770">
        <v>12</v>
      </c>
      <c r="D2206" s="1232" t="s">
        <v>1340</v>
      </c>
      <c r="E2206" s="754" t="s">
        <v>1869</v>
      </c>
      <c r="F2206" s="558">
        <v>1500000</v>
      </c>
      <c r="G2206" s="478">
        <v>0.05</v>
      </c>
      <c r="H2206" s="1254">
        <f t="shared" si="71"/>
        <v>75000</v>
      </c>
      <c r="I2206" s="1175" t="s">
        <v>1625</v>
      </c>
    </row>
    <row r="2207" spans="1:9" ht="18.75">
      <c r="A2207" s="241">
        <v>15263</v>
      </c>
      <c r="B2207" s="233">
        <v>0.1</v>
      </c>
      <c r="C2207" s="1222">
        <v>12</v>
      </c>
      <c r="D2207" s="243" t="s">
        <v>1870</v>
      </c>
      <c r="E2207" s="754" t="s">
        <v>1869</v>
      </c>
      <c r="F2207" s="558">
        <v>2800000</v>
      </c>
      <c r="G2207" s="478">
        <v>0.05</v>
      </c>
      <c r="H2207" s="1254">
        <f t="shared" si="71"/>
        <v>140000</v>
      </c>
      <c r="I2207" s="1175" t="s">
        <v>1625</v>
      </c>
    </row>
    <row r="2208" spans="1:9" ht="18.75">
      <c r="A2208" s="241">
        <v>15267</v>
      </c>
      <c r="B2208" s="233">
        <v>0.1</v>
      </c>
      <c r="C2208" s="770">
        <v>12</v>
      </c>
      <c r="D2208" s="1312" t="s">
        <v>1871</v>
      </c>
      <c r="E2208" s="754" t="s">
        <v>137</v>
      </c>
      <c r="F2208" s="558">
        <v>1450000</v>
      </c>
      <c r="G2208" s="478">
        <v>0.05</v>
      </c>
      <c r="H2208" s="1254">
        <f t="shared" si="71"/>
        <v>72500</v>
      </c>
      <c r="I2208" s="1175" t="s">
        <v>1625</v>
      </c>
    </row>
    <row r="2209" spans="1:9" ht="18.75">
      <c r="A2209" s="241">
        <v>15357</v>
      </c>
      <c r="B2209" s="233">
        <v>0.1</v>
      </c>
      <c r="C2209" s="770">
        <v>12</v>
      </c>
      <c r="D2209" s="259" t="s">
        <v>1872</v>
      </c>
      <c r="E2209" s="754" t="s">
        <v>137</v>
      </c>
      <c r="F2209" s="558">
        <v>1200000</v>
      </c>
      <c r="G2209" s="478">
        <v>0.05</v>
      </c>
      <c r="H2209" s="1254">
        <f t="shared" si="71"/>
        <v>60000</v>
      </c>
      <c r="I2209" s="1175" t="s">
        <v>1625</v>
      </c>
    </row>
    <row r="2210" spans="1:9" ht="18.75">
      <c r="A2210" s="241">
        <v>15332</v>
      </c>
      <c r="B2210" s="233">
        <v>0.1</v>
      </c>
      <c r="C2210" s="770">
        <v>12</v>
      </c>
      <c r="D2210" s="259" t="s">
        <v>1873</v>
      </c>
      <c r="E2210" s="754" t="s">
        <v>137</v>
      </c>
      <c r="F2210" s="558">
        <v>1600000</v>
      </c>
      <c r="G2210" s="478">
        <v>0.05</v>
      </c>
      <c r="H2210" s="1254">
        <f t="shared" si="71"/>
        <v>80000</v>
      </c>
      <c r="I2210" s="1175" t="s">
        <v>1625</v>
      </c>
    </row>
    <row r="2211" spans="1:9" ht="18.75">
      <c r="A2211" s="241">
        <v>15381</v>
      </c>
      <c r="B2211" s="233">
        <v>0.1</v>
      </c>
      <c r="C2211" s="770">
        <v>12</v>
      </c>
      <c r="D2211" s="259" t="s">
        <v>1874</v>
      </c>
      <c r="E2211" s="754" t="s">
        <v>1875</v>
      </c>
      <c r="F2211" s="558">
        <v>4200000</v>
      </c>
      <c r="G2211" s="478">
        <v>0.05</v>
      </c>
      <c r="H2211" s="1254">
        <f t="shared" si="71"/>
        <v>210000</v>
      </c>
      <c r="I2211" s="1175" t="s">
        <v>1625</v>
      </c>
    </row>
    <row r="2212" spans="1:9" ht="18.75">
      <c r="A2212" s="241">
        <v>15404</v>
      </c>
      <c r="B2212" s="331">
        <v>0.08</v>
      </c>
      <c r="C2212" s="770">
        <v>12</v>
      </c>
      <c r="D2212" s="1232" t="s">
        <v>1876</v>
      </c>
      <c r="E2212" s="754" t="s">
        <v>137</v>
      </c>
      <c r="F2212" s="558">
        <v>2150000</v>
      </c>
      <c r="G2212" s="140">
        <v>0.04</v>
      </c>
      <c r="H2212" s="1254">
        <f t="shared" si="71"/>
        <v>86000</v>
      </c>
      <c r="I2212" s="1175" t="s">
        <v>1625</v>
      </c>
    </row>
    <row r="2213" spans="1:9" ht="18.75">
      <c r="A2213" s="209" t="s">
        <v>297</v>
      </c>
      <c r="B2213" s="267"/>
      <c r="C2213" s="936"/>
      <c r="D2213" s="819" t="s">
        <v>1877</v>
      </c>
      <c r="E2213" s="760" t="s">
        <v>1367</v>
      </c>
      <c r="F2213" s="889"/>
      <c r="G2213" s="348"/>
      <c r="H2213" s="885"/>
      <c r="I2213" s="1175"/>
    </row>
    <row r="2214" spans="1:9" ht="20.25">
      <c r="A2214" s="163"/>
      <c r="B2214" s="318"/>
      <c r="C2214" s="792"/>
      <c r="D2214" s="262"/>
      <c r="E2214" s="947"/>
      <c r="F2214" s="948">
        <f>SUM(F2198:F2213)</f>
        <v>26950000</v>
      </c>
      <c r="G2214" s="949"/>
      <c r="H2214" s="950">
        <f>SUM(H2198:H2213)</f>
        <v>1308000</v>
      </c>
      <c r="I2214" s="1172"/>
    </row>
    <row r="2215" spans="1:9" ht="26.25">
      <c r="A2215" s="1645"/>
      <c r="B2215" s="1645"/>
      <c r="C2215" s="1645"/>
      <c r="D2215" s="1645"/>
      <c r="E2215" s="1645"/>
      <c r="F2215" s="1645"/>
      <c r="G2215" s="1645"/>
      <c r="H2215" s="1645"/>
    </row>
    <row r="2216" spans="1:9" ht="26.25">
      <c r="A2216" s="797"/>
      <c r="B2216" s="797"/>
      <c r="C2216" s="797"/>
      <c r="D2216" s="797"/>
      <c r="E2216" s="797"/>
      <c r="F2216" s="797"/>
      <c r="G2216" s="797"/>
      <c r="H2216" s="797"/>
    </row>
    <row r="2217" spans="1:9" ht="26.25">
      <c r="A2217" s="1640" t="s">
        <v>1580</v>
      </c>
      <c r="B2217" s="1640"/>
      <c r="C2217" s="1640"/>
      <c r="D2217" s="1641"/>
      <c r="E2217" s="1641"/>
      <c r="F2217" s="1640"/>
      <c r="G2217" s="1640"/>
      <c r="H2217" s="1642"/>
      <c r="I2217" s="1172"/>
    </row>
    <row r="2218" spans="1:9" ht="30.75">
      <c r="A2218" s="45" t="s">
        <v>1463</v>
      </c>
      <c r="B2218" s="646" t="s">
        <v>1497</v>
      </c>
      <c r="C2218" s="1300" t="s">
        <v>1465</v>
      </c>
      <c r="D2218" s="880" t="s">
        <v>5</v>
      </c>
      <c r="E2218" s="879" t="s">
        <v>1466</v>
      </c>
      <c r="F2218" s="881" t="s">
        <v>1467</v>
      </c>
      <c r="G2218" s="48" t="s">
        <v>7</v>
      </c>
      <c r="H2218" s="62" t="s">
        <v>1468</v>
      </c>
      <c r="I2218" s="1173" t="s">
        <v>1624</v>
      </c>
    </row>
    <row r="2219" spans="1:9" ht="18.75">
      <c r="A2219" s="241">
        <v>15219</v>
      </c>
      <c r="B2219" s="233">
        <v>0.1</v>
      </c>
      <c r="C2219" s="891">
        <v>12</v>
      </c>
      <c r="D2219" s="1232" t="s">
        <v>517</v>
      </c>
      <c r="E2219" s="581" t="s">
        <v>137</v>
      </c>
      <c r="F2219" s="558">
        <v>1700000</v>
      </c>
      <c r="G2219" s="478">
        <v>0.04</v>
      </c>
      <c r="H2219" s="1254">
        <f>F2219*G2219</f>
        <v>68000</v>
      </c>
      <c r="I2219" s="1175" t="s">
        <v>1625</v>
      </c>
    </row>
    <row r="2220" spans="1:9" ht="18.75">
      <c r="A2220" s="241">
        <v>15235</v>
      </c>
      <c r="B2220" s="233">
        <v>0.1</v>
      </c>
      <c r="C2220" s="891">
        <v>12</v>
      </c>
      <c r="D2220" s="259" t="s">
        <v>1328</v>
      </c>
      <c r="E2220" s="581" t="s">
        <v>137</v>
      </c>
      <c r="F2220" s="558">
        <v>1700000</v>
      </c>
      <c r="G2220" s="478">
        <v>0.04</v>
      </c>
      <c r="H2220" s="1254">
        <f t="shared" ref="H2220:H2230" si="72">F2220*G2220</f>
        <v>68000</v>
      </c>
      <c r="I2220" s="1175" t="s">
        <v>1625</v>
      </c>
    </row>
    <row r="2221" spans="1:9" ht="18.75">
      <c r="A2221" s="241">
        <v>15246</v>
      </c>
      <c r="B2221" s="233">
        <v>0.1</v>
      </c>
      <c r="C2221" s="891">
        <v>12</v>
      </c>
      <c r="D2221" s="1376" t="s">
        <v>1341</v>
      </c>
      <c r="E2221" s="581" t="s">
        <v>137</v>
      </c>
      <c r="F2221" s="558">
        <v>1250000</v>
      </c>
      <c r="G2221" s="478">
        <v>0.04</v>
      </c>
      <c r="H2221" s="1254">
        <f t="shared" si="72"/>
        <v>50000</v>
      </c>
      <c r="I2221" s="1175" t="s">
        <v>1625</v>
      </c>
    </row>
    <row r="2222" spans="1:9" ht="18.75">
      <c r="A2222" s="241">
        <v>15274</v>
      </c>
      <c r="B2222" s="233">
        <v>0.1</v>
      </c>
      <c r="C2222" s="891">
        <v>12</v>
      </c>
      <c r="D2222" s="1376" t="s">
        <v>1878</v>
      </c>
      <c r="E2222" s="581" t="s">
        <v>1832</v>
      </c>
      <c r="F2222" s="558">
        <v>1700000</v>
      </c>
      <c r="G2222" s="478">
        <v>0.04</v>
      </c>
      <c r="H2222" s="1254">
        <f t="shared" si="72"/>
        <v>68000</v>
      </c>
      <c r="I2222" s="1175" t="s">
        <v>1625</v>
      </c>
    </row>
    <row r="2223" spans="1:9" ht="18.75">
      <c r="A2223" s="241">
        <v>15292</v>
      </c>
      <c r="B2223" s="233">
        <v>0.1</v>
      </c>
      <c r="C2223" s="891">
        <v>12</v>
      </c>
      <c r="D2223" s="1376" t="s">
        <v>1879</v>
      </c>
      <c r="E2223" s="581" t="s">
        <v>137</v>
      </c>
      <c r="F2223" s="558">
        <v>1150000</v>
      </c>
      <c r="G2223" s="478">
        <v>0.04</v>
      </c>
      <c r="H2223" s="1254">
        <f t="shared" si="72"/>
        <v>46000</v>
      </c>
      <c r="I2223" s="1175" t="s">
        <v>1625</v>
      </c>
    </row>
    <row r="2224" spans="1:9" ht="18.75">
      <c r="A2224" s="241">
        <v>15296</v>
      </c>
      <c r="B2224" s="233">
        <v>0.1</v>
      </c>
      <c r="C2224" s="891">
        <v>12</v>
      </c>
      <c r="D2224" s="1376" t="s">
        <v>1361</v>
      </c>
      <c r="E2224" s="581" t="s">
        <v>137</v>
      </c>
      <c r="F2224" s="558">
        <v>1900000</v>
      </c>
      <c r="G2224" s="478">
        <v>0.04</v>
      </c>
      <c r="H2224" s="1254">
        <f t="shared" si="72"/>
        <v>76000</v>
      </c>
      <c r="I2224" s="1175" t="s">
        <v>1625</v>
      </c>
    </row>
    <row r="2225" spans="1:9" ht="18.75">
      <c r="A2225" s="241">
        <v>15299</v>
      </c>
      <c r="B2225" s="233">
        <v>0.1</v>
      </c>
      <c r="C2225" s="891">
        <v>12</v>
      </c>
      <c r="D2225" s="1376" t="s">
        <v>561</v>
      </c>
      <c r="E2225" s="581" t="s">
        <v>137</v>
      </c>
      <c r="F2225" s="558">
        <v>850000</v>
      </c>
      <c r="G2225" s="478">
        <v>0.04</v>
      </c>
      <c r="H2225" s="1254">
        <f t="shared" si="72"/>
        <v>34000</v>
      </c>
      <c r="I2225" s="1175" t="s">
        <v>1625</v>
      </c>
    </row>
    <row r="2226" spans="1:9" ht="18.75">
      <c r="A2226" s="241">
        <v>15333</v>
      </c>
      <c r="B2226" s="233">
        <v>0.1</v>
      </c>
      <c r="C2226" s="891">
        <v>12</v>
      </c>
      <c r="D2226" s="1376" t="s">
        <v>1373</v>
      </c>
      <c r="E2226" s="581" t="s">
        <v>137</v>
      </c>
      <c r="F2226" s="558">
        <v>950000</v>
      </c>
      <c r="G2226" s="478">
        <v>0.04</v>
      </c>
      <c r="H2226" s="1254">
        <f t="shared" si="72"/>
        <v>38000</v>
      </c>
      <c r="I2226" s="1175" t="s">
        <v>1625</v>
      </c>
    </row>
    <row r="2227" spans="1:9" ht="18.75">
      <c r="A2227" s="241">
        <v>15348</v>
      </c>
      <c r="B2227" s="233">
        <v>0.1</v>
      </c>
      <c r="C2227" s="891">
        <v>12</v>
      </c>
      <c r="D2227" s="243" t="s">
        <v>1880</v>
      </c>
      <c r="E2227" s="581" t="s">
        <v>1881</v>
      </c>
      <c r="F2227" s="558">
        <v>1500000</v>
      </c>
      <c r="G2227" s="478">
        <v>0.04</v>
      </c>
      <c r="H2227" s="1254">
        <f t="shared" si="72"/>
        <v>60000</v>
      </c>
      <c r="I2227" s="1175" t="s">
        <v>1625</v>
      </c>
    </row>
    <row r="2228" spans="1:9" ht="18.75">
      <c r="A2228" s="241">
        <v>15369</v>
      </c>
      <c r="B2228" s="233">
        <v>0.1</v>
      </c>
      <c r="C2228" s="891">
        <v>12</v>
      </c>
      <c r="D2228" s="243" t="s">
        <v>154</v>
      </c>
      <c r="E2228" s="581" t="s">
        <v>137</v>
      </c>
      <c r="F2228" s="558">
        <v>1050000</v>
      </c>
      <c r="G2228" s="478">
        <v>0.04</v>
      </c>
      <c r="H2228" s="1254">
        <f t="shared" si="72"/>
        <v>42000</v>
      </c>
      <c r="I2228" s="1175" t="s">
        <v>1625</v>
      </c>
    </row>
    <row r="2229" spans="1:9" ht="18.75">
      <c r="A2229" s="241">
        <v>15377</v>
      </c>
      <c r="B2229" s="233">
        <v>0.1</v>
      </c>
      <c r="C2229" s="891">
        <v>12</v>
      </c>
      <c r="D2229" s="243" t="s">
        <v>1882</v>
      </c>
      <c r="E2229" s="581" t="s">
        <v>137</v>
      </c>
      <c r="F2229" s="558">
        <v>1200000</v>
      </c>
      <c r="G2229" s="478">
        <v>0.04</v>
      </c>
      <c r="H2229" s="1254">
        <f t="shared" si="72"/>
        <v>48000</v>
      </c>
      <c r="I2229" s="1175" t="s">
        <v>1625</v>
      </c>
    </row>
    <row r="2230" spans="1:9" ht="18.75">
      <c r="A2230" s="241">
        <v>15402</v>
      </c>
      <c r="B2230" s="233">
        <v>0.1</v>
      </c>
      <c r="C2230" s="891">
        <v>12</v>
      </c>
      <c r="D2230" s="1232" t="s">
        <v>1883</v>
      </c>
      <c r="E2230" s="581" t="s">
        <v>137</v>
      </c>
      <c r="F2230" s="558">
        <v>1700000</v>
      </c>
      <c r="G2230" s="478">
        <v>0.04</v>
      </c>
      <c r="H2230" s="1254">
        <f t="shared" si="72"/>
        <v>68000</v>
      </c>
      <c r="I2230" s="1175" t="s">
        <v>1625</v>
      </c>
    </row>
    <row r="2231" spans="1:9" ht="18.75">
      <c r="A2231" s="209" t="s">
        <v>538</v>
      </c>
      <c r="B2231" s="267"/>
      <c r="C2231" s="1225"/>
      <c r="D2231" s="1255" t="s">
        <v>1375</v>
      </c>
      <c r="E2231" s="567" t="s">
        <v>538</v>
      </c>
      <c r="F2231" s="889"/>
      <c r="G2231" s="348"/>
      <c r="H2231" s="885"/>
      <c r="I2231" s="1175"/>
    </row>
    <row r="2232" spans="1:9" ht="18.75">
      <c r="A2232" s="209" t="s">
        <v>297</v>
      </c>
      <c r="B2232" s="645"/>
      <c r="C2232" s="1225"/>
      <c r="D2232" s="819" t="s">
        <v>1884</v>
      </c>
      <c r="E2232" s="567" t="s">
        <v>1885</v>
      </c>
      <c r="F2232" s="889"/>
      <c r="G2232" s="785"/>
      <c r="H2232" s="885"/>
      <c r="I2232" s="1175"/>
    </row>
    <row r="2233" spans="1:9" ht="18.75">
      <c r="A2233" s="209" t="s">
        <v>297</v>
      </c>
      <c r="B2233" s="267"/>
      <c r="C2233" s="1225"/>
      <c r="D2233" s="1382" t="s">
        <v>1886</v>
      </c>
      <c r="E2233" s="567" t="s">
        <v>1369</v>
      </c>
      <c r="F2233" s="889"/>
      <c r="G2233" s="348"/>
      <c r="H2233" s="885"/>
      <c r="I2233" s="1175"/>
    </row>
    <row r="2234" spans="1:9" ht="18.75">
      <c r="A2234" s="209" t="s">
        <v>297</v>
      </c>
      <c r="B2234" s="267"/>
      <c r="C2234" s="1225"/>
      <c r="D2234" s="819" t="s">
        <v>1887</v>
      </c>
      <c r="E2234" s="567" t="s">
        <v>1310</v>
      </c>
      <c r="F2234" s="889"/>
      <c r="G2234" s="348"/>
      <c r="H2234" s="885"/>
      <c r="I2234" s="1175"/>
    </row>
    <row r="2235" spans="1:9" ht="20.25">
      <c r="A2235" s="163"/>
      <c r="B2235" s="318"/>
      <c r="C2235" s="1131"/>
      <c r="D2235" s="266"/>
      <c r="E2235" s="947"/>
      <c r="F2235" s="948">
        <f>SUM(F2219:F2234)</f>
        <v>16650000</v>
      </c>
      <c r="G2235" s="1088"/>
      <c r="H2235" s="950">
        <f>SUM(H2219:H2234)</f>
        <v>666000</v>
      </c>
      <c r="I2235" s="1172"/>
    </row>
    <row r="2236" spans="1:9" ht="18.75">
      <c r="A2236" s="1646"/>
      <c r="B2236" s="1646"/>
      <c r="C2236" s="1646"/>
      <c r="D2236" s="1646"/>
      <c r="E2236" s="1646"/>
      <c r="F2236" s="1646"/>
      <c r="G2236" s="1646"/>
      <c r="H2236" s="1646"/>
    </row>
    <row r="2237" spans="1:9" ht="18.75">
      <c r="A2237" s="1647"/>
      <c r="B2237" s="1647"/>
      <c r="C2237" s="1647"/>
      <c r="D2237" s="1647"/>
      <c r="E2237" s="1647"/>
      <c r="F2237" s="1647"/>
      <c r="G2237" s="1647"/>
      <c r="H2237" s="1647"/>
    </row>
    <row r="2238" spans="1:9" ht="26.25">
      <c r="A2238" s="1640" t="s">
        <v>1888</v>
      </c>
      <c r="B2238" s="1640"/>
      <c r="C2238" s="1640"/>
      <c r="D2238" s="1641"/>
      <c r="E2238" s="1640"/>
      <c r="F2238" s="1640"/>
      <c r="G2238" s="1640"/>
      <c r="H2238" s="1642"/>
      <c r="I2238" s="1172"/>
    </row>
    <row r="2239" spans="1:9" ht="30.75">
      <c r="A2239" s="45" t="s">
        <v>1463</v>
      </c>
      <c r="B2239" s="646" t="s">
        <v>1497</v>
      </c>
      <c r="C2239" s="1300" t="s">
        <v>1465</v>
      </c>
      <c r="D2239" s="87" t="s">
        <v>5</v>
      </c>
      <c r="E2239" s="732" t="s">
        <v>1466</v>
      </c>
      <c r="F2239" s="48" t="s">
        <v>1467</v>
      </c>
      <c r="G2239" s="48" t="s">
        <v>7</v>
      </c>
      <c r="H2239" s="62" t="s">
        <v>1468</v>
      </c>
      <c r="I2239" s="1173" t="s">
        <v>1624</v>
      </c>
    </row>
    <row r="2240" spans="1:9" ht="18.75">
      <c r="A2240" s="241">
        <v>15149</v>
      </c>
      <c r="B2240" s="233">
        <v>0.1</v>
      </c>
      <c r="C2240" s="891">
        <v>12</v>
      </c>
      <c r="D2240" s="1376" t="s">
        <v>1889</v>
      </c>
      <c r="E2240" s="581" t="s">
        <v>137</v>
      </c>
      <c r="F2240" s="558">
        <v>1200000</v>
      </c>
      <c r="G2240" s="189">
        <v>0.05</v>
      </c>
      <c r="H2240" s="139">
        <f>F2240*G2240</f>
        <v>60000</v>
      </c>
      <c r="I2240" s="1447" t="s">
        <v>1625</v>
      </c>
    </row>
    <row r="2241" spans="1:9" ht="18.75">
      <c r="A2241" s="241">
        <v>15138</v>
      </c>
      <c r="B2241" s="233">
        <v>0.1</v>
      </c>
      <c r="C2241" s="891">
        <v>12</v>
      </c>
      <c r="D2241" s="1376" t="s">
        <v>1337</v>
      </c>
      <c r="E2241" s="581" t="s">
        <v>1853</v>
      </c>
      <c r="F2241" s="558">
        <v>1150000</v>
      </c>
      <c r="G2241" s="189">
        <v>0.05</v>
      </c>
      <c r="H2241" s="139">
        <f t="shared" ref="H2241:H2255" si="73">F2241*G2241</f>
        <v>57500</v>
      </c>
      <c r="I2241" s="1447" t="s">
        <v>1625</v>
      </c>
    </row>
    <row r="2242" spans="1:9" ht="18.75">
      <c r="A2242" s="241">
        <v>15215</v>
      </c>
      <c r="B2242" s="233">
        <v>0.1</v>
      </c>
      <c r="C2242" s="891">
        <v>12</v>
      </c>
      <c r="D2242" s="1397" t="s">
        <v>1371</v>
      </c>
      <c r="E2242" s="581" t="s">
        <v>137</v>
      </c>
      <c r="F2242" s="558">
        <v>1400000</v>
      </c>
      <c r="G2242" s="189">
        <v>0.05</v>
      </c>
      <c r="H2242" s="139">
        <f t="shared" si="73"/>
        <v>70000</v>
      </c>
      <c r="I2242" s="1447" t="s">
        <v>1625</v>
      </c>
    </row>
    <row r="2243" spans="1:9" ht="18.75">
      <c r="A2243" s="241">
        <v>15197</v>
      </c>
      <c r="B2243" s="233">
        <v>0.1</v>
      </c>
      <c r="C2243" s="891">
        <v>12</v>
      </c>
      <c r="D2243" s="1396" t="s">
        <v>1339</v>
      </c>
      <c r="E2243" s="581" t="s">
        <v>1832</v>
      </c>
      <c r="F2243" s="558">
        <v>1500000</v>
      </c>
      <c r="G2243" s="1281">
        <v>0.05</v>
      </c>
      <c r="H2243" s="139">
        <f t="shared" si="73"/>
        <v>75000</v>
      </c>
      <c r="I2243" s="1447" t="s">
        <v>1625</v>
      </c>
    </row>
    <row r="2244" spans="1:9" ht="18.75">
      <c r="A2244" s="241">
        <v>15243</v>
      </c>
      <c r="B2244" s="233">
        <v>0.1</v>
      </c>
      <c r="C2244" s="891">
        <v>12</v>
      </c>
      <c r="D2244" s="243" t="s">
        <v>1327</v>
      </c>
      <c r="E2244" s="581" t="s">
        <v>137</v>
      </c>
      <c r="F2244" s="558">
        <v>1800000</v>
      </c>
      <c r="G2244" s="1281">
        <v>0.05</v>
      </c>
      <c r="H2244" s="139">
        <f t="shared" si="73"/>
        <v>90000</v>
      </c>
      <c r="I2244" s="1447" t="s">
        <v>1625</v>
      </c>
    </row>
    <row r="2245" spans="1:9" ht="18.75">
      <c r="A2245" s="241">
        <v>15259</v>
      </c>
      <c r="B2245" s="233">
        <v>0.1</v>
      </c>
      <c r="C2245" s="891">
        <v>12</v>
      </c>
      <c r="D2245" s="1396" t="s">
        <v>1342</v>
      </c>
      <c r="E2245" s="581" t="s">
        <v>137</v>
      </c>
      <c r="F2245" s="558">
        <v>1200000</v>
      </c>
      <c r="G2245" s="1281">
        <v>0.05</v>
      </c>
      <c r="H2245" s="139">
        <f t="shared" si="73"/>
        <v>60000</v>
      </c>
      <c r="I2245" s="1447" t="s">
        <v>1625</v>
      </c>
    </row>
    <row r="2246" spans="1:9" ht="18.75">
      <c r="A2246" s="241">
        <v>15264</v>
      </c>
      <c r="B2246" s="233">
        <v>0.1</v>
      </c>
      <c r="C2246" s="891">
        <v>12</v>
      </c>
      <c r="D2246" s="1376" t="s">
        <v>1360</v>
      </c>
      <c r="E2246" s="581" t="s">
        <v>1890</v>
      </c>
      <c r="F2246" s="558">
        <v>1200000</v>
      </c>
      <c r="G2246" s="138">
        <v>0.05</v>
      </c>
      <c r="H2246" s="139">
        <f t="shared" si="73"/>
        <v>60000</v>
      </c>
      <c r="I2246" s="1175" t="s">
        <v>1625</v>
      </c>
    </row>
    <row r="2247" spans="1:9" ht="18.75">
      <c r="A2247" s="241">
        <v>15247</v>
      </c>
      <c r="B2247" s="233">
        <v>0.1</v>
      </c>
      <c r="C2247" s="891">
        <v>12</v>
      </c>
      <c r="D2247" s="243" t="s">
        <v>566</v>
      </c>
      <c r="E2247" s="581" t="s">
        <v>137</v>
      </c>
      <c r="F2247" s="558">
        <v>1600000</v>
      </c>
      <c r="G2247" s="138">
        <v>0.05</v>
      </c>
      <c r="H2247" s="139">
        <f t="shared" si="73"/>
        <v>80000</v>
      </c>
      <c r="I2247" s="1175" t="s">
        <v>1625</v>
      </c>
    </row>
    <row r="2248" spans="1:9" ht="18.75">
      <c r="A2248" s="241">
        <v>15290</v>
      </c>
      <c r="B2248" s="331">
        <v>0.08</v>
      </c>
      <c r="C2248" s="891">
        <v>12</v>
      </c>
      <c r="D2248" s="1232" t="s">
        <v>1891</v>
      </c>
      <c r="E2248" s="581" t="s">
        <v>137</v>
      </c>
      <c r="F2248" s="558">
        <v>1600000</v>
      </c>
      <c r="G2248" s="140">
        <v>0.04</v>
      </c>
      <c r="H2248" s="139">
        <f t="shared" si="73"/>
        <v>64000</v>
      </c>
      <c r="I2248" s="1175" t="s">
        <v>1625</v>
      </c>
    </row>
    <row r="2249" spans="1:9" ht="18.75">
      <c r="A2249" s="241">
        <v>15311</v>
      </c>
      <c r="B2249" s="331">
        <v>0.09</v>
      </c>
      <c r="C2249" s="891">
        <v>12</v>
      </c>
      <c r="D2249" s="1376" t="s">
        <v>1322</v>
      </c>
      <c r="E2249" s="581" t="s">
        <v>137</v>
      </c>
      <c r="F2249" s="558">
        <v>1700000</v>
      </c>
      <c r="G2249" s="140">
        <v>0.04</v>
      </c>
      <c r="H2249" s="139">
        <f t="shared" si="73"/>
        <v>68000</v>
      </c>
      <c r="I2249" s="1175" t="s">
        <v>1625</v>
      </c>
    </row>
    <row r="2250" spans="1:9" ht="18.75">
      <c r="A2250" s="241">
        <v>15281</v>
      </c>
      <c r="B2250" s="233">
        <v>0.1</v>
      </c>
      <c r="C2250" s="891">
        <v>12</v>
      </c>
      <c r="D2250" s="1232" t="s">
        <v>1329</v>
      </c>
      <c r="E2250" s="581" t="s">
        <v>137</v>
      </c>
      <c r="F2250" s="558">
        <v>1700000</v>
      </c>
      <c r="G2250" s="138">
        <v>0.05</v>
      </c>
      <c r="H2250" s="139">
        <f t="shared" si="73"/>
        <v>85000</v>
      </c>
      <c r="I2250" s="1175" t="s">
        <v>1625</v>
      </c>
    </row>
    <row r="2251" spans="1:9" ht="18.75">
      <c r="A2251" s="241">
        <v>15314</v>
      </c>
      <c r="B2251" s="233">
        <v>0.1</v>
      </c>
      <c r="C2251" s="891">
        <v>12</v>
      </c>
      <c r="D2251" s="1376" t="s">
        <v>1363</v>
      </c>
      <c r="E2251" s="581" t="s">
        <v>137</v>
      </c>
      <c r="F2251" s="558">
        <v>1200000</v>
      </c>
      <c r="G2251" s="138">
        <v>0.05</v>
      </c>
      <c r="H2251" s="139">
        <f t="shared" si="73"/>
        <v>60000</v>
      </c>
      <c r="I2251" s="1175" t="s">
        <v>1625</v>
      </c>
    </row>
    <row r="2252" spans="1:9" ht="18.75">
      <c r="A2252" s="241">
        <v>15315</v>
      </c>
      <c r="B2252" s="233">
        <v>0.1</v>
      </c>
      <c r="C2252" s="891">
        <v>12</v>
      </c>
      <c r="D2252" s="1376" t="s">
        <v>1338</v>
      </c>
      <c r="E2252" s="581" t="s">
        <v>137</v>
      </c>
      <c r="F2252" s="558">
        <v>1300000</v>
      </c>
      <c r="G2252" s="138">
        <v>0.05</v>
      </c>
      <c r="H2252" s="139">
        <f t="shared" si="73"/>
        <v>65000</v>
      </c>
      <c r="I2252" s="1175" t="s">
        <v>1625</v>
      </c>
    </row>
    <row r="2253" spans="1:9" ht="18.75">
      <c r="A2253" s="241">
        <v>15338</v>
      </c>
      <c r="B2253" s="331">
        <v>0.08</v>
      </c>
      <c r="C2253" s="891">
        <v>12</v>
      </c>
      <c r="D2253" s="1376" t="s">
        <v>1374</v>
      </c>
      <c r="E2253" s="581" t="s">
        <v>137</v>
      </c>
      <c r="F2253" s="558">
        <v>2000000</v>
      </c>
      <c r="G2253" s="140">
        <v>0.04</v>
      </c>
      <c r="H2253" s="139">
        <f t="shared" si="73"/>
        <v>80000</v>
      </c>
      <c r="I2253" s="1175" t="s">
        <v>1645</v>
      </c>
    </row>
    <row r="2254" spans="1:9" ht="18.75">
      <c r="A2254" s="241">
        <v>15380</v>
      </c>
      <c r="B2254" s="233">
        <v>0.1</v>
      </c>
      <c r="C2254" s="891">
        <v>12</v>
      </c>
      <c r="D2254" s="1376" t="s">
        <v>1892</v>
      </c>
      <c r="E2254" s="581" t="s">
        <v>137</v>
      </c>
      <c r="F2254" s="558">
        <v>1600000</v>
      </c>
      <c r="G2254" s="138">
        <v>0.05</v>
      </c>
      <c r="H2254" s="139">
        <f t="shared" si="73"/>
        <v>80000</v>
      </c>
      <c r="I2254" s="1175" t="s">
        <v>1625</v>
      </c>
    </row>
    <row r="2255" spans="1:9" ht="18.75">
      <c r="A2255" s="241">
        <v>15179</v>
      </c>
      <c r="B2255" s="233">
        <v>0.1</v>
      </c>
      <c r="C2255" s="891">
        <v>12</v>
      </c>
      <c r="D2255" s="1376" t="s">
        <v>1893</v>
      </c>
      <c r="E2255" s="581"/>
      <c r="F2255" s="558">
        <v>3700000</v>
      </c>
      <c r="G2255" s="138">
        <v>0.05</v>
      </c>
      <c r="H2255" s="139">
        <f t="shared" si="73"/>
        <v>185000</v>
      </c>
      <c r="I2255" s="1175"/>
    </row>
    <row r="2256" spans="1:9" ht="18.75">
      <c r="A2256" s="209" t="s">
        <v>297</v>
      </c>
      <c r="B2256" s="267"/>
      <c r="C2256" s="1225"/>
      <c r="D2256" s="1382" t="s">
        <v>1894</v>
      </c>
      <c r="E2256" s="567" t="s">
        <v>1895</v>
      </c>
      <c r="F2256" s="889"/>
      <c r="G2256" s="220"/>
      <c r="H2256" s="883"/>
      <c r="I2256" s="1175"/>
    </row>
    <row r="2257" spans="1:9" ht="18.75">
      <c r="A2257" s="209" t="s">
        <v>297</v>
      </c>
      <c r="B2257" s="267"/>
      <c r="C2257" s="1225"/>
      <c r="D2257" s="1351" t="s">
        <v>1347</v>
      </c>
      <c r="E2257" s="567" t="s">
        <v>1348</v>
      </c>
      <c r="F2257" s="889"/>
      <c r="G2257" s="220"/>
      <c r="H2257" s="883"/>
      <c r="I2257" s="1175"/>
    </row>
    <row r="2258" spans="1:9" ht="18.75">
      <c r="A2258" s="209" t="s">
        <v>297</v>
      </c>
      <c r="B2258" s="267"/>
      <c r="C2258" s="1225"/>
      <c r="D2258" s="1382" t="s">
        <v>1375</v>
      </c>
      <c r="E2258" s="567" t="s">
        <v>1896</v>
      </c>
      <c r="F2258" s="889"/>
      <c r="G2258" s="220"/>
      <c r="H2258" s="883"/>
      <c r="I2258" s="1175"/>
    </row>
    <row r="2259" spans="1:9" ht="20.25">
      <c r="A2259" s="163"/>
      <c r="B2259" s="318"/>
      <c r="C2259" s="1131"/>
      <c r="D2259" s="266"/>
      <c r="E2259" s="947"/>
      <c r="F2259" s="948">
        <f>SUM(F2240:F2254)</f>
        <v>22150000</v>
      </c>
      <c r="G2259" s="1088"/>
      <c r="H2259" s="950">
        <f>SUM(H2240:H2258)</f>
        <v>1239500</v>
      </c>
      <c r="I2259" s="1172"/>
    </row>
    <row r="2260" spans="1:9" ht="20.25">
      <c r="A2260" s="1290"/>
      <c r="B2260" s="1291"/>
      <c r="C2260" s="1292"/>
      <c r="D2260" s="1293"/>
      <c r="E2260" s="1294"/>
      <c r="F2260" s="1297"/>
      <c r="G2260" s="1330"/>
      <c r="H2260" s="1331"/>
    </row>
    <row r="2261" spans="1:9" ht="20.25">
      <c r="A2261" s="1290"/>
      <c r="B2261" s="1291"/>
      <c r="C2261" s="1292"/>
      <c r="D2261" s="1293"/>
      <c r="E2261" s="1294"/>
      <c r="F2261" s="1297"/>
      <c r="G2261" s="1330"/>
      <c r="H2261" s="1331"/>
    </row>
    <row r="2262" spans="1:9">
      <c r="A2262" s="1648"/>
      <c r="B2262" s="1648"/>
      <c r="C2262" s="1648"/>
      <c r="D2262" s="1648"/>
      <c r="E2262" s="1648"/>
      <c r="F2262" s="1648"/>
      <c r="G2262" s="1648"/>
      <c r="H2262" s="1648"/>
      <c r="I2262" s="1648"/>
    </row>
    <row r="2263" spans="1:9" ht="26.25">
      <c r="A2263" s="1640" t="s">
        <v>1589</v>
      </c>
      <c r="B2263" s="1640"/>
      <c r="C2263" s="1641"/>
      <c r="D2263" s="1640"/>
      <c r="E2263" s="1640"/>
      <c r="F2263" s="1640"/>
      <c r="G2263" s="1640"/>
      <c r="H2263" s="1640"/>
    </row>
    <row r="2264" spans="1:9" ht="30.75">
      <c r="A2264" s="45"/>
      <c r="B2264" s="646" t="s">
        <v>1497</v>
      </c>
      <c r="C2264" s="132" t="s">
        <v>1465</v>
      </c>
      <c r="D2264" s="647" t="s">
        <v>5</v>
      </c>
      <c r="E2264" s="47" t="s">
        <v>1466</v>
      </c>
      <c r="F2264" s="48" t="s">
        <v>1467</v>
      </c>
      <c r="G2264" s="48" t="s">
        <v>7</v>
      </c>
      <c r="H2264" s="48" t="s">
        <v>1468</v>
      </c>
    </row>
    <row r="2265" spans="1:9" ht="18.75">
      <c r="A2265" s="241">
        <v>15403</v>
      </c>
      <c r="B2265" s="233">
        <v>0.1</v>
      </c>
      <c r="C2265" s="238">
        <v>12</v>
      </c>
      <c r="D2265" s="136" t="s">
        <v>1332</v>
      </c>
      <c r="E2265" s="581"/>
      <c r="F2265" s="558">
        <v>1600000</v>
      </c>
      <c r="G2265" s="1138">
        <v>2.5000000000000001E-2</v>
      </c>
      <c r="H2265" s="678">
        <f>F2265*G2265</f>
        <v>40000</v>
      </c>
    </row>
    <row r="2266" spans="1:9" ht="18.75">
      <c r="A2266" s="241">
        <v>15151</v>
      </c>
      <c r="B2266" s="233">
        <v>0.1</v>
      </c>
      <c r="C2266" s="770">
        <v>9</v>
      </c>
      <c r="D2266" s="243" t="s">
        <v>1868</v>
      </c>
      <c r="E2266" s="754"/>
      <c r="F2266" s="558">
        <v>1650000</v>
      </c>
      <c r="G2266" s="1138">
        <v>2.5000000000000001E-2</v>
      </c>
      <c r="H2266" s="678">
        <f t="shared" ref="H2266:H2307" si="74">F2266*G2266</f>
        <v>41250</v>
      </c>
    </row>
    <row r="2267" spans="1:9" ht="18.75">
      <c r="A2267" s="135">
        <v>15180</v>
      </c>
      <c r="B2267" s="331">
        <v>0.08</v>
      </c>
      <c r="C2267" s="1222">
        <v>12</v>
      </c>
      <c r="D2267" s="243" t="s">
        <v>1323</v>
      </c>
      <c r="E2267" s="754"/>
      <c r="F2267" s="558">
        <v>1800000</v>
      </c>
      <c r="G2267" s="1111">
        <v>1.4999999999999999E-2</v>
      </c>
      <c r="H2267" s="678">
        <f t="shared" si="74"/>
        <v>27000</v>
      </c>
    </row>
    <row r="2268" spans="1:9" ht="18.75">
      <c r="A2268" s="241">
        <v>15182</v>
      </c>
      <c r="B2268" s="233">
        <v>0.1</v>
      </c>
      <c r="C2268" s="1222">
        <v>12</v>
      </c>
      <c r="D2268" s="243" t="s">
        <v>1325</v>
      </c>
      <c r="E2268" s="754"/>
      <c r="F2268" s="558">
        <v>1800000</v>
      </c>
      <c r="G2268" s="1138">
        <v>2.5000000000000001E-2</v>
      </c>
      <c r="H2268" s="678">
        <f t="shared" si="74"/>
        <v>45000</v>
      </c>
    </row>
    <row r="2269" spans="1:9" ht="18.75">
      <c r="A2269" s="241">
        <v>15165</v>
      </c>
      <c r="B2269" s="233">
        <v>0.1</v>
      </c>
      <c r="C2269" s="770">
        <v>12</v>
      </c>
      <c r="D2269" s="243" t="s">
        <v>1358</v>
      </c>
      <c r="E2269" s="754"/>
      <c r="F2269" s="558">
        <v>1200000</v>
      </c>
      <c r="G2269" s="1138">
        <v>2.5000000000000001E-2</v>
      </c>
      <c r="H2269" s="678">
        <f t="shared" si="74"/>
        <v>30000</v>
      </c>
    </row>
    <row r="2270" spans="1:9" ht="18.75">
      <c r="A2270" s="241">
        <v>15193</v>
      </c>
      <c r="B2270" s="233">
        <v>0.1</v>
      </c>
      <c r="C2270" s="770">
        <v>12</v>
      </c>
      <c r="D2270" s="243" t="s">
        <v>483</v>
      </c>
      <c r="E2270" s="754"/>
      <c r="F2270" s="558">
        <v>1050000</v>
      </c>
      <c r="G2270" s="1138">
        <v>2.5000000000000001E-2</v>
      </c>
      <c r="H2270" s="678">
        <f t="shared" si="74"/>
        <v>26250</v>
      </c>
    </row>
    <row r="2271" spans="1:9" ht="18.75">
      <c r="A2271" s="241">
        <v>15196</v>
      </c>
      <c r="B2271" s="233">
        <v>0.1</v>
      </c>
      <c r="C2271" s="1222">
        <v>12</v>
      </c>
      <c r="D2271" s="243" t="s">
        <v>1359</v>
      </c>
      <c r="E2271" s="754"/>
      <c r="F2271" s="558">
        <v>1200000</v>
      </c>
      <c r="G2271" s="1138">
        <v>2.5000000000000001E-2</v>
      </c>
      <c r="H2271" s="678">
        <f t="shared" si="74"/>
        <v>30000</v>
      </c>
    </row>
    <row r="2272" spans="1:9" ht="18.75">
      <c r="A2272" s="241">
        <v>15212</v>
      </c>
      <c r="B2272" s="233">
        <v>0.1</v>
      </c>
      <c r="C2272" s="770">
        <v>12</v>
      </c>
      <c r="D2272" s="1232" t="s">
        <v>1326</v>
      </c>
      <c r="E2272" s="754"/>
      <c r="F2272" s="558">
        <v>1450000</v>
      </c>
      <c r="G2272" s="1138">
        <v>2.5000000000000001E-2</v>
      </c>
      <c r="H2272" s="678">
        <f t="shared" si="74"/>
        <v>36250</v>
      </c>
    </row>
    <row r="2273" spans="1:8" ht="18.75">
      <c r="A2273" s="241">
        <v>15218</v>
      </c>
      <c r="B2273" s="233">
        <v>0.1</v>
      </c>
      <c r="C2273" s="1222">
        <v>12</v>
      </c>
      <c r="D2273" s="243" t="s">
        <v>1370</v>
      </c>
      <c r="E2273" s="754"/>
      <c r="F2273" s="558">
        <v>1900000</v>
      </c>
      <c r="G2273" s="1138">
        <v>2.5000000000000001E-2</v>
      </c>
      <c r="H2273" s="678">
        <f t="shared" si="74"/>
        <v>47500</v>
      </c>
    </row>
    <row r="2274" spans="1:8" ht="18.75">
      <c r="A2274" s="241">
        <v>15227</v>
      </c>
      <c r="B2274" s="233">
        <v>0.1</v>
      </c>
      <c r="C2274" s="770">
        <v>12</v>
      </c>
      <c r="D2274" s="1232" t="s">
        <v>1340</v>
      </c>
      <c r="E2274" s="754"/>
      <c r="F2274" s="558">
        <v>1500000</v>
      </c>
      <c r="G2274" s="1138">
        <v>2.5000000000000001E-2</v>
      </c>
      <c r="H2274" s="678">
        <f t="shared" si="74"/>
        <v>37500</v>
      </c>
    </row>
    <row r="2275" spans="1:8" ht="18.75">
      <c r="A2275" s="241">
        <v>15263</v>
      </c>
      <c r="B2275" s="233">
        <v>0.1</v>
      </c>
      <c r="C2275" s="1222">
        <v>12</v>
      </c>
      <c r="D2275" s="243" t="s">
        <v>1870</v>
      </c>
      <c r="E2275" s="754"/>
      <c r="F2275" s="558">
        <v>2800000</v>
      </c>
      <c r="G2275" s="1138">
        <v>2.5000000000000001E-2</v>
      </c>
      <c r="H2275" s="678">
        <f t="shared" si="74"/>
        <v>70000</v>
      </c>
    </row>
    <row r="2276" spans="1:8" ht="18.75">
      <c r="A2276" s="241">
        <v>15267</v>
      </c>
      <c r="B2276" s="233">
        <v>0.1</v>
      </c>
      <c r="C2276" s="770">
        <v>12</v>
      </c>
      <c r="D2276" s="1312" t="s">
        <v>1330</v>
      </c>
      <c r="E2276" s="754"/>
      <c r="F2276" s="558">
        <v>1450000</v>
      </c>
      <c r="G2276" s="1138">
        <v>2.5000000000000001E-2</v>
      </c>
      <c r="H2276" s="678">
        <f t="shared" si="74"/>
        <v>36250</v>
      </c>
    </row>
    <row r="2277" spans="1:8" ht="18.75">
      <c r="A2277" s="241">
        <v>15357</v>
      </c>
      <c r="B2277" s="233">
        <v>0.1</v>
      </c>
      <c r="C2277" s="770">
        <v>12</v>
      </c>
      <c r="D2277" s="259" t="s">
        <v>1350</v>
      </c>
      <c r="E2277" s="754"/>
      <c r="F2277" s="558">
        <v>1200000</v>
      </c>
      <c r="G2277" s="1138">
        <v>2.5000000000000001E-2</v>
      </c>
      <c r="H2277" s="678">
        <f t="shared" si="74"/>
        <v>30000</v>
      </c>
    </row>
    <row r="2278" spans="1:8" ht="18.75">
      <c r="A2278" s="241">
        <v>15332</v>
      </c>
      <c r="B2278" s="233">
        <v>0.1</v>
      </c>
      <c r="C2278" s="770">
        <v>12</v>
      </c>
      <c r="D2278" s="259" t="s">
        <v>1344</v>
      </c>
      <c r="E2278" s="754"/>
      <c r="F2278" s="558">
        <v>1600000</v>
      </c>
      <c r="G2278" s="1138">
        <v>2.5000000000000001E-2</v>
      </c>
      <c r="H2278" s="678">
        <f t="shared" si="74"/>
        <v>40000</v>
      </c>
    </row>
    <row r="2279" spans="1:8" ht="18.75">
      <c r="A2279" s="241">
        <v>15381</v>
      </c>
      <c r="B2279" s="233">
        <v>0.1</v>
      </c>
      <c r="C2279" s="770">
        <v>12</v>
      </c>
      <c r="D2279" s="259" t="s">
        <v>1897</v>
      </c>
      <c r="E2279" s="754"/>
      <c r="F2279" s="558">
        <v>4200000</v>
      </c>
      <c r="G2279" s="1138">
        <v>2.5000000000000001E-2</v>
      </c>
      <c r="H2279" s="678">
        <f t="shared" si="74"/>
        <v>105000</v>
      </c>
    </row>
    <row r="2280" spans="1:8" ht="18.75">
      <c r="A2280" s="241">
        <v>15404</v>
      </c>
      <c r="B2280" s="331">
        <v>0.08</v>
      </c>
      <c r="C2280" s="770">
        <v>12</v>
      </c>
      <c r="D2280" s="1232" t="s">
        <v>1346</v>
      </c>
      <c r="E2280" s="754"/>
      <c r="F2280" s="558">
        <v>2150000</v>
      </c>
      <c r="G2280" s="1111">
        <v>1.4999999999999999E-2</v>
      </c>
      <c r="H2280" s="678">
        <f t="shared" si="74"/>
        <v>32250</v>
      </c>
    </row>
    <row r="2281" spans="1:8" ht="18.75">
      <c r="A2281" s="241">
        <v>15219</v>
      </c>
      <c r="B2281" s="233">
        <v>0.1</v>
      </c>
      <c r="C2281" s="891">
        <v>12</v>
      </c>
      <c r="D2281" s="1232" t="s">
        <v>517</v>
      </c>
      <c r="E2281" s="581"/>
      <c r="F2281" s="558">
        <v>1700000</v>
      </c>
      <c r="G2281" s="1138">
        <v>2.5000000000000001E-2</v>
      </c>
      <c r="H2281" s="678">
        <f t="shared" si="74"/>
        <v>42500</v>
      </c>
    </row>
    <row r="2282" spans="1:8" ht="18.75">
      <c r="A2282" s="241">
        <v>15235</v>
      </c>
      <c r="B2282" s="233">
        <v>0.1</v>
      </c>
      <c r="C2282" s="891">
        <v>12</v>
      </c>
      <c r="D2282" s="259" t="s">
        <v>1328</v>
      </c>
      <c r="E2282" s="581"/>
      <c r="F2282" s="558">
        <v>1700000</v>
      </c>
      <c r="G2282" s="1138">
        <v>2.5000000000000001E-2</v>
      </c>
      <c r="H2282" s="678">
        <f t="shared" si="74"/>
        <v>42500</v>
      </c>
    </row>
    <row r="2283" spans="1:8" ht="18.75">
      <c r="A2283" s="241">
        <v>15246</v>
      </c>
      <c r="B2283" s="233">
        <v>0.1</v>
      </c>
      <c r="C2283" s="891">
        <v>12</v>
      </c>
      <c r="D2283" s="1376" t="s">
        <v>1341</v>
      </c>
      <c r="E2283" s="581"/>
      <c r="F2283" s="558">
        <v>1250000</v>
      </c>
      <c r="G2283" s="1138">
        <v>2.5000000000000001E-2</v>
      </c>
      <c r="H2283" s="678">
        <f t="shared" si="74"/>
        <v>31250</v>
      </c>
    </row>
    <row r="2284" spans="1:8" ht="18.75">
      <c r="A2284" s="241">
        <v>15274</v>
      </c>
      <c r="B2284" s="233">
        <v>0.1</v>
      </c>
      <c r="C2284" s="891">
        <v>12</v>
      </c>
      <c r="D2284" s="1376" t="s">
        <v>1878</v>
      </c>
      <c r="E2284" s="581"/>
      <c r="F2284" s="558">
        <v>1700000</v>
      </c>
      <c r="G2284" s="1138">
        <v>2.5000000000000001E-2</v>
      </c>
      <c r="H2284" s="678">
        <f t="shared" si="74"/>
        <v>42500</v>
      </c>
    </row>
    <row r="2285" spans="1:8" ht="18.75">
      <c r="A2285" s="241">
        <v>15292</v>
      </c>
      <c r="B2285" s="233">
        <v>0.1</v>
      </c>
      <c r="C2285" s="891">
        <v>12</v>
      </c>
      <c r="D2285" s="1376" t="s">
        <v>1879</v>
      </c>
      <c r="E2285" s="581"/>
      <c r="F2285" s="558">
        <v>1150000</v>
      </c>
      <c r="G2285" s="1138">
        <v>2.5000000000000001E-2</v>
      </c>
      <c r="H2285" s="678">
        <f t="shared" si="74"/>
        <v>28750</v>
      </c>
    </row>
    <row r="2286" spans="1:8" ht="18.75">
      <c r="A2286" s="241">
        <v>15296</v>
      </c>
      <c r="B2286" s="233">
        <v>0.1</v>
      </c>
      <c r="C2286" s="891">
        <v>12</v>
      </c>
      <c r="D2286" s="1376" t="s">
        <v>1361</v>
      </c>
      <c r="E2286" s="581"/>
      <c r="F2286" s="558">
        <v>1900000</v>
      </c>
      <c r="G2286" s="1138">
        <v>2.5000000000000001E-2</v>
      </c>
      <c r="H2286" s="678">
        <f t="shared" si="74"/>
        <v>47500</v>
      </c>
    </row>
    <row r="2287" spans="1:8" ht="18.75">
      <c r="A2287" s="241">
        <v>15299</v>
      </c>
      <c r="B2287" s="233">
        <v>0.1</v>
      </c>
      <c r="C2287" s="891">
        <v>12</v>
      </c>
      <c r="D2287" s="1376" t="s">
        <v>561</v>
      </c>
      <c r="E2287" s="581"/>
      <c r="F2287" s="558">
        <v>850000</v>
      </c>
      <c r="G2287" s="1138">
        <v>2.5000000000000001E-2</v>
      </c>
      <c r="H2287" s="678">
        <f t="shared" si="74"/>
        <v>21250</v>
      </c>
    </row>
    <row r="2288" spans="1:8" ht="18.75">
      <c r="A2288" s="241">
        <v>15333</v>
      </c>
      <c r="B2288" s="233">
        <v>0.1</v>
      </c>
      <c r="C2288" s="891">
        <v>12</v>
      </c>
      <c r="D2288" s="1376" t="s">
        <v>1373</v>
      </c>
      <c r="E2288" s="581"/>
      <c r="F2288" s="558">
        <v>950000</v>
      </c>
      <c r="G2288" s="1138">
        <v>2.5000000000000001E-2</v>
      </c>
      <c r="H2288" s="678">
        <f t="shared" si="74"/>
        <v>23750</v>
      </c>
    </row>
    <row r="2289" spans="1:8" ht="18.75">
      <c r="A2289" s="241">
        <v>15348</v>
      </c>
      <c r="B2289" s="233">
        <v>0.1</v>
      </c>
      <c r="C2289" s="891">
        <v>12</v>
      </c>
      <c r="D2289" s="243" t="s">
        <v>1880</v>
      </c>
      <c r="E2289" s="581"/>
      <c r="F2289" s="558">
        <v>1500000</v>
      </c>
      <c r="G2289" s="1138">
        <v>2.5000000000000001E-2</v>
      </c>
      <c r="H2289" s="678">
        <f t="shared" si="74"/>
        <v>37500</v>
      </c>
    </row>
    <row r="2290" spans="1:8" ht="18.75">
      <c r="A2290" s="241">
        <v>15369</v>
      </c>
      <c r="B2290" s="233">
        <v>0.1</v>
      </c>
      <c r="C2290" s="891">
        <v>12</v>
      </c>
      <c r="D2290" s="243" t="s">
        <v>154</v>
      </c>
      <c r="E2290" s="581"/>
      <c r="F2290" s="558">
        <v>1050000</v>
      </c>
      <c r="G2290" s="1138">
        <v>2.5000000000000001E-2</v>
      </c>
      <c r="H2290" s="678">
        <f t="shared" si="74"/>
        <v>26250</v>
      </c>
    </row>
    <row r="2291" spans="1:8" ht="18.75">
      <c r="A2291" s="241">
        <v>15377</v>
      </c>
      <c r="B2291" s="233">
        <v>0.1</v>
      </c>
      <c r="C2291" s="891">
        <v>12</v>
      </c>
      <c r="D2291" s="243" t="s">
        <v>1345</v>
      </c>
      <c r="E2291" s="581"/>
      <c r="F2291" s="558">
        <v>1200000</v>
      </c>
      <c r="G2291" s="1138">
        <v>2.5000000000000001E-2</v>
      </c>
      <c r="H2291" s="678">
        <f t="shared" si="74"/>
        <v>30000</v>
      </c>
    </row>
    <row r="2292" spans="1:8" ht="18.75">
      <c r="A2292" s="241">
        <v>15402</v>
      </c>
      <c r="B2292" s="233">
        <v>0.1</v>
      </c>
      <c r="C2292" s="891">
        <v>12</v>
      </c>
      <c r="D2292" s="1232" t="s">
        <v>1334</v>
      </c>
      <c r="E2292" s="581"/>
      <c r="F2292" s="558">
        <v>1700000</v>
      </c>
      <c r="G2292" s="1138">
        <v>2.5000000000000001E-2</v>
      </c>
      <c r="H2292" s="678">
        <f t="shared" si="74"/>
        <v>42500</v>
      </c>
    </row>
    <row r="2293" spans="1:8" ht="18.75">
      <c r="A2293" s="241">
        <v>15149</v>
      </c>
      <c r="B2293" s="233">
        <v>0.1</v>
      </c>
      <c r="C2293" s="891">
        <v>12</v>
      </c>
      <c r="D2293" s="1376" t="s">
        <v>1889</v>
      </c>
      <c r="E2293" s="581"/>
      <c r="F2293" s="558">
        <v>1200000</v>
      </c>
      <c r="G2293" s="1460">
        <v>2.5000000000000001E-2</v>
      </c>
      <c r="H2293" s="678">
        <f t="shared" si="74"/>
        <v>30000</v>
      </c>
    </row>
    <row r="2294" spans="1:8" ht="18.75">
      <c r="A2294" s="241">
        <v>15138</v>
      </c>
      <c r="B2294" s="233">
        <v>0.1</v>
      </c>
      <c r="C2294" s="891">
        <v>12</v>
      </c>
      <c r="D2294" s="1376" t="s">
        <v>1337</v>
      </c>
      <c r="E2294" s="581"/>
      <c r="F2294" s="558">
        <v>1150000</v>
      </c>
      <c r="G2294" s="1460">
        <v>2.5000000000000001E-2</v>
      </c>
      <c r="H2294" s="678">
        <f t="shared" si="74"/>
        <v>28750</v>
      </c>
    </row>
    <row r="2295" spans="1:8" ht="18.75">
      <c r="A2295" s="241">
        <v>15215</v>
      </c>
      <c r="B2295" s="233">
        <v>0.1</v>
      </c>
      <c r="C2295" s="891">
        <v>12</v>
      </c>
      <c r="D2295" s="1397" t="s">
        <v>1371</v>
      </c>
      <c r="E2295" s="581"/>
      <c r="F2295" s="558">
        <v>1400000</v>
      </c>
      <c r="G2295" s="1460">
        <v>2.5000000000000001E-2</v>
      </c>
      <c r="H2295" s="678">
        <f t="shared" si="74"/>
        <v>35000</v>
      </c>
    </row>
    <row r="2296" spans="1:8" ht="18.75">
      <c r="A2296" s="241">
        <v>15197</v>
      </c>
      <c r="B2296" s="233">
        <v>0.1</v>
      </c>
      <c r="C2296" s="891">
        <v>12</v>
      </c>
      <c r="D2296" s="1396" t="s">
        <v>1339</v>
      </c>
      <c r="E2296" s="581"/>
      <c r="F2296" s="558">
        <v>1500000</v>
      </c>
      <c r="G2296" s="1461">
        <v>2.5000000000000001E-2</v>
      </c>
      <c r="H2296" s="678">
        <f t="shared" si="74"/>
        <v>37500</v>
      </c>
    </row>
    <row r="2297" spans="1:8" ht="18.75">
      <c r="A2297" s="241">
        <v>15243</v>
      </c>
      <c r="B2297" s="233">
        <v>0.1</v>
      </c>
      <c r="C2297" s="891">
        <v>12</v>
      </c>
      <c r="D2297" s="243" t="s">
        <v>1327</v>
      </c>
      <c r="E2297" s="581"/>
      <c r="F2297" s="558">
        <v>1800000</v>
      </c>
      <c r="G2297" s="1461">
        <v>2.5000000000000001E-2</v>
      </c>
      <c r="H2297" s="678">
        <f t="shared" si="74"/>
        <v>45000</v>
      </c>
    </row>
    <row r="2298" spans="1:8" ht="18.75">
      <c r="A2298" s="241">
        <v>15259</v>
      </c>
      <c r="B2298" s="233">
        <v>0.1</v>
      </c>
      <c r="C2298" s="891">
        <v>12</v>
      </c>
      <c r="D2298" s="1396" t="s">
        <v>1342</v>
      </c>
      <c r="E2298" s="581"/>
      <c r="F2298" s="558">
        <v>1200000</v>
      </c>
      <c r="G2298" s="1461">
        <v>2.5000000000000001E-2</v>
      </c>
      <c r="H2298" s="678">
        <f t="shared" si="74"/>
        <v>30000</v>
      </c>
    </row>
    <row r="2299" spans="1:8" ht="18.75">
      <c r="A2299" s="241">
        <v>15264</v>
      </c>
      <c r="B2299" s="233">
        <v>0.1</v>
      </c>
      <c r="C2299" s="891">
        <v>12</v>
      </c>
      <c r="D2299" s="1376" t="s">
        <v>1360</v>
      </c>
      <c r="E2299" s="581"/>
      <c r="F2299" s="558">
        <v>1200000</v>
      </c>
      <c r="G2299" s="166">
        <v>2.5000000000000001E-2</v>
      </c>
      <c r="H2299" s="678">
        <f t="shared" si="74"/>
        <v>30000</v>
      </c>
    </row>
    <row r="2300" spans="1:8" ht="18.75">
      <c r="A2300" s="241">
        <v>15247</v>
      </c>
      <c r="B2300" s="233">
        <v>0.1</v>
      </c>
      <c r="C2300" s="891">
        <v>12</v>
      </c>
      <c r="D2300" s="243" t="s">
        <v>566</v>
      </c>
      <c r="E2300" s="581"/>
      <c r="F2300" s="558">
        <v>1600000</v>
      </c>
      <c r="G2300" s="166">
        <v>2.5000000000000001E-2</v>
      </c>
      <c r="H2300" s="678">
        <f t="shared" si="74"/>
        <v>40000</v>
      </c>
    </row>
    <row r="2301" spans="1:8" ht="18.75">
      <c r="A2301" s="241">
        <v>15290</v>
      </c>
      <c r="B2301" s="331">
        <v>0.08</v>
      </c>
      <c r="C2301" s="891">
        <v>12</v>
      </c>
      <c r="D2301" s="1232" t="s">
        <v>1891</v>
      </c>
      <c r="E2301" s="581"/>
      <c r="F2301" s="558">
        <v>1600000</v>
      </c>
      <c r="G2301" s="1111">
        <v>1.4999999999999999E-2</v>
      </c>
      <c r="H2301" s="678">
        <f t="shared" si="74"/>
        <v>24000</v>
      </c>
    </row>
    <row r="2302" spans="1:8" ht="18.75">
      <c r="A2302" s="241">
        <v>15311</v>
      </c>
      <c r="B2302" s="331">
        <v>0.09</v>
      </c>
      <c r="C2302" s="891">
        <v>12</v>
      </c>
      <c r="D2302" s="1376" t="s">
        <v>1322</v>
      </c>
      <c r="E2302" s="581"/>
      <c r="F2302" s="558">
        <v>1700000</v>
      </c>
      <c r="G2302" s="1111">
        <v>1.4999999999999999E-2</v>
      </c>
      <c r="H2302" s="678">
        <f t="shared" si="74"/>
        <v>25500</v>
      </c>
    </row>
    <row r="2303" spans="1:8" ht="18.75">
      <c r="A2303" s="241">
        <v>15281</v>
      </c>
      <c r="B2303" s="233">
        <v>0.1</v>
      </c>
      <c r="C2303" s="891">
        <v>12</v>
      </c>
      <c r="D2303" s="1232" t="s">
        <v>1898</v>
      </c>
      <c r="E2303" s="581"/>
      <c r="F2303" s="558">
        <v>1700000</v>
      </c>
      <c r="G2303" s="166">
        <v>2.5000000000000001E-2</v>
      </c>
      <c r="H2303" s="678">
        <f t="shared" si="74"/>
        <v>42500</v>
      </c>
    </row>
    <row r="2304" spans="1:8" ht="18.75">
      <c r="A2304" s="241">
        <v>15314</v>
      </c>
      <c r="B2304" s="233">
        <v>0.1</v>
      </c>
      <c r="C2304" s="891">
        <v>12</v>
      </c>
      <c r="D2304" s="1376" t="s">
        <v>1363</v>
      </c>
      <c r="E2304" s="581"/>
      <c r="F2304" s="558">
        <v>1200000</v>
      </c>
      <c r="G2304" s="166">
        <v>2.5000000000000001E-2</v>
      </c>
      <c r="H2304" s="678">
        <f t="shared" si="74"/>
        <v>30000</v>
      </c>
    </row>
    <row r="2305" spans="1:9" ht="18.75">
      <c r="A2305" s="241">
        <v>15315</v>
      </c>
      <c r="B2305" s="233">
        <v>0.1</v>
      </c>
      <c r="C2305" s="891">
        <v>12</v>
      </c>
      <c r="D2305" s="1376" t="s">
        <v>1338</v>
      </c>
      <c r="E2305" s="581"/>
      <c r="F2305" s="558">
        <v>1300000</v>
      </c>
      <c r="G2305" s="166">
        <v>2.5000000000000001E-2</v>
      </c>
      <c r="H2305" s="678">
        <f t="shared" si="74"/>
        <v>32500</v>
      </c>
    </row>
    <row r="2306" spans="1:9" ht="18.75">
      <c r="A2306" s="241">
        <v>15338</v>
      </c>
      <c r="B2306" s="331">
        <v>0.08</v>
      </c>
      <c r="C2306" s="891">
        <v>12</v>
      </c>
      <c r="D2306" s="1376" t="s">
        <v>1374</v>
      </c>
      <c r="E2306" s="581"/>
      <c r="F2306" s="558">
        <v>2000000</v>
      </c>
      <c r="G2306" s="1111">
        <v>1.4999999999999999E-2</v>
      </c>
      <c r="H2306" s="678">
        <f t="shared" si="74"/>
        <v>30000</v>
      </c>
    </row>
    <row r="2307" spans="1:9" ht="18.75">
      <c r="A2307" s="241">
        <v>15380</v>
      </c>
      <c r="B2307" s="233">
        <v>0.1</v>
      </c>
      <c r="C2307" s="891">
        <v>12</v>
      </c>
      <c r="D2307" s="1376" t="s">
        <v>1899</v>
      </c>
      <c r="E2307" s="581"/>
      <c r="F2307" s="558">
        <v>1600000</v>
      </c>
      <c r="G2307" s="166">
        <v>2.5000000000000001E-2</v>
      </c>
      <c r="H2307" s="678">
        <f t="shared" si="74"/>
        <v>40000</v>
      </c>
    </row>
    <row r="2308" spans="1:9" ht="18.75">
      <c r="A2308" s="163"/>
      <c r="B2308" s="1214"/>
      <c r="C2308" s="1188"/>
      <c r="D2308" s="262"/>
      <c r="E2308" s="833" t="s">
        <v>80</v>
      </c>
      <c r="F2308" s="972">
        <f>SUM(F2265:F2307)</f>
        <v>67350000</v>
      </c>
      <c r="G2308" s="910"/>
      <c r="H2308" s="1109">
        <f>SUM(H2266:H2307)</f>
        <v>1551250</v>
      </c>
    </row>
    <row r="2311" spans="1:9" ht="26.25">
      <c r="A2311" s="1643" t="s">
        <v>1900</v>
      </c>
      <c r="B2311" s="1643"/>
      <c r="C2311" s="1643"/>
      <c r="D2311" s="1643"/>
      <c r="E2311" s="1643"/>
      <c r="F2311" s="1643"/>
      <c r="G2311" s="1643"/>
      <c r="H2311" s="1644"/>
    </row>
    <row r="2312" spans="1:9" ht="18.75"/>
    <row r="2313" spans="1:9" ht="26.25">
      <c r="A2313" s="1641" t="s">
        <v>1604</v>
      </c>
      <c r="B2313" s="1640"/>
      <c r="C2313" s="1641"/>
      <c r="D2313" s="1641"/>
      <c r="E2313" s="1640"/>
      <c r="F2313" s="1640"/>
      <c r="G2313" s="1640"/>
      <c r="H2313" s="1642"/>
      <c r="I2313" s="1172"/>
    </row>
    <row r="2314" spans="1:9" ht="30.75">
      <c r="A2314" s="87" t="s">
        <v>1463</v>
      </c>
      <c r="B2314" s="1299" t="s">
        <v>1497</v>
      </c>
      <c r="C2314" s="731" t="s">
        <v>1465</v>
      </c>
      <c r="D2314" s="87" t="s">
        <v>5</v>
      </c>
      <c r="E2314" s="732" t="s">
        <v>1466</v>
      </c>
      <c r="F2314" s="48" t="s">
        <v>1467</v>
      </c>
      <c r="G2314" s="48" t="s">
        <v>7</v>
      </c>
      <c r="H2314" s="62" t="s">
        <v>1468</v>
      </c>
      <c r="I2314" s="1174" t="s">
        <v>1624</v>
      </c>
    </row>
    <row r="2315" spans="1:9" ht="18.75">
      <c r="A2315" s="241">
        <v>15407</v>
      </c>
      <c r="B2315" s="233">
        <v>0.1</v>
      </c>
      <c r="C2315" s="770">
        <v>12</v>
      </c>
      <c r="D2315" s="259" t="s">
        <v>1386</v>
      </c>
      <c r="E2315" s="754" t="s">
        <v>137</v>
      </c>
      <c r="F2315" s="558">
        <v>1650000</v>
      </c>
      <c r="G2315" s="478">
        <v>0.04</v>
      </c>
      <c r="H2315" s="1254">
        <f>F2315*G2315</f>
        <v>66000</v>
      </c>
      <c r="I2315" s="1175" t="s">
        <v>1625</v>
      </c>
    </row>
    <row r="2316" spans="1:9" ht="18.75">
      <c r="A2316" s="241">
        <v>15438</v>
      </c>
      <c r="B2316" s="233">
        <v>0.1</v>
      </c>
      <c r="C2316" s="1222">
        <v>12</v>
      </c>
      <c r="D2316" s="243" t="s">
        <v>1388</v>
      </c>
      <c r="E2316" s="754" t="s">
        <v>137</v>
      </c>
      <c r="F2316" s="558">
        <v>1700000</v>
      </c>
      <c r="G2316" s="478">
        <v>0.04</v>
      </c>
      <c r="H2316" s="1254">
        <f t="shared" ref="H2316:H2327" si="75">F2316*G2316</f>
        <v>68000</v>
      </c>
      <c r="I2316" s="1175" t="s">
        <v>1625</v>
      </c>
    </row>
    <row r="2317" spans="1:9" ht="18.75">
      <c r="A2317" s="241">
        <v>15471</v>
      </c>
      <c r="B2317" s="233">
        <v>0.1</v>
      </c>
      <c r="C2317" s="770">
        <v>10</v>
      </c>
      <c r="D2317" s="243" t="s">
        <v>1391</v>
      </c>
      <c r="E2317" s="754" t="s">
        <v>1901</v>
      </c>
      <c r="F2317" s="558">
        <v>1500000</v>
      </c>
      <c r="G2317" s="478">
        <v>0.04</v>
      </c>
      <c r="H2317" s="1254">
        <f t="shared" si="75"/>
        <v>60000</v>
      </c>
      <c r="I2317" s="1175" t="s">
        <v>1645</v>
      </c>
    </row>
    <row r="2318" spans="1:9" ht="18.75">
      <c r="A2318" s="241">
        <v>15489</v>
      </c>
      <c r="B2318" s="233">
        <v>0.1</v>
      </c>
      <c r="C2318" s="1222">
        <v>12</v>
      </c>
      <c r="D2318" s="243" t="s">
        <v>1902</v>
      </c>
      <c r="E2318" s="754" t="s">
        <v>1903</v>
      </c>
      <c r="F2318" s="558">
        <v>1350000</v>
      </c>
      <c r="G2318" s="478">
        <v>0.04</v>
      </c>
      <c r="H2318" s="1254">
        <f t="shared" si="75"/>
        <v>54000</v>
      </c>
      <c r="I2318" s="1175" t="s">
        <v>1645</v>
      </c>
    </row>
    <row r="2319" spans="1:9" ht="18.75">
      <c r="A2319" s="241">
        <v>15507</v>
      </c>
      <c r="B2319" s="233">
        <v>0.1</v>
      </c>
      <c r="C2319" s="770">
        <v>12</v>
      </c>
      <c r="D2319" s="259" t="s">
        <v>1904</v>
      </c>
      <c r="E2319" s="754" t="s">
        <v>137</v>
      </c>
      <c r="F2319" s="558">
        <v>1200000</v>
      </c>
      <c r="G2319" s="478">
        <v>0.04</v>
      </c>
      <c r="H2319" s="1254">
        <f t="shared" si="75"/>
        <v>48000</v>
      </c>
      <c r="I2319" s="1175" t="s">
        <v>1645</v>
      </c>
    </row>
    <row r="2320" spans="1:9" ht="18.75">
      <c r="A2320" s="241">
        <v>15511</v>
      </c>
      <c r="B2320" s="233">
        <v>0.1</v>
      </c>
      <c r="C2320" s="1222">
        <v>12</v>
      </c>
      <c r="D2320" s="243" t="s">
        <v>1427</v>
      </c>
      <c r="E2320" s="754" t="s">
        <v>137</v>
      </c>
      <c r="F2320" s="558">
        <v>1400000</v>
      </c>
      <c r="G2320" s="478">
        <v>0.04</v>
      </c>
      <c r="H2320" s="1254">
        <f t="shared" si="75"/>
        <v>56000</v>
      </c>
      <c r="I2320" s="1175" t="s">
        <v>1625</v>
      </c>
    </row>
    <row r="2321" spans="1:9" ht="18.75">
      <c r="A2321" s="241">
        <v>15574</v>
      </c>
      <c r="B2321" s="233">
        <v>0.1</v>
      </c>
      <c r="C2321" s="770">
        <v>12</v>
      </c>
      <c r="D2321" s="1396" t="s">
        <v>1402</v>
      </c>
      <c r="E2321" s="754" t="s">
        <v>137</v>
      </c>
      <c r="F2321" s="558">
        <v>1200000</v>
      </c>
      <c r="G2321" s="478">
        <v>0.04</v>
      </c>
      <c r="H2321" s="1254">
        <f t="shared" si="75"/>
        <v>48000</v>
      </c>
      <c r="I2321" s="1175" t="s">
        <v>1645</v>
      </c>
    </row>
    <row r="2322" spans="1:9" ht="18.75">
      <c r="A2322" s="241">
        <v>15606</v>
      </c>
      <c r="B2322" s="233">
        <v>0.1</v>
      </c>
      <c r="C2322" s="1080">
        <v>6</v>
      </c>
      <c r="D2322" s="1312" t="s">
        <v>1431</v>
      </c>
      <c r="E2322" s="754" t="s">
        <v>137</v>
      </c>
      <c r="F2322" s="558">
        <v>1650000</v>
      </c>
      <c r="G2322" s="478">
        <v>0.04</v>
      </c>
      <c r="H2322" s="1254">
        <f t="shared" si="75"/>
        <v>66000</v>
      </c>
      <c r="I2322" s="1175" t="s">
        <v>1625</v>
      </c>
    </row>
    <row r="2323" spans="1:9" ht="18.75">
      <c r="A2323" s="241">
        <v>15622</v>
      </c>
      <c r="B2323" s="557">
        <v>0.1</v>
      </c>
      <c r="C2323" s="135">
        <v>12</v>
      </c>
      <c r="D2323" s="259" t="s">
        <v>1905</v>
      </c>
      <c r="E2323" s="754" t="s">
        <v>137</v>
      </c>
      <c r="F2323" s="558">
        <v>1850000</v>
      </c>
      <c r="G2323" s="478">
        <v>0.04</v>
      </c>
      <c r="H2323" s="1254">
        <f t="shared" si="75"/>
        <v>74000</v>
      </c>
      <c r="I2323" s="1175" t="s">
        <v>1645</v>
      </c>
    </row>
    <row r="2324" spans="1:9" ht="18.75">
      <c r="A2324" s="135">
        <v>15643</v>
      </c>
      <c r="B2324" s="1479">
        <v>0.08</v>
      </c>
      <c r="C2324" s="179">
        <v>12</v>
      </c>
      <c r="D2324" s="259" t="s">
        <v>1906</v>
      </c>
      <c r="E2324" s="754" t="s">
        <v>137</v>
      </c>
      <c r="F2324" s="558">
        <v>1600000</v>
      </c>
      <c r="G2324" s="140">
        <v>0.03</v>
      </c>
      <c r="H2324" s="1254">
        <f t="shared" si="75"/>
        <v>48000</v>
      </c>
      <c r="I2324" s="1175" t="s">
        <v>1645</v>
      </c>
    </row>
    <row r="2325" spans="1:9" ht="18.75">
      <c r="A2325" s="135">
        <v>15645</v>
      </c>
      <c r="B2325" s="233">
        <v>0.1</v>
      </c>
      <c r="C2325" s="135">
        <v>12</v>
      </c>
      <c r="D2325" s="888" t="s">
        <v>494</v>
      </c>
      <c r="E2325" s="754" t="s">
        <v>137</v>
      </c>
      <c r="F2325" s="558">
        <v>1000000</v>
      </c>
      <c r="G2325" s="478">
        <v>0.04</v>
      </c>
      <c r="H2325" s="1254">
        <f t="shared" si="75"/>
        <v>40000</v>
      </c>
      <c r="I2325" s="1175" t="s">
        <v>1645</v>
      </c>
    </row>
    <row r="2326" spans="1:9" ht="18.75">
      <c r="A2326" s="209" t="s">
        <v>297</v>
      </c>
      <c r="B2326" s="1478"/>
      <c r="C2326" s="936"/>
      <c r="D2326" s="1454" t="s">
        <v>1907</v>
      </c>
      <c r="E2326" s="760" t="s">
        <v>1908</v>
      </c>
      <c r="F2326" s="889"/>
      <c r="G2326" s="348"/>
      <c r="H2326" s="348"/>
      <c r="I2326" s="1175"/>
    </row>
    <row r="2327" spans="1:9" ht="18.75">
      <c r="A2327" s="209" t="s">
        <v>625</v>
      </c>
      <c r="B2327" s="645">
        <v>0.08</v>
      </c>
      <c r="C2327" s="1223">
        <v>12</v>
      </c>
      <c r="D2327" s="819" t="s">
        <v>1909</v>
      </c>
      <c r="E2327" s="760"/>
      <c r="F2327" s="889"/>
      <c r="G2327" s="348"/>
      <c r="H2327" s="348"/>
      <c r="I2327" s="1175"/>
    </row>
    <row r="2328" spans="1:9" ht="20.25">
      <c r="A2328" s="163"/>
      <c r="B2328" s="318"/>
      <c r="C2328" s="792"/>
      <c r="D2328" s="262"/>
      <c r="E2328" s="947"/>
      <c r="F2328" s="948">
        <f>SUM(F2315:F2327)</f>
        <v>16100000</v>
      </c>
      <c r="G2328" s="949"/>
      <c r="H2328" s="1394">
        <f>SUM(H2315:H2327)</f>
        <v>628000</v>
      </c>
      <c r="I2328" s="1172"/>
    </row>
    <row r="2329" spans="1:9" ht="26.25">
      <c r="A2329" s="1645"/>
      <c r="B2329" s="1645"/>
      <c r="C2329" s="1645"/>
      <c r="D2329" s="1645"/>
      <c r="E2329" s="1645"/>
      <c r="F2329" s="1645"/>
      <c r="G2329" s="1645"/>
      <c r="H2329" s="1645"/>
    </row>
    <row r="2330" spans="1:9" ht="18.75" customHeight="1">
      <c r="A2330" s="797"/>
      <c r="B2330" s="797"/>
      <c r="C2330" s="797"/>
      <c r="D2330" s="797"/>
      <c r="E2330" s="797"/>
      <c r="F2330" s="797"/>
      <c r="G2330" s="797"/>
      <c r="H2330" s="797"/>
    </row>
    <row r="2331" spans="1:9" ht="26.25">
      <c r="A2331" s="1640" t="s">
        <v>1611</v>
      </c>
      <c r="B2331" s="1640"/>
      <c r="C2331" s="1640"/>
      <c r="D2331" s="1641"/>
      <c r="E2331" s="1641"/>
      <c r="F2331" s="1640"/>
      <c r="G2331" s="1640"/>
      <c r="H2331" s="1642"/>
      <c r="I2331" s="1172"/>
    </row>
    <row r="2332" spans="1:9" ht="30.75">
      <c r="A2332" s="45" t="s">
        <v>1463</v>
      </c>
      <c r="B2332" s="646" t="s">
        <v>1497</v>
      </c>
      <c r="C2332" s="1300" t="s">
        <v>1465</v>
      </c>
      <c r="D2332" s="880" t="s">
        <v>5</v>
      </c>
      <c r="E2332" s="879" t="s">
        <v>1466</v>
      </c>
      <c r="F2332" s="881" t="s">
        <v>1467</v>
      </c>
      <c r="G2332" s="48" t="s">
        <v>7</v>
      </c>
      <c r="H2332" s="62" t="s">
        <v>1468</v>
      </c>
      <c r="I2332" s="1173" t="s">
        <v>1624</v>
      </c>
    </row>
    <row r="2333" spans="1:9" ht="18.75">
      <c r="A2333" s="135">
        <v>15278</v>
      </c>
      <c r="B2333" s="576">
        <v>0.1</v>
      </c>
      <c r="C2333" s="891">
        <v>12</v>
      </c>
      <c r="D2333" s="1376" t="s">
        <v>1910</v>
      </c>
      <c r="E2333" s="581" t="s">
        <v>137</v>
      </c>
      <c r="F2333" s="558">
        <v>900000</v>
      </c>
      <c r="G2333" s="478">
        <v>0.04</v>
      </c>
      <c r="H2333" s="1254">
        <f>F2333*G2333</f>
        <v>36000</v>
      </c>
      <c r="I2333" s="1175" t="s">
        <v>1625</v>
      </c>
    </row>
    <row r="2334" spans="1:9" ht="18.75">
      <c r="A2334" s="241">
        <v>15423</v>
      </c>
      <c r="B2334" s="331">
        <v>0.08</v>
      </c>
      <c r="C2334" s="891">
        <v>12</v>
      </c>
      <c r="D2334" s="243" t="s">
        <v>1405</v>
      </c>
      <c r="E2334" s="581" t="s">
        <v>137</v>
      </c>
      <c r="F2334" s="558">
        <v>1350000</v>
      </c>
      <c r="G2334" s="140">
        <v>0.04</v>
      </c>
      <c r="H2334" s="1254">
        <f t="shared" ref="H2334:H2346" si="76">F2334*G2334</f>
        <v>54000</v>
      </c>
      <c r="I2334" s="1175" t="s">
        <v>1625</v>
      </c>
    </row>
    <row r="2335" spans="1:9" ht="18.75">
      <c r="A2335" s="241">
        <v>15442</v>
      </c>
      <c r="B2335" s="233">
        <v>0.1</v>
      </c>
      <c r="C2335" s="891">
        <v>12</v>
      </c>
      <c r="D2335" s="1376" t="s">
        <v>1911</v>
      </c>
      <c r="E2335" s="581" t="s">
        <v>1912</v>
      </c>
      <c r="F2335" s="558">
        <v>1200000</v>
      </c>
      <c r="G2335" s="478">
        <v>0.04</v>
      </c>
      <c r="H2335" s="1254">
        <f t="shared" si="76"/>
        <v>48000</v>
      </c>
      <c r="I2335" s="1175" t="s">
        <v>1625</v>
      </c>
    </row>
    <row r="2336" spans="1:9" ht="18.75">
      <c r="A2336" s="241">
        <v>15466</v>
      </c>
      <c r="B2336" s="233">
        <v>0.1</v>
      </c>
      <c r="C2336" s="891">
        <v>12</v>
      </c>
      <c r="D2336" s="243" t="s">
        <v>1390</v>
      </c>
      <c r="E2336" s="581" t="s">
        <v>137</v>
      </c>
      <c r="F2336" s="558">
        <v>1200000</v>
      </c>
      <c r="G2336" s="478">
        <v>0.04</v>
      </c>
      <c r="H2336" s="1254">
        <f t="shared" si="76"/>
        <v>48000</v>
      </c>
      <c r="I2336" s="1175" t="s">
        <v>1645</v>
      </c>
    </row>
    <row r="2337" spans="1:9" ht="18.75">
      <c r="A2337" s="241">
        <v>15449</v>
      </c>
      <c r="B2337" s="233">
        <v>0.1</v>
      </c>
      <c r="C2337" s="891">
        <v>12</v>
      </c>
      <c r="D2337" s="243" t="s">
        <v>1415</v>
      </c>
      <c r="E2337" s="581" t="s">
        <v>137</v>
      </c>
      <c r="F2337" s="558">
        <v>1700000</v>
      </c>
      <c r="G2337" s="478">
        <v>0.04</v>
      </c>
      <c r="H2337" s="1254">
        <f t="shared" si="76"/>
        <v>68000</v>
      </c>
      <c r="I2337" s="1175" t="s">
        <v>1625</v>
      </c>
    </row>
    <row r="2338" spans="1:9" ht="18.75">
      <c r="A2338" s="241" t="s">
        <v>1416</v>
      </c>
      <c r="B2338" s="233">
        <v>0.1</v>
      </c>
      <c r="C2338" s="891">
        <v>12</v>
      </c>
      <c r="D2338" s="243" t="s">
        <v>1417</v>
      </c>
      <c r="E2338" s="581" t="s">
        <v>1903</v>
      </c>
      <c r="F2338" s="558">
        <v>1800000</v>
      </c>
      <c r="G2338" s="478">
        <v>0.04</v>
      </c>
      <c r="H2338" s="1254">
        <f t="shared" si="76"/>
        <v>72000</v>
      </c>
      <c r="I2338" s="1175" t="s">
        <v>1645</v>
      </c>
    </row>
    <row r="2339" spans="1:9" ht="18.75">
      <c r="A2339" s="241">
        <v>15464</v>
      </c>
      <c r="B2339" s="233">
        <v>0.1</v>
      </c>
      <c r="C2339" s="891">
        <v>12</v>
      </c>
      <c r="D2339" s="243" t="s">
        <v>1393</v>
      </c>
      <c r="E2339" s="581" t="s">
        <v>1913</v>
      </c>
      <c r="F2339" s="558">
        <v>1600000</v>
      </c>
      <c r="G2339" s="478">
        <v>0.04</v>
      </c>
      <c r="H2339" s="1254">
        <f t="shared" si="76"/>
        <v>64000</v>
      </c>
      <c r="I2339" s="1175" t="s">
        <v>1645</v>
      </c>
    </row>
    <row r="2340" spans="1:9" ht="18.75">
      <c r="A2340" s="241">
        <v>15477</v>
      </c>
      <c r="B2340" s="233">
        <v>0.1</v>
      </c>
      <c r="C2340" s="891">
        <v>12</v>
      </c>
      <c r="D2340" s="243" t="s">
        <v>1443</v>
      </c>
      <c r="E2340" s="581" t="s">
        <v>137</v>
      </c>
      <c r="F2340" s="558">
        <v>1200000</v>
      </c>
      <c r="G2340" s="478">
        <v>0.04</v>
      </c>
      <c r="H2340" s="1254">
        <f t="shared" si="76"/>
        <v>48000</v>
      </c>
      <c r="I2340" s="1175" t="s">
        <v>1645</v>
      </c>
    </row>
    <row r="2341" spans="1:9" ht="18.75">
      <c r="A2341" s="241">
        <v>15514</v>
      </c>
      <c r="B2341" s="233">
        <v>0.1</v>
      </c>
      <c r="C2341" s="891">
        <v>12</v>
      </c>
      <c r="D2341" s="1232" t="s">
        <v>1914</v>
      </c>
      <c r="E2341" s="581" t="s">
        <v>1915</v>
      </c>
      <c r="F2341" s="558">
        <v>1400000</v>
      </c>
      <c r="G2341" s="478">
        <v>0.04</v>
      </c>
      <c r="H2341" s="1254">
        <f t="shared" si="76"/>
        <v>56000</v>
      </c>
      <c r="I2341" s="1175" t="s">
        <v>1645</v>
      </c>
    </row>
    <row r="2342" spans="1:9" ht="18.75">
      <c r="A2342" s="241">
        <v>15491</v>
      </c>
      <c r="B2342" s="233">
        <v>0.1</v>
      </c>
      <c r="C2342" s="891">
        <v>12</v>
      </c>
      <c r="D2342" s="243" t="s">
        <v>1916</v>
      </c>
      <c r="E2342" s="581" t="s">
        <v>137</v>
      </c>
      <c r="F2342" s="558">
        <v>1600000</v>
      </c>
      <c r="G2342" s="478">
        <v>0.04</v>
      </c>
      <c r="H2342" s="1254">
        <f t="shared" si="76"/>
        <v>64000</v>
      </c>
      <c r="I2342" s="1175" t="s">
        <v>1645</v>
      </c>
    </row>
    <row r="2343" spans="1:9" ht="18.75">
      <c r="A2343" s="241">
        <v>15536</v>
      </c>
      <c r="B2343" s="233">
        <v>0.1</v>
      </c>
      <c r="C2343" s="891">
        <v>12</v>
      </c>
      <c r="D2343" s="1232" t="s">
        <v>1917</v>
      </c>
      <c r="E2343" s="581" t="s">
        <v>1918</v>
      </c>
      <c r="F2343" s="558">
        <v>750000</v>
      </c>
      <c r="G2343" s="478">
        <v>0.04</v>
      </c>
      <c r="H2343" s="1254">
        <f t="shared" si="76"/>
        <v>30000</v>
      </c>
      <c r="I2343" s="1175" t="s">
        <v>1645</v>
      </c>
    </row>
    <row r="2344" spans="1:9" ht="18.75">
      <c r="A2344" s="241">
        <v>15575</v>
      </c>
      <c r="B2344" s="233">
        <v>0.1</v>
      </c>
      <c r="C2344" s="891">
        <v>12</v>
      </c>
      <c r="D2344" s="1232" t="s">
        <v>1419</v>
      </c>
      <c r="E2344" s="581" t="s">
        <v>137</v>
      </c>
      <c r="F2344" s="558">
        <v>1700000</v>
      </c>
      <c r="G2344" s="478">
        <v>0.04</v>
      </c>
      <c r="H2344" s="1254">
        <f t="shared" si="76"/>
        <v>68000</v>
      </c>
      <c r="I2344" s="1175" t="s">
        <v>1645</v>
      </c>
    </row>
    <row r="2345" spans="1:9" ht="18.75">
      <c r="A2345" s="241">
        <v>15604</v>
      </c>
      <c r="B2345" s="233">
        <v>0.1</v>
      </c>
      <c r="C2345" s="891">
        <v>12</v>
      </c>
      <c r="D2345" s="1232" t="s">
        <v>971</v>
      </c>
      <c r="E2345" s="581" t="s">
        <v>137</v>
      </c>
      <c r="F2345" s="558">
        <v>1450000</v>
      </c>
      <c r="G2345" s="478">
        <v>0.04</v>
      </c>
      <c r="H2345" s="1254">
        <f t="shared" si="76"/>
        <v>58000</v>
      </c>
      <c r="I2345" s="1175" t="s">
        <v>1645</v>
      </c>
    </row>
    <row r="2346" spans="1:9" ht="18.75">
      <c r="A2346" s="1515">
        <v>15673</v>
      </c>
      <c r="B2346" s="233">
        <v>0.1</v>
      </c>
      <c r="C2346" s="891">
        <v>12</v>
      </c>
      <c r="D2346" s="243" t="s">
        <v>1407</v>
      </c>
      <c r="E2346" s="581"/>
      <c r="F2346" s="558">
        <v>1850000</v>
      </c>
      <c r="G2346" s="478">
        <v>0.04</v>
      </c>
      <c r="H2346" s="1254">
        <f t="shared" si="76"/>
        <v>74000</v>
      </c>
      <c r="I2346" s="1175"/>
    </row>
    <row r="2347" spans="1:9" ht="18.75">
      <c r="A2347" s="209" t="s">
        <v>297</v>
      </c>
      <c r="B2347" s="267"/>
      <c r="C2347" s="1225"/>
      <c r="D2347" s="819" t="s">
        <v>1399</v>
      </c>
      <c r="E2347" s="567" t="s">
        <v>1411</v>
      </c>
      <c r="F2347" s="889"/>
      <c r="G2347" s="348"/>
      <c r="H2347" s="348"/>
      <c r="I2347" s="1175"/>
    </row>
    <row r="2348" spans="1:9" ht="18.75">
      <c r="A2348" s="209" t="s">
        <v>297</v>
      </c>
      <c r="B2348" s="645"/>
      <c r="C2348" s="1225"/>
      <c r="D2348" s="1255" t="s">
        <v>1404</v>
      </c>
      <c r="E2348" s="1398" t="s">
        <v>1919</v>
      </c>
      <c r="F2348" s="889"/>
      <c r="G2348" s="348"/>
      <c r="H2348" s="348"/>
      <c r="I2348" s="1175"/>
    </row>
    <row r="2349" spans="1:9" ht="20.25">
      <c r="A2349" s="163"/>
      <c r="B2349" s="318"/>
      <c r="C2349" s="1131"/>
      <c r="D2349" s="266"/>
      <c r="E2349" s="947"/>
      <c r="F2349" s="948">
        <f>SUM(F2333:F2348)</f>
        <v>19700000</v>
      </c>
      <c r="G2349" s="1088"/>
      <c r="H2349" s="1394">
        <f>SUM(H2333:H2348)</f>
        <v>788000</v>
      </c>
      <c r="I2349" s="1172"/>
    </row>
    <row r="2350" spans="1:9" ht="18.75">
      <c r="A2350" s="1646"/>
      <c r="B2350" s="1646"/>
      <c r="C2350" s="1646"/>
      <c r="D2350" s="1646"/>
      <c r="E2350" s="1646"/>
      <c r="F2350" s="1646"/>
      <c r="G2350" s="1646"/>
      <c r="H2350" s="1646"/>
    </row>
    <row r="2351" spans="1:9" ht="18.75">
      <c r="A2351" s="1647"/>
      <c r="B2351" s="1647"/>
      <c r="C2351" s="1647"/>
      <c r="D2351" s="1647"/>
      <c r="E2351" s="1647"/>
      <c r="F2351" s="1647"/>
      <c r="G2351" s="1647"/>
      <c r="H2351" s="1647"/>
    </row>
    <row r="2352" spans="1:9" ht="26.25">
      <c r="A2352" s="1640" t="s">
        <v>1920</v>
      </c>
      <c r="B2352" s="1640"/>
      <c r="C2352" s="1640"/>
      <c r="D2352" s="1641"/>
      <c r="E2352" s="1640"/>
      <c r="F2352" s="1640"/>
      <c r="G2352" s="1640"/>
      <c r="H2352" s="1642"/>
      <c r="I2352" s="1172"/>
    </row>
    <row r="2353" spans="1:9" ht="30.75">
      <c r="A2353" s="45" t="s">
        <v>1463</v>
      </c>
      <c r="B2353" s="646" t="s">
        <v>1497</v>
      </c>
      <c r="C2353" s="1300" t="s">
        <v>1465</v>
      </c>
      <c r="D2353" s="87" t="s">
        <v>5</v>
      </c>
      <c r="E2353" s="732" t="s">
        <v>1466</v>
      </c>
      <c r="F2353" s="48" t="s">
        <v>1467</v>
      </c>
      <c r="G2353" s="48" t="s">
        <v>7</v>
      </c>
      <c r="H2353" s="62" t="s">
        <v>1468</v>
      </c>
      <c r="I2353" s="1173" t="s">
        <v>1624</v>
      </c>
    </row>
    <row r="2354" spans="1:9" ht="18.75">
      <c r="A2354" s="241">
        <v>15418</v>
      </c>
      <c r="B2354" s="233">
        <v>0.1</v>
      </c>
      <c r="C2354" s="891">
        <v>12</v>
      </c>
      <c r="D2354" s="1376" t="s">
        <v>1921</v>
      </c>
      <c r="E2354" s="581" t="s">
        <v>137</v>
      </c>
      <c r="F2354" s="558">
        <v>1600000</v>
      </c>
      <c r="G2354" s="189">
        <v>0.04</v>
      </c>
      <c r="H2354" s="139">
        <f>F2354*G2354</f>
        <v>64000</v>
      </c>
      <c r="I2354" s="1447" t="s">
        <v>1625</v>
      </c>
    </row>
    <row r="2355" spans="1:9" ht="18.75">
      <c r="A2355" s="241">
        <v>15434</v>
      </c>
      <c r="B2355" s="233">
        <v>0.1</v>
      </c>
      <c r="C2355" s="891">
        <v>12</v>
      </c>
      <c r="D2355" s="1397" t="s">
        <v>1401</v>
      </c>
      <c r="E2355" s="581" t="s">
        <v>137</v>
      </c>
      <c r="F2355" s="558">
        <v>1800000</v>
      </c>
      <c r="G2355" s="189">
        <v>0.04</v>
      </c>
      <c r="H2355" s="139">
        <f t="shared" ref="H2355:H2364" si="77">F2355*G2355</f>
        <v>72000</v>
      </c>
      <c r="I2355" s="1447" t="s">
        <v>1645</v>
      </c>
    </row>
    <row r="2356" spans="1:9" ht="18.75">
      <c r="A2356" s="241">
        <v>15441</v>
      </c>
      <c r="B2356" s="233">
        <v>0.1</v>
      </c>
      <c r="C2356" s="891">
        <v>12</v>
      </c>
      <c r="D2356" s="1397" t="s">
        <v>1414</v>
      </c>
      <c r="E2356" s="581" t="s">
        <v>137</v>
      </c>
      <c r="F2356" s="558">
        <v>1200000</v>
      </c>
      <c r="G2356" s="189">
        <v>0.04</v>
      </c>
      <c r="H2356" s="139">
        <f t="shared" si="77"/>
        <v>48000</v>
      </c>
      <c r="I2356" s="1447" t="s">
        <v>1625</v>
      </c>
    </row>
    <row r="2357" spans="1:9" ht="18.75">
      <c r="A2357" s="241">
        <v>15446</v>
      </c>
      <c r="B2357" s="233">
        <v>0.1</v>
      </c>
      <c r="C2357" s="891">
        <v>12</v>
      </c>
      <c r="D2357" s="1397" t="s">
        <v>1389</v>
      </c>
      <c r="E2357" s="581" t="s">
        <v>137</v>
      </c>
      <c r="F2357" s="558">
        <v>1450000</v>
      </c>
      <c r="G2357" s="189">
        <v>0.04</v>
      </c>
      <c r="H2357" s="139">
        <f t="shared" si="77"/>
        <v>58000</v>
      </c>
      <c r="I2357" s="1447" t="s">
        <v>1645</v>
      </c>
    </row>
    <row r="2358" spans="1:9" ht="18.75">
      <c r="A2358" s="241">
        <v>15457</v>
      </c>
      <c r="B2358" s="331">
        <v>0.08</v>
      </c>
      <c r="C2358" s="891">
        <v>12</v>
      </c>
      <c r="D2358" s="243" t="s">
        <v>1423</v>
      </c>
      <c r="E2358" s="581" t="s">
        <v>137</v>
      </c>
      <c r="F2358" s="558">
        <v>1500000</v>
      </c>
      <c r="G2358" s="1032">
        <v>0.03</v>
      </c>
      <c r="H2358" s="139">
        <f t="shared" si="77"/>
        <v>45000</v>
      </c>
      <c r="I2358" s="1447" t="s">
        <v>1625</v>
      </c>
    </row>
    <row r="2359" spans="1:9" ht="18.75">
      <c r="A2359" s="241">
        <v>15488</v>
      </c>
      <c r="B2359" s="233">
        <v>0.1</v>
      </c>
      <c r="C2359" s="891">
        <v>6</v>
      </c>
      <c r="D2359" s="243" t="s">
        <v>572</v>
      </c>
      <c r="E2359" s="581" t="s">
        <v>137</v>
      </c>
      <c r="F2359" s="558">
        <v>1700000</v>
      </c>
      <c r="G2359" s="1281">
        <v>0.04</v>
      </c>
      <c r="H2359" s="139">
        <f t="shared" si="77"/>
        <v>68000</v>
      </c>
      <c r="I2359" s="1447" t="s">
        <v>1625</v>
      </c>
    </row>
    <row r="2360" spans="1:9" ht="18.75">
      <c r="A2360" s="241">
        <v>15547</v>
      </c>
      <c r="B2360" s="233">
        <v>0.1</v>
      </c>
      <c r="C2360" s="891">
        <v>12</v>
      </c>
      <c r="D2360" s="243" t="s">
        <v>1408</v>
      </c>
      <c r="E2360" s="581" t="s">
        <v>137</v>
      </c>
      <c r="F2360" s="558">
        <v>1150000</v>
      </c>
      <c r="G2360" s="138">
        <v>0.04</v>
      </c>
      <c r="H2360" s="139">
        <f t="shared" si="77"/>
        <v>46000</v>
      </c>
      <c r="I2360" s="1175" t="s">
        <v>1645</v>
      </c>
    </row>
    <row r="2361" spans="1:9" ht="18.75">
      <c r="A2361" s="241">
        <v>15556</v>
      </c>
      <c r="B2361" s="331">
        <v>0.08</v>
      </c>
      <c r="C2361" s="891">
        <v>12</v>
      </c>
      <c r="D2361" s="1232" t="s">
        <v>1429</v>
      </c>
      <c r="E2361" s="581" t="s">
        <v>137</v>
      </c>
      <c r="F2361" s="558">
        <v>700000</v>
      </c>
      <c r="G2361" s="140">
        <v>0.03</v>
      </c>
      <c r="H2361" s="139">
        <f t="shared" si="77"/>
        <v>21000</v>
      </c>
      <c r="I2361" s="1175" t="s">
        <v>1645</v>
      </c>
    </row>
    <row r="2362" spans="1:9" ht="18.75">
      <c r="A2362" s="241">
        <v>15572</v>
      </c>
      <c r="B2362" s="233">
        <v>0.1</v>
      </c>
      <c r="C2362" s="891">
        <v>12</v>
      </c>
      <c r="D2362" s="1232" t="s">
        <v>1394</v>
      </c>
      <c r="E2362" s="581" t="s">
        <v>137</v>
      </c>
      <c r="F2362" s="558">
        <v>1450000</v>
      </c>
      <c r="G2362" s="478">
        <v>0.04</v>
      </c>
      <c r="H2362" s="139">
        <f t="shared" si="77"/>
        <v>58000</v>
      </c>
      <c r="I2362" s="1175" t="s">
        <v>1645</v>
      </c>
    </row>
    <row r="2363" spans="1:9" ht="18.75">
      <c r="A2363" s="241">
        <v>15618</v>
      </c>
      <c r="B2363" s="331">
        <v>0.09</v>
      </c>
      <c r="C2363" s="891">
        <v>12</v>
      </c>
      <c r="D2363" s="1232" t="s">
        <v>1922</v>
      </c>
      <c r="E2363" s="581" t="s">
        <v>137</v>
      </c>
      <c r="F2363" s="558">
        <v>1900000</v>
      </c>
      <c r="G2363" s="140">
        <v>0.03</v>
      </c>
      <c r="H2363" s="139">
        <f t="shared" si="77"/>
        <v>57000</v>
      </c>
      <c r="I2363" s="1175" t="s">
        <v>1645</v>
      </c>
    </row>
    <row r="2364" spans="1:9" ht="18.75">
      <c r="A2364" s="241">
        <v>15624</v>
      </c>
      <c r="B2364" s="233">
        <v>0.1</v>
      </c>
      <c r="C2364" s="891">
        <v>12</v>
      </c>
      <c r="D2364" s="1232" t="s">
        <v>1396</v>
      </c>
      <c r="E2364" s="581" t="s">
        <v>137</v>
      </c>
      <c r="F2364" s="558">
        <v>1650000</v>
      </c>
      <c r="G2364" s="478">
        <v>0.04</v>
      </c>
      <c r="H2364" s="139">
        <f t="shared" si="77"/>
        <v>66000</v>
      </c>
      <c r="I2364" s="1175" t="s">
        <v>1645</v>
      </c>
    </row>
    <row r="2365" spans="1:9" ht="18.75">
      <c r="A2365" s="209" t="s">
        <v>297</v>
      </c>
      <c r="B2365" s="267">
        <v>0.1</v>
      </c>
      <c r="C2365" s="1225">
        <v>12</v>
      </c>
      <c r="D2365" s="1255" t="s">
        <v>1923</v>
      </c>
      <c r="E2365" s="567" t="s">
        <v>1924</v>
      </c>
      <c r="F2365" s="889"/>
      <c r="G2365" s="348"/>
      <c r="H2365" s="348"/>
      <c r="I2365" s="1175"/>
    </row>
    <row r="2366" spans="1:9" ht="18.75">
      <c r="A2366" s="209" t="s">
        <v>297</v>
      </c>
      <c r="B2366" s="645"/>
      <c r="C2366" s="1225"/>
      <c r="D2366" s="1382" t="s">
        <v>1925</v>
      </c>
      <c r="E2366" s="567" t="s">
        <v>1411</v>
      </c>
      <c r="F2366" s="889"/>
      <c r="G2366" s="348"/>
      <c r="H2366" s="348"/>
      <c r="I2366" s="1175"/>
    </row>
    <row r="2367" spans="1:9" ht="18.75">
      <c r="A2367" s="209" t="s">
        <v>297</v>
      </c>
      <c r="B2367" s="267"/>
      <c r="C2367" s="1225"/>
      <c r="D2367" s="1255" t="s">
        <v>1433</v>
      </c>
      <c r="E2367" s="567" t="s">
        <v>1926</v>
      </c>
      <c r="F2367" s="889"/>
      <c r="G2367" s="220"/>
      <c r="H2367" s="348"/>
      <c r="I2367" s="1175"/>
    </row>
    <row r="2368" spans="1:9" ht="20.25">
      <c r="A2368" s="163"/>
      <c r="B2368" s="318"/>
      <c r="C2368" s="1131"/>
      <c r="D2368" s="266"/>
      <c r="E2368" s="947"/>
      <c r="F2368" s="948">
        <f>SUM(F2354:F2367)</f>
        <v>16100000</v>
      </c>
      <c r="G2368" s="1088"/>
      <c r="H2368" s="1394">
        <f>SUM(H2354:H2367)</f>
        <v>603000</v>
      </c>
      <c r="I2368" s="1172"/>
    </row>
    <row r="2369" spans="1:9" ht="20.25">
      <c r="A2369" s="1290"/>
      <c r="B2369" s="1291"/>
      <c r="C2369" s="1292"/>
      <c r="D2369" s="1293"/>
      <c r="E2369" s="1294"/>
      <c r="F2369" s="1297"/>
      <c r="G2369" s="1295"/>
      <c r="H2369" s="1296"/>
    </row>
    <row r="2370" spans="1:9" ht="20.25">
      <c r="A2370" s="1290"/>
      <c r="B2370" s="1291"/>
      <c r="C2370" s="1292"/>
      <c r="D2370" s="1293"/>
      <c r="E2370" s="1294"/>
      <c r="F2370" s="1297"/>
      <c r="G2370" s="1295"/>
      <c r="H2370" s="1296"/>
    </row>
    <row r="2371" spans="1:9" ht="26.25">
      <c r="A2371" s="1640" t="s">
        <v>1927</v>
      </c>
      <c r="B2371" s="1640"/>
      <c r="C2371" s="1640"/>
      <c r="D2371" s="1641"/>
      <c r="E2371" s="1640"/>
      <c r="F2371" s="1640"/>
      <c r="G2371" s="1640"/>
      <c r="H2371" s="1642"/>
      <c r="I2371" s="1172"/>
    </row>
    <row r="2372" spans="1:9" ht="30.75">
      <c r="A2372" s="45" t="s">
        <v>1463</v>
      </c>
      <c r="B2372" s="646" t="s">
        <v>1497</v>
      </c>
      <c r="C2372" s="1300" t="s">
        <v>1465</v>
      </c>
      <c r="D2372" s="87" t="s">
        <v>5</v>
      </c>
      <c r="E2372" s="732" t="s">
        <v>1466</v>
      </c>
      <c r="F2372" s="48" t="s">
        <v>1467</v>
      </c>
      <c r="G2372" s="48" t="s">
        <v>7</v>
      </c>
      <c r="H2372" s="62" t="s">
        <v>1468</v>
      </c>
      <c r="I2372" s="1173" t="s">
        <v>1624</v>
      </c>
    </row>
    <row r="2373" spans="1:9" ht="18.75">
      <c r="A2373" s="241">
        <v>15435</v>
      </c>
      <c r="B2373" s="331">
        <v>0.09</v>
      </c>
      <c r="C2373" s="891">
        <v>12</v>
      </c>
      <c r="D2373" s="1376" t="s">
        <v>1440</v>
      </c>
      <c r="E2373" s="581" t="s">
        <v>137</v>
      </c>
      <c r="F2373" s="558">
        <v>4300000</v>
      </c>
      <c r="G2373" s="189"/>
      <c r="H2373" s="139"/>
      <c r="I2373" s="1447" t="s">
        <v>1645</v>
      </c>
    </row>
    <row r="2374" spans="1:9" ht="18.75">
      <c r="A2374" s="235"/>
      <c r="B2374" s="318"/>
      <c r="C2374" s="1131"/>
      <c r="D2374" s="1451"/>
      <c r="E2374" s="720"/>
      <c r="F2374" s="1282">
        <v>4300000</v>
      </c>
      <c r="G2374" s="183"/>
      <c r="H2374" s="550"/>
      <c r="I2374" s="1175"/>
    </row>
    <row r="2375" spans="1:9">
      <c r="A2375" s="1648"/>
      <c r="B2375" s="1648"/>
      <c r="C2375" s="1648"/>
      <c r="D2375" s="1648"/>
      <c r="E2375" s="1648"/>
      <c r="F2375" s="1648"/>
      <c r="G2375" s="1648"/>
      <c r="H2375" s="1648"/>
      <c r="I2375" s="1648"/>
    </row>
    <row r="2376" spans="1:9" ht="26.25">
      <c r="A2376" s="1640" t="s">
        <v>1620</v>
      </c>
      <c r="B2376" s="1640"/>
      <c r="C2376" s="1641"/>
      <c r="D2376" s="1640"/>
      <c r="E2376" s="1640"/>
      <c r="F2376" s="1640"/>
      <c r="G2376" s="1640"/>
      <c r="H2376" s="1640"/>
    </row>
    <row r="2377" spans="1:9" ht="30.75">
      <c r="A2377" s="45"/>
      <c r="B2377" s="646" t="s">
        <v>1497</v>
      </c>
      <c r="C2377" s="132" t="s">
        <v>1465</v>
      </c>
      <c r="D2377" s="647" t="s">
        <v>5</v>
      </c>
      <c r="E2377" s="47" t="s">
        <v>1466</v>
      </c>
      <c r="F2377" s="48" t="s">
        <v>1467</v>
      </c>
      <c r="G2377" s="48" t="s">
        <v>7</v>
      </c>
      <c r="H2377" s="48" t="s">
        <v>1468</v>
      </c>
    </row>
    <row r="2378" spans="1:9" ht="18.75">
      <c r="A2378" s="241">
        <v>15512</v>
      </c>
      <c r="B2378" s="331">
        <v>0.08</v>
      </c>
      <c r="C2378" s="238">
        <v>6</v>
      </c>
      <c r="D2378" s="136" t="s">
        <v>1928</v>
      </c>
      <c r="E2378" s="581"/>
      <c r="F2378" s="558">
        <v>800000</v>
      </c>
      <c r="G2378" s="1111">
        <v>0.02</v>
      </c>
      <c r="H2378" s="139">
        <f>F2378*G2378</f>
        <v>16000</v>
      </c>
    </row>
    <row r="2379" spans="1:9" ht="18.75">
      <c r="A2379" s="241">
        <v>15528</v>
      </c>
      <c r="B2379" s="331">
        <v>0.08</v>
      </c>
      <c r="C2379" s="891">
        <v>12</v>
      </c>
      <c r="D2379" s="259" t="s">
        <v>1929</v>
      </c>
      <c r="E2379" s="581"/>
      <c r="F2379" s="558">
        <v>850000</v>
      </c>
      <c r="G2379" s="1111">
        <v>0.02</v>
      </c>
      <c r="H2379" s="139">
        <f t="shared" ref="H2379:H2380" si="78">F2379*G2379</f>
        <v>17000</v>
      </c>
    </row>
    <row r="2380" spans="1:9" ht="18.75">
      <c r="A2380" s="241">
        <v>15435</v>
      </c>
      <c r="B2380" s="331">
        <v>0.09</v>
      </c>
      <c r="C2380" s="891">
        <v>12</v>
      </c>
      <c r="D2380" s="1237" t="s">
        <v>1440</v>
      </c>
      <c r="E2380" s="581"/>
      <c r="F2380" s="558">
        <v>4300000</v>
      </c>
      <c r="G2380" s="1111">
        <v>0.02</v>
      </c>
      <c r="H2380" s="139">
        <f t="shared" si="78"/>
        <v>86000</v>
      </c>
    </row>
    <row r="2381" spans="1:9" ht="18.75">
      <c r="A2381" s="241">
        <v>15407</v>
      </c>
      <c r="B2381" s="233">
        <v>0.1</v>
      </c>
      <c r="C2381" s="770">
        <v>12</v>
      </c>
      <c r="D2381" s="259" t="s">
        <v>1386</v>
      </c>
      <c r="E2381" s="754"/>
      <c r="F2381" s="558">
        <v>1650000</v>
      </c>
      <c r="G2381" s="166">
        <v>2.5000000000000001E-2</v>
      </c>
      <c r="H2381" s="1254">
        <f>F2381*G2381</f>
        <v>41250</v>
      </c>
    </row>
    <row r="2382" spans="1:9" ht="18.75">
      <c r="A2382" s="241">
        <v>15438</v>
      </c>
      <c r="B2382" s="233">
        <v>0.1</v>
      </c>
      <c r="C2382" s="1222">
        <v>12</v>
      </c>
      <c r="D2382" s="243" t="s">
        <v>1388</v>
      </c>
      <c r="E2382" s="754"/>
      <c r="F2382" s="558">
        <v>1700000</v>
      </c>
      <c r="G2382" s="166">
        <v>2.5000000000000001E-2</v>
      </c>
      <c r="H2382" s="1254">
        <f t="shared" ref="H2382:H2391" si="79">F2382*G2382</f>
        <v>42500</v>
      </c>
    </row>
    <row r="2383" spans="1:9" ht="18.75">
      <c r="A2383" s="241">
        <v>15471</v>
      </c>
      <c r="B2383" s="233">
        <v>0.1</v>
      </c>
      <c r="C2383" s="770">
        <v>10</v>
      </c>
      <c r="D2383" s="243" t="s">
        <v>1391</v>
      </c>
      <c r="E2383" s="754"/>
      <c r="F2383" s="558">
        <v>1500000</v>
      </c>
      <c r="G2383" s="166">
        <v>2.5000000000000001E-2</v>
      </c>
      <c r="H2383" s="1254">
        <f t="shared" si="79"/>
        <v>37500</v>
      </c>
    </row>
    <row r="2384" spans="1:9" ht="18.75">
      <c r="A2384" s="241">
        <v>15489</v>
      </c>
      <c r="B2384" s="233">
        <v>0.1</v>
      </c>
      <c r="C2384" s="1222">
        <v>12</v>
      </c>
      <c r="D2384" s="243" t="s">
        <v>1902</v>
      </c>
      <c r="E2384" s="754"/>
      <c r="F2384" s="558">
        <v>1350000</v>
      </c>
      <c r="G2384" s="166">
        <v>2.5000000000000001E-2</v>
      </c>
      <c r="H2384" s="1254">
        <f t="shared" si="79"/>
        <v>33750</v>
      </c>
    </row>
    <row r="2385" spans="1:8" ht="18.75">
      <c r="A2385" s="241">
        <v>15507</v>
      </c>
      <c r="B2385" s="233">
        <v>0.1</v>
      </c>
      <c r="C2385" s="770">
        <v>12</v>
      </c>
      <c r="D2385" s="259" t="s">
        <v>1904</v>
      </c>
      <c r="E2385" s="754"/>
      <c r="F2385" s="558">
        <v>1200000</v>
      </c>
      <c r="G2385" s="166">
        <v>2.5000000000000001E-2</v>
      </c>
      <c r="H2385" s="1254">
        <f t="shared" si="79"/>
        <v>30000</v>
      </c>
    </row>
    <row r="2386" spans="1:8" ht="18.75">
      <c r="A2386" s="241">
        <v>15511</v>
      </c>
      <c r="B2386" s="233">
        <v>0.1</v>
      </c>
      <c r="C2386" s="1222">
        <v>12</v>
      </c>
      <c r="D2386" s="243" t="s">
        <v>1427</v>
      </c>
      <c r="E2386" s="754"/>
      <c r="F2386" s="558">
        <v>1400000</v>
      </c>
      <c r="G2386" s="166">
        <v>2.5000000000000001E-2</v>
      </c>
      <c r="H2386" s="1254">
        <f t="shared" si="79"/>
        <v>35000</v>
      </c>
    </row>
    <row r="2387" spans="1:8" ht="18.75">
      <c r="A2387" s="241">
        <v>15574</v>
      </c>
      <c r="B2387" s="233">
        <v>0.1</v>
      </c>
      <c r="C2387" s="770">
        <v>12</v>
      </c>
      <c r="D2387" s="1396" t="s">
        <v>1402</v>
      </c>
      <c r="E2387" s="754"/>
      <c r="F2387" s="558">
        <v>1200000</v>
      </c>
      <c r="G2387" s="166">
        <v>2.5000000000000001E-2</v>
      </c>
      <c r="H2387" s="1254">
        <f t="shared" si="79"/>
        <v>30000</v>
      </c>
    </row>
    <row r="2388" spans="1:8" ht="18.75">
      <c r="A2388" s="241">
        <v>15606</v>
      </c>
      <c r="B2388" s="233">
        <v>0.1</v>
      </c>
      <c r="C2388" s="1080">
        <v>6</v>
      </c>
      <c r="D2388" s="1312" t="s">
        <v>1431</v>
      </c>
      <c r="E2388" s="754"/>
      <c r="F2388" s="558">
        <v>1650000</v>
      </c>
      <c r="G2388" s="166">
        <v>2.5000000000000001E-2</v>
      </c>
      <c r="H2388" s="1254">
        <f t="shared" si="79"/>
        <v>41250</v>
      </c>
    </row>
    <row r="2389" spans="1:8" ht="18.75">
      <c r="A2389" s="241">
        <v>15622</v>
      </c>
      <c r="B2389" s="557">
        <v>0.1</v>
      </c>
      <c r="C2389" s="135">
        <v>12</v>
      </c>
      <c r="D2389" s="259" t="s">
        <v>1905</v>
      </c>
      <c r="E2389" s="754"/>
      <c r="F2389" s="558">
        <v>1850000</v>
      </c>
      <c r="G2389" s="166">
        <v>2.5000000000000001E-2</v>
      </c>
      <c r="H2389" s="1254">
        <f t="shared" si="79"/>
        <v>46250</v>
      </c>
    </row>
    <row r="2390" spans="1:8" ht="18.75">
      <c r="A2390" s="135">
        <v>15643</v>
      </c>
      <c r="B2390" s="1479">
        <v>0.08</v>
      </c>
      <c r="C2390" s="179">
        <v>12</v>
      </c>
      <c r="D2390" s="259" t="s">
        <v>1906</v>
      </c>
      <c r="E2390" s="754"/>
      <c r="F2390" s="558">
        <v>1600000</v>
      </c>
      <c r="G2390" s="1111">
        <v>0.02</v>
      </c>
      <c r="H2390" s="1254">
        <f t="shared" si="79"/>
        <v>32000</v>
      </c>
    </row>
    <row r="2391" spans="1:8" ht="18.75">
      <c r="A2391" s="135">
        <v>15645</v>
      </c>
      <c r="B2391" s="233">
        <v>0.1</v>
      </c>
      <c r="C2391" s="135">
        <v>12</v>
      </c>
      <c r="D2391" s="888" t="s">
        <v>494</v>
      </c>
      <c r="E2391" s="754"/>
      <c r="F2391" s="558">
        <v>1000000</v>
      </c>
      <c r="G2391" s="166">
        <v>2.5000000000000001E-2</v>
      </c>
      <c r="H2391" s="1254">
        <f t="shared" si="79"/>
        <v>25000</v>
      </c>
    </row>
    <row r="2392" spans="1:8" ht="18.75">
      <c r="A2392" s="135">
        <v>15278</v>
      </c>
      <c r="B2392" s="576">
        <v>0.1</v>
      </c>
      <c r="C2392" s="891">
        <v>12</v>
      </c>
      <c r="D2392" s="1376" t="s">
        <v>1910</v>
      </c>
      <c r="E2392" s="581"/>
      <c r="F2392" s="558">
        <v>900000</v>
      </c>
      <c r="G2392" s="166">
        <v>2.5000000000000001E-2</v>
      </c>
      <c r="H2392" s="1254">
        <f>F2392*G2392</f>
        <v>22500</v>
      </c>
    </row>
    <row r="2393" spans="1:8" ht="18.75">
      <c r="A2393" s="241">
        <v>15423</v>
      </c>
      <c r="B2393" s="331">
        <v>0.08</v>
      </c>
      <c r="C2393" s="891">
        <v>12</v>
      </c>
      <c r="D2393" s="243" t="s">
        <v>1405</v>
      </c>
      <c r="E2393" s="581"/>
      <c r="F2393" s="558">
        <v>1350000</v>
      </c>
      <c r="G2393" s="1111">
        <v>0.02</v>
      </c>
      <c r="H2393" s="1254">
        <f t="shared" ref="H2393:H2405" si="80">F2393*G2393</f>
        <v>27000</v>
      </c>
    </row>
    <row r="2394" spans="1:8" ht="18.75">
      <c r="A2394" s="241">
        <v>15442</v>
      </c>
      <c r="B2394" s="233">
        <v>0.1</v>
      </c>
      <c r="C2394" s="891">
        <v>12</v>
      </c>
      <c r="D2394" s="1376" t="s">
        <v>1911</v>
      </c>
      <c r="E2394" s="581"/>
      <c r="F2394" s="558">
        <v>1200000</v>
      </c>
      <c r="G2394" s="166">
        <v>2.5000000000000001E-2</v>
      </c>
      <c r="H2394" s="1254">
        <f t="shared" si="80"/>
        <v>30000</v>
      </c>
    </row>
    <row r="2395" spans="1:8" ht="18.75">
      <c r="A2395" s="241">
        <v>15466</v>
      </c>
      <c r="B2395" s="233">
        <v>0.1</v>
      </c>
      <c r="C2395" s="891">
        <v>12</v>
      </c>
      <c r="D2395" s="243" t="s">
        <v>1390</v>
      </c>
      <c r="E2395" s="581"/>
      <c r="F2395" s="558">
        <v>1200000</v>
      </c>
      <c r="G2395" s="166">
        <v>2.5000000000000001E-2</v>
      </c>
      <c r="H2395" s="1254">
        <f t="shared" si="80"/>
        <v>30000</v>
      </c>
    </row>
    <row r="2396" spans="1:8" ht="18.75">
      <c r="A2396" s="241">
        <v>15449</v>
      </c>
      <c r="B2396" s="233">
        <v>0.1</v>
      </c>
      <c r="C2396" s="891">
        <v>12</v>
      </c>
      <c r="D2396" s="243" t="s">
        <v>1415</v>
      </c>
      <c r="E2396" s="581"/>
      <c r="F2396" s="558">
        <v>1700000</v>
      </c>
      <c r="G2396" s="166">
        <v>2.5000000000000001E-2</v>
      </c>
      <c r="H2396" s="1254">
        <f t="shared" si="80"/>
        <v>42500</v>
      </c>
    </row>
    <row r="2397" spans="1:8" ht="18.75">
      <c r="A2397" s="241" t="s">
        <v>1416</v>
      </c>
      <c r="B2397" s="233">
        <v>0.1</v>
      </c>
      <c r="C2397" s="891">
        <v>12</v>
      </c>
      <c r="D2397" s="243" t="s">
        <v>1417</v>
      </c>
      <c r="E2397" s="581"/>
      <c r="F2397" s="558">
        <v>1800000</v>
      </c>
      <c r="G2397" s="166">
        <v>2.5000000000000001E-2</v>
      </c>
      <c r="H2397" s="1254">
        <f t="shared" si="80"/>
        <v>45000</v>
      </c>
    </row>
    <row r="2398" spans="1:8" ht="18.75">
      <c r="A2398" s="241">
        <v>15464</v>
      </c>
      <c r="B2398" s="233">
        <v>0.1</v>
      </c>
      <c r="C2398" s="891">
        <v>12</v>
      </c>
      <c r="D2398" s="243" t="s">
        <v>1393</v>
      </c>
      <c r="E2398" s="581"/>
      <c r="F2398" s="558">
        <v>1600000</v>
      </c>
      <c r="G2398" s="166">
        <v>2.5000000000000001E-2</v>
      </c>
      <c r="H2398" s="1254">
        <f t="shared" si="80"/>
        <v>40000</v>
      </c>
    </row>
    <row r="2399" spans="1:8" ht="18.75">
      <c r="A2399" s="241">
        <v>15477</v>
      </c>
      <c r="B2399" s="233">
        <v>0.1</v>
      </c>
      <c r="C2399" s="891">
        <v>12</v>
      </c>
      <c r="D2399" s="243" t="s">
        <v>1443</v>
      </c>
      <c r="E2399" s="581"/>
      <c r="F2399" s="558">
        <v>1200000</v>
      </c>
      <c r="G2399" s="166">
        <v>2.5000000000000001E-2</v>
      </c>
      <c r="H2399" s="1254">
        <f t="shared" si="80"/>
        <v>30000</v>
      </c>
    </row>
    <row r="2400" spans="1:8" ht="18.75">
      <c r="A2400" s="241">
        <v>15514</v>
      </c>
      <c r="B2400" s="233">
        <v>0.1</v>
      </c>
      <c r="C2400" s="891">
        <v>12</v>
      </c>
      <c r="D2400" s="1232" t="s">
        <v>1914</v>
      </c>
      <c r="E2400" s="581"/>
      <c r="F2400" s="558">
        <v>1400000</v>
      </c>
      <c r="G2400" s="166">
        <v>2.5000000000000001E-2</v>
      </c>
      <c r="H2400" s="1254">
        <f t="shared" si="80"/>
        <v>35000</v>
      </c>
    </row>
    <row r="2401" spans="1:8" ht="18.75">
      <c r="A2401" s="241">
        <v>15491</v>
      </c>
      <c r="B2401" s="233">
        <v>0.1</v>
      </c>
      <c r="C2401" s="891">
        <v>12</v>
      </c>
      <c r="D2401" s="243" t="s">
        <v>1916</v>
      </c>
      <c r="E2401" s="581"/>
      <c r="F2401" s="558">
        <v>1600000</v>
      </c>
      <c r="G2401" s="166">
        <v>2.5000000000000001E-2</v>
      </c>
      <c r="H2401" s="1254">
        <f t="shared" si="80"/>
        <v>40000</v>
      </c>
    </row>
    <row r="2402" spans="1:8" ht="18.75">
      <c r="A2402" s="241">
        <v>15536</v>
      </c>
      <c r="B2402" s="233">
        <v>0.1</v>
      </c>
      <c r="C2402" s="891">
        <v>12</v>
      </c>
      <c r="D2402" s="1232" t="s">
        <v>1917</v>
      </c>
      <c r="E2402" s="581"/>
      <c r="F2402" s="558">
        <v>750000</v>
      </c>
      <c r="G2402" s="166">
        <v>2.5000000000000001E-2</v>
      </c>
      <c r="H2402" s="1254">
        <f t="shared" si="80"/>
        <v>18750</v>
      </c>
    </row>
    <row r="2403" spans="1:8" ht="18.75">
      <c r="A2403" s="241">
        <v>15575</v>
      </c>
      <c r="B2403" s="233">
        <v>0.1</v>
      </c>
      <c r="C2403" s="891">
        <v>12</v>
      </c>
      <c r="D2403" s="1232" t="s">
        <v>1419</v>
      </c>
      <c r="E2403" s="581"/>
      <c r="F2403" s="558">
        <v>1700000</v>
      </c>
      <c r="G2403" s="166">
        <v>2.5000000000000001E-2</v>
      </c>
      <c r="H2403" s="1254">
        <f t="shared" si="80"/>
        <v>42500</v>
      </c>
    </row>
    <row r="2404" spans="1:8" ht="18.75">
      <c r="A2404" s="241">
        <v>15604</v>
      </c>
      <c r="B2404" s="233">
        <v>0.1</v>
      </c>
      <c r="C2404" s="891">
        <v>12</v>
      </c>
      <c r="D2404" s="1232" t="s">
        <v>971</v>
      </c>
      <c r="E2404" s="581"/>
      <c r="F2404" s="558">
        <v>1450000</v>
      </c>
      <c r="G2404" s="166">
        <v>2.5000000000000001E-2</v>
      </c>
      <c r="H2404" s="1254">
        <f t="shared" si="80"/>
        <v>36250</v>
      </c>
    </row>
    <row r="2405" spans="1:8" ht="18.75">
      <c r="A2405" s="241">
        <v>15673</v>
      </c>
      <c r="B2405" s="233">
        <v>0.1</v>
      </c>
      <c r="C2405" s="891">
        <v>12</v>
      </c>
      <c r="D2405" s="243" t="s">
        <v>1407</v>
      </c>
      <c r="E2405" s="581"/>
      <c r="F2405" s="558">
        <v>1850000</v>
      </c>
      <c r="G2405" s="166">
        <v>2.5000000000000001E-2</v>
      </c>
      <c r="H2405" s="1254">
        <f t="shared" si="80"/>
        <v>46250</v>
      </c>
    </row>
    <row r="2406" spans="1:8" ht="18.75">
      <c r="A2406" s="241">
        <v>15418</v>
      </c>
      <c r="B2406" s="233">
        <v>0.1</v>
      </c>
      <c r="C2406" s="891">
        <v>12</v>
      </c>
      <c r="D2406" s="1376" t="s">
        <v>1921</v>
      </c>
      <c r="E2406" s="581"/>
      <c r="F2406" s="558">
        <v>1600000</v>
      </c>
      <c r="G2406" s="166">
        <v>2.5000000000000001E-2</v>
      </c>
      <c r="H2406" s="139">
        <f>F2406*G2406</f>
        <v>40000</v>
      </c>
    </row>
    <row r="2407" spans="1:8" ht="18.75">
      <c r="A2407" s="241">
        <v>15434</v>
      </c>
      <c r="B2407" s="233">
        <v>0.1</v>
      </c>
      <c r="C2407" s="891">
        <v>12</v>
      </c>
      <c r="D2407" s="1397" t="s">
        <v>1401</v>
      </c>
      <c r="E2407" s="581"/>
      <c r="F2407" s="558">
        <v>1800000</v>
      </c>
      <c r="G2407" s="166">
        <v>2.5000000000000001E-2</v>
      </c>
      <c r="H2407" s="139">
        <f t="shared" ref="H2407:H2416" si="81">F2407*G2407</f>
        <v>45000</v>
      </c>
    </row>
    <row r="2408" spans="1:8" ht="18.75">
      <c r="A2408" s="241">
        <v>15441</v>
      </c>
      <c r="B2408" s="233">
        <v>0.1</v>
      </c>
      <c r="C2408" s="891">
        <v>12</v>
      </c>
      <c r="D2408" s="1397" t="s">
        <v>1414</v>
      </c>
      <c r="E2408" s="581"/>
      <c r="F2408" s="558">
        <v>1200000</v>
      </c>
      <c r="G2408" s="166">
        <v>2.5000000000000001E-2</v>
      </c>
      <c r="H2408" s="139">
        <f t="shared" si="81"/>
        <v>30000</v>
      </c>
    </row>
    <row r="2409" spans="1:8" ht="18.75">
      <c r="A2409" s="241">
        <v>15446</v>
      </c>
      <c r="B2409" s="331">
        <v>0.08</v>
      </c>
      <c r="C2409" s="891">
        <v>12</v>
      </c>
      <c r="D2409" s="1397" t="s">
        <v>1389</v>
      </c>
      <c r="E2409" s="581"/>
      <c r="F2409" s="558">
        <v>1450000</v>
      </c>
      <c r="G2409" s="1111">
        <v>0.02</v>
      </c>
      <c r="H2409" s="139">
        <f t="shared" si="81"/>
        <v>29000</v>
      </c>
    </row>
    <row r="2410" spans="1:8" ht="18.75">
      <c r="A2410" s="241">
        <v>15457</v>
      </c>
      <c r="B2410" s="233">
        <v>0.1</v>
      </c>
      <c r="C2410" s="891">
        <v>12</v>
      </c>
      <c r="D2410" s="243" t="s">
        <v>1423</v>
      </c>
      <c r="E2410" s="581"/>
      <c r="F2410" s="558">
        <v>1500000</v>
      </c>
      <c r="G2410" s="166">
        <v>2.5000000000000001E-2</v>
      </c>
      <c r="H2410" s="139">
        <f t="shared" si="81"/>
        <v>37500</v>
      </c>
    </row>
    <row r="2411" spans="1:8" ht="18.75">
      <c r="A2411" s="241">
        <v>15488</v>
      </c>
      <c r="B2411" s="233">
        <v>0.1</v>
      </c>
      <c r="C2411" s="891">
        <v>6</v>
      </c>
      <c r="D2411" s="243" t="s">
        <v>572</v>
      </c>
      <c r="E2411" s="581"/>
      <c r="F2411" s="558">
        <v>1700000</v>
      </c>
      <c r="G2411" s="166">
        <v>2.5000000000000001E-2</v>
      </c>
      <c r="H2411" s="139">
        <f t="shared" si="81"/>
        <v>42500</v>
      </c>
    </row>
    <row r="2412" spans="1:8" ht="18.75">
      <c r="A2412" s="241">
        <v>15547</v>
      </c>
      <c r="B2412" s="233">
        <v>0.1</v>
      </c>
      <c r="C2412" s="891">
        <v>12</v>
      </c>
      <c r="D2412" s="243" t="s">
        <v>1408</v>
      </c>
      <c r="E2412" s="581"/>
      <c r="F2412" s="558">
        <v>1150000</v>
      </c>
      <c r="G2412" s="166">
        <v>2.5000000000000001E-2</v>
      </c>
      <c r="H2412" s="139">
        <f t="shared" si="81"/>
        <v>28750</v>
      </c>
    </row>
    <row r="2413" spans="1:8" ht="18.75">
      <c r="A2413" s="241">
        <v>15556</v>
      </c>
      <c r="B2413" s="331">
        <v>0.08</v>
      </c>
      <c r="C2413" s="891">
        <v>12</v>
      </c>
      <c r="D2413" s="1232" t="s">
        <v>1429</v>
      </c>
      <c r="E2413" s="581"/>
      <c r="F2413" s="558">
        <v>700000</v>
      </c>
      <c r="G2413" s="1111">
        <v>0.02</v>
      </c>
      <c r="H2413" s="139">
        <f t="shared" si="81"/>
        <v>14000</v>
      </c>
    </row>
    <row r="2414" spans="1:8" ht="18.75">
      <c r="A2414" s="241">
        <v>15572</v>
      </c>
      <c r="B2414" s="233">
        <v>0.1</v>
      </c>
      <c r="C2414" s="891">
        <v>12</v>
      </c>
      <c r="D2414" s="1232" t="s">
        <v>1394</v>
      </c>
      <c r="E2414" s="581"/>
      <c r="F2414" s="558">
        <v>1450000</v>
      </c>
      <c r="G2414" s="166">
        <v>2.5000000000000001E-2</v>
      </c>
      <c r="H2414" s="139">
        <f t="shared" si="81"/>
        <v>36250</v>
      </c>
    </row>
    <row r="2415" spans="1:8" ht="18.75">
      <c r="A2415" s="241">
        <v>15618</v>
      </c>
      <c r="B2415" s="331">
        <v>0.09</v>
      </c>
      <c r="C2415" s="891">
        <v>12</v>
      </c>
      <c r="D2415" s="1232" t="s">
        <v>1922</v>
      </c>
      <c r="E2415" s="581"/>
      <c r="F2415" s="558">
        <v>1900000</v>
      </c>
      <c r="G2415" s="1111">
        <v>0.02</v>
      </c>
      <c r="H2415" s="139">
        <f t="shared" si="81"/>
        <v>38000</v>
      </c>
    </row>
    <row r="2416" spans="1:8" ht="18.75">
      <c r="A2416" s="241">
        <v>15624</v>
      </c>
      <c r="B2416" s="233">
        <v>0.1</v>
      </c>
      <c r="C2416" s="891">
        <v>12</v>
      </c>
      <c r="D2416" s="1232" t="s">
        <v>1396</v>
      </c>
      <c r="E2416" s="581"/>
      <c r="F2416" s="558">
        <v>1650000</v>
      </c>
      <c r="G2416" s="166">
        <v>2.5000000000000001E-2</v>
      </c>
      <c r="H2416" s="139">
        <f t="shared" si="81"/>
        <v>41250</v>
      </c>
    </row>
    <row r="2417" spans="1:9" ht="18.75">
      <c r="A2417" s="163"/>
      <c r="B2417" s="1214"/>
      <c r="C2417" s="1188"/>
      <c r="D2417" s="262"/>
      <c r="E2417" s="833" t="s">
        <v>80</v>
      </c>
      <c r="F2417" s="972">
        <f>SUM(F2378:F2416)</f>
        <v>57850000</v>
      </c>
      <c r="G2417" s="162"/>
      <c r="H2417" s="550">
        <f>SUM(H2378:H2416)</f>
        <v>1381500</v>
      </c>
    </row>
    <row r="2418" spans="1:9" ht="18.75"/>
    <row r="2419" spans="1:9" ht="18.75"/>
    <row r="2420" spans="1:9" ht="26.25">
      <c r="A2420" s="1643" t="s">
        <v>1930</v>
      </c>
      <c r="B2420" s="1643"/>
      <c r="C2420" s="1643"/>
      <c r="D2420" s="1643"/>
      <c r="E2420" s="1643"/>
      <c r="F2420" s="1643"/>
      <c r="G2420" s="1643"/>
      <c r="H2420" s="1644"/>
    </row>
    <row r="2422" spans="1:9" ht="26.25">
      <c r="A2422" s="1641" t="s">
        <v>1627</v>
      </c>
      <c r="B2422" s="1640"/>
      <c r="C2422" s="1641"/>
      <c r="D2422" s="1641"/>
      <c r="E2422" s="1640"/>
      <c r="F2422" s="1640"/>
      <c r="G2422" s="1640"/>
      <c r="H2422" s="1642"/>
      <c r="I2422" s="1172"/>
    </row>
    <row r="2423" spans="1:9" ht="30.75">
      <c r="A2423" s="87" t="s">
        <v>1463</v>
      </c>
      <c r="B2423" s="1299" t="s">
        <v>1497</v>
      </c>
      <c r="C2423" s="731" t="s">
        <v>1465</v>
      </c>
      <c r="D2423" s="87" t="s">
        <v>5</v>
      </c>
      <c r="E2423" s="732" t="s">
        <v>1466</v>
      </c>
      <c r="F2423" s="48" t="s">
        <v>1467</v>
      </c>
      <c r="G2423" s="48" t="s">
        <v>7</v>
      </c>
      <c r="H2423" s="62" t="s">
        <v>1468</v>
      </c>
      <c r="I2423" s="1174" t="s">
        <v>1624</v>
      </c>
    </row>
    <row r="2424" spans="1:9" ht="18.75">
      <c r="A2424" s="1122" t="s">
        <v>625</v>
      </c>
      <c r="B2424" s="363">
        <v>0.1</v>
      </c>
      <c r="C2424" s="1435">
        <v>12</v>
      </c>
      <c r="D2424" s="1468" t="s">
        <v>1451</v>
      </c>
      <c r="E2424" s="1409" t="s">
        <v>1931</v>
      </c>
      <c r="F2424" s="836"/>
      <c r="G2424" s="1079"/>
      <c r="H2424" s="1178"/>
      <c r="I2424" s="1175"/>
    </row>
    <row r="2425" spans="1:9" ht="18.75">
      <c r="A2425" s="1122" t="s">
        <v>1448</v>
      </c>
      <c r="B2425" s="363"/>
      <c r="C2425" s="1522"/>
      <c r="D2425" s="1348" t="s">
        <v>1460</v>
      </c>
      <c r="E2425" s="1409"/>
      <c r="F2425" s="836"/>
      <c r="G2425" s="1079"/>
      <c r="H2425" s="1178"/>
      <c r="I2425" s="1175"/>
    </row>
    <row r="2426" spans="1:9" ht="18.75">
      <c r="A2426" s="1122" t="s">
        <v>1448</v>
      </c>
      <c r="B2426" s="363"/>
      <c r="C2426" s="1435"/>
      <c r="D2426" s="1348" t="s">
        <v>1449</v>
      </c>
      <c r="E2426" s="1409"/>
      <c r="F2426" s="836"/>
      <c r="G2426" s="1079"/>
      <c r="H2426" s="1178"/>
      <c r="I2426" s="1175"/>
    </row>
    <row r="2427" spans="1:9" ht="18.75">
      <c r="A2427" s="235"/>
      <c r="B2427" s="318"/>
      <c r="C2427" s="1224"/>
      <c r="D2427" s="794"/>
      <c r="E2427" s="787"/>
      <c r="F2427" s="793"/>
      <c r="G2427" s="659"/>
      <c r="H2427" s="886"/>
      <c r="I2427" s="1175"/>
    </row>
    <row r="2428" spans="1:9" ht="18.75">
      <c r="A2428" s="235"/>
      <c r="B2428" s="318"/>
      <c r="C2428" s="1277"/>
      <c r="D2428" s="266"/>
      <c r="E2428" s="787"/>
      <c r="F2428" s="793"/>
      <c r="G2428" s="659"/>
      <c r="H2428" s="886"/>
      <c r="I2428" s="1175"/>
    </row>
    <row r="2429" spans="1:9" ht="18.75">
      <c r="A2429" s="235"/>
      <c r="B2429" s="318"/>
      <c r="C2429" s="1224"/>
      <c r="D2429" s="794"/>
      <c r="E2429" s="787"/>
      <c r="F2429" s="793"/>
      <c r="G2429" s="659"/>
      <c r="H2429" s="886"/>
      <c r="I2429" s="1175"/>
    </row>
    <row r="2430" spans="1:9" ht="18.75">
      <c r="A2430" s="235"/>
      <c r="B2430" s="318"/>
      <c r="C2430" s="1277"/>
      <c r="D2430" s="1324"/>
      <c r="E2430" s="787"/>
      <c r="F2430" s="793"/>
      <c r="G2430" s="659"/>
      <c r="H2430" s="886"/>
      <c r="I2430" s="1175"/>
    </row>
    <row r="2431" spans="1:9" ht="18.75">
      <c r="A2431" s="235"/>
      <c r="B2431" s="318"/>
      <c r="C2431" s="1290"/>
      <c r="D2431" s="1489"/>
      <c r="E2431" s="787"/>
      <c r="F2431" s="793"/>
      <c r="G2431" s="659"/>
      <c r="H2431" s="886"/>
      <c r="I2431" s="1175"/>
    </row>
    <row r="2432" spans="1:9" ht="18.75">
      <c r="A2432" s="235"/>
      <c r="B2432" s="894"/>
      <c r="C2432" s="163"/>
      <c r="D2432" s="266"/>
      <c r="E2432" s="787"/>
      <c r="F2432" s="793"/>
      <c r="G2432" s="659"/>
      <c r="H2432" s="886"/>
      <c r="I2432" s="1175"/>
    </row>
    <row r="2433" spans="1:9" ht="18.75">
      <c r="A2433" s="1267"/>
      <c r="B2433" s="1499"/>
      <c r="C2433" s="272"/>
      <c r="D2433" s="266"/>
      <c r="E2433" s="787"/>
      <c r="F2433" s="793"/>
      <c r="G2433" s="659"/>
      <c r="H2433" s="886"/>
      <c r="I2433" s="1175"/>
    </row>
    <row r="2434" spans="1:9" ht="18.75">
      <c r="A2434" s="163"/>
      <c r="B2434" s="318"/>
      <c r="C2434" s="163"/>
      <c r="D2434" s="1500"/>
      <c r="E2434" s="787"/>
      <c r="F2434" s="793"/>
      <c r="G2434" s="659"/>
      <c r="H2434" s="886"/>
      <c r="I2434" s="1175"/>
    </row>
    <row r="2435" spans="1:9" ht="18.75">
      <c r="A2435" s="235"/>
      <c r="B2435" s="318"/>
      <c r="C2435" s="1277"/>
      <c r="D2435" s="1231"/>
      <c r="E2435" s="787"/>
      <c r="F2435" s="793"/>
      <c r="G2435" s="659"/>
      <c r="H2435" s="886"/>
      <c r="I2435" s="1175"/>
    </row>
    <row r="2436" spans="1:9" ht="18.75">
      <c r="A2436" s="235"/>
      <c r="B2436" s="1501"/>
      <c r="C2436" s="1277"/>
      <c r="D2436" s="1453"/>
      <c r="E2436" s="787"/>
      <c r="F2436" s="793"/>
      <c r="G2436" s="659"/>
      <c r="H2436" s="886"/>
      <c r="I2436" s="1175"/>
    </row>
    <row r="2437" spans="1:9" ht="18.75">
      <c r="A2437" s="235"/>
      <c r="B2437" s="658"/>
      <c r="C2437" s="1224"/>
      <c r="D2437" s="794"/>
      <c r="E2437" s="787"/>
      <c r="F2437" s="793"/>
      <c r="G2437" s="659"/>
      <c r="H2437" s="886"/>
      <c r="I2437" s="1175"/>
    </row>
    <row r="2438" spans="1:9" ht="20.25">
      <c r="A2438" s="163"/>
      <c r="B2438" s="318"/>
      <c r="C2438" s="792"/>
      <c r="D2438" s="262"/>
      <c r="E2438" s="947"/>
      <c r="F2438" s="948">
        <f>SUM(F2424:F2437)</f>
        <v>0</v>
      </c>
      <c r="G2438" s="949"/>
      <c r="H2438" s="950">
        <f>SUM(H2424:H2437)</f>
        <v>0</v>
      </c>
      <c r="I2438" s="1172"/>
    </row>
    <row r="2439" spans="1:9" ht="26.25">
      <c r="A2439" s="1645"/>
      <c r="B2439" s="1645"/>
      <c r="C2439" s="1645"/>
      <c r="D2439" s="1645"/>
      <c r="E2439" s="1645"/>
      <c r="F2439" s="1645"/>
      <c r="G2439" s="1645"/>
      <c r="H2439" s="1645"/>
    </row>
    <row r="2440" spans="1:9" ht="26.25">
      <c r="A2440" s="797"/>
      <c r="B2440" s="797"/>
      <c r="C2440" s="797"/>
      <c r="D2440" s="797"/>
      <c r="E2440" s="797"/>
      <c r="F2440" s="797"/>
      <c r="G2440" s="797"/>
      <c r="H2440" s="797"/>
    </row>
    <row r="2441" spans="1:9" ht="26.25">
      <c r="A2441" s="1640" t="s">
        <v>1636</v>
      </c>
      <c r="B2441" s="1640"/>
      <c r="C2441" s="1640"/>
      <c r="D2441" s="1641"/>
      <c r="E2441" s="1641"/>
      <c r="F2441" s="1640"/>
      <c r="G2441" s="1640"/>
      <c r="H2441" s="1642"/>
      <c r="I2441" s="1172"/>
    </row>
    <row r="2442" spans="1:9" ht="30.75">
      <c r="A2442" s="45" t="s">
        <v>1463</v>
      </c>
      <c r="B2442" s="646" t="s">
        <v>1497</v>
      </c>
      <c r="C2442" s="1300" t="s">
        <v>1465</v>
      </c>
      <c r="D2442" s="880" t="s">
        <v>5</v>
      </c>
      <c r="E2442" s="879" t="s">
        <v>1466</v>
      </c>
      <c r="F2442" s="881" t="s">
        <v>1467</v>
      </c>
      <c r="G2442" s="48" t="s">
        <v>7</v>
      </c>
      <c r="H2442" s="62" t="s">
        <v>1468</v>
      </c>
      <c r="I2442" s="1173" t="s">
        <v>1624</v>
      </c>
    </row>
    <row r="2443" spans="1:9" ht="18.75">
      <c r="A2443" s="1122" t="s">
        <v>625</v>
      </c>
      <c r="B2443" s="363">
        <v>0.1</v>
      </c>
      <c r="C2443" s="1177">
        <v>12</v>
      </c>
      <c r="D2443" s="1468" t="s">
        <v>1932</v>
      </c>
      <c r="E2443" s="827"/>
      <c r="F2443" s="836"/>
      <c r="G2443" s="1079"/>
      <c r="H2443" s="1178"/>
      <c r="I2443" s="1175"/>
    </row>
    <row r="2444" spans="1:9" ht="18.75">
      <c r="A2444" s="1122" t="s">
        <v>625</v>
      </c>
      <c r="B2444" s="1475">
        <v>0.08</v>
      </c>
      <c r="C2444" s="1177">
        <v>12</v>
      </c>
      <c r="D2444" s="1348" t="s">
        <v>1450</v>
      </c>
      <c r="E2444" s="827"/>
      <c r="F2444" s="836"/>
      <c r="G2444" s="1079"/>
      <c r="H2444" s="1178"/>
      <c r="I2444" s="1175"/>
    </row>
    <row r="2445" spans="1:9" ht="18.75">
      <c r="A2445" s="235"/>
      <c r="B2445" s="318"/>
      <c r="C2445" s="1131"/>
      <c r="D2445" s="794"/>
      <c r="E2445" s="720"/>
      <c r="F2445" s="793"/>
      <c r="G2445" s="659"/>
      <c r="H2445" s="886"/>
      <c r="I2445" s="1175"/>
    </row>
    <row r="2446" spans="1:9" ht="18.75">
      <c r="A2446" s="235"/>
      <c r="B2446" s="318"/>
      <c r="C2446" s="1131"/>
      <c r="D2446" s="794"/>
      <c r="E2446" s="720"/>
      <c r="F2446" s="793"/>
      <c r="G2446" s="659"/>
      <c r="H2446" s="886"/>
      <c r="I2446" s="1175"/>
    </row>
    <row r="2447" spans="1:9" ht="18.75">
      <c r="A2447" s="235"/>
      <c r="B2447" s="318"/>
      <c r="C2447" s="1131"/>
      <c r="D2447" s="794"/>
      <c r="E2447" s="720"/>
      <c r="F2447" s="793"/>
      <c r="G2447" s="659"/>
      <c r="H2447" s="886"/>
      <c r="I2447" s="1175"/>
    </row>
    <row r="2448" spans="1:9" ht="18.75">
      <c r="A2448" s="209" t="s">
        <v>538</v>
      </c>
      <c r="B2448" s="267"/>
      <c r="C2448" s="1225"/>
      <c r="D2448" s="1382" t="s">
        <v>1458</v>
      </c>
      <c r="E2448" s="567" t="s">
        <v>538</v>
      </c>
      <c r="F2448" s="889"/>
      <c r="G2448" s="348"/>
      <c r="H2448" s="885"/>
      <c r="I2448" s="1175"/>
    </row>
    <row r="2449" spans="1:9" ht="18.75">
      <c r="A2449" s="209" t="s">
        <v>297</v>
      </c>
      <c r="B2449" s="267"/>
      <c r="C2449" s="1225"/>
      <c r="D2449" s="819" t="s">
        <v>1456</v>
      </c>
      <c r="E2449" s="567" t="s">
        <v>1933</v>
      </c>
      <c r="F2449" s="889"/>
      <c r="G2449" s="348"/>
      <c r="H2449" s="885"/>
      <c r="I2449" s="1175"/>
    </row>
    <row r="2450" spans="1:9" ht="18.75">
      <c r="A2450" s="235"/>
      <c r="B2450" s="318"/>
      <c r="C2450" s="1131"/>
      <c r="D2450" s="794"/>
      <c r="E2450" s="720"/>
      <c r="F2450" s="793"/>
      <c r="G2450" s="659"/>
      <c r="H2450" s="886"/>
      <c r="I2450" s="1175"/>
    </row>
    <row r="2451" spans="1:9" ht="18.75">
      <c r="A2451" s="235"/>
      <c r="B2451" s="318"/>
      <c r="C2451" s="1131"/>
      <c r="D2451" s="1231"/>
      <c r="E2451" s="720"/>
      <c r="F2451" s="793"/>
      <c r="G2451" s="659"/>
      <c r="H2451" s="886"/>
      <c r="I2451" s="1175"/>
    </row>
    <row r="2452" spans="1:9" ht="18.75">
      <c r="A2452" s="235"/>
      <c r="B2452" s="318"/>
      <c r="C2452" s="1131"/>
      <c r="D2452" s="1231"/>
      <c r="E2452" s="720"/>
      <c r="F2452" s="793"/>
      <c r="G2452" s="659"/>
      <c r="H2452" s="886"/>
      <c r="I2452" s="1175"/>
    </row>
    <row r="2453" spans="1:9" ht="18.75">
      <c r="A2453" s="235"/>
      <c r="B2453" s="318"/>
      <c r="C2453" s="1131"/>
      <c r="D2453" s="1231"/>
      <c r="E2453" s="720"/>
      <c r="F2453" s="793"/>
      <c r="G2453" s="659"/>
      <c r="H2453" s="886"/>
      <c r="I2453" s="1175"/>
    </row>
    <row r="2454" spans="1:9" ht="18.75">
      <c r="A2454" s="235"/>
      <c r="B2454" s="318"/>
      <c r="C2454" s="1131"/>
      <c r="D2454" s="794"/>
      <c r="E2454" s="720"/>
      <c r="F2454" s="793"/>
      <c r="G2454" s="659"/>
      <c r="H2454" s="886"/>
      <c r="I2454" s="1175"/>
    </row>
    <row r="2455" spans="1:9" ht="18.75">
      <c r="A2455" s="235"/>
      <c r="B2455" s="318"/>
      <c r="C2455" s="1131"/>
      <c r="D2455" s="794"/>
      <c r="E2455" s="720"/>
      <c r="F2455" s="793"/>
      <c r="G2455" s="659"/>
      <c r="H2455" s="886"/>
      <c r="I2455" s="1175"/>
    </row>
    <row r="2456" spans="1:9" ht="18.75">
      <c r="A2456" s="235"/>
      <c r="B2456" s="318"/>
      <c r="C2456" s="1131"/>
      <c r="D2456" s="1231"/>
      <c r="E2456" s="720"/>
      <c r="F2456" s="793"/>
      <c r="G2456" s="659"/>
      <c r="H2456" s="886"/>
      <c r="I2456" s="1175"/>
    </row>
    <row r="2457" spans="1:9" ht="18.75">
      <c r="A2457" s="235"/>
      <c r="B2457" s="658"/>
      <c r="C2457" s="1131"/>
      <c r="D2457" s="794"/>
      <c r="E2457" s="720"/>
      <c r="F2457" s="793"/>
      <c r="G2457" s="659"/>
      <c r="H2457" s="886"/>
      <c r="I2457" s="1175"/>
    </row>
    <row r="2458" spans="1:9" ht="18.75">
      <c r="A2458" s="235"/>
      <c r="B2458" s="318"/>
      <c r="C2458" s="1131"/>
      <c r="D2458" s="794"/>
      <c r="E2458" s="720"/>
      <c r="F2458" s="793"/>
      <c r="G2458" s="659"/>
      <c r="H2458" s="886"/>
      <c r="I2458" s="1175"/>
    </row>
    <row r="2459" spans="1:9" ht="18.75">
      <c r="A2459" s="235"/>
      <c r="B2459" s="658"/>
      <c r="C2459" s="1131"/>
      <c r="D2459" s="1231"/>
      <c r="E2459" s="1434"/>
      <c r="F2459" s="793"/>
      <c r="G2459" s="659"/>
      <c r="H2459" s="886"/>
      <c r="I2459" s="1175"/>
    </row>
    <row r="2460" spans="1:9" ht="20.25">
      <c r="A2460" s="163"/>
      <c r="B2460" s="318"/>
      <c r="C2460" s="1131"/>
      <c r="D2460" s="266"/>
      <c r="E2460" s="947"/>
      <c r="F2460" s="948">
        <f>SUM(F2443:F2459)</f>
        <v>0</v>
      </c>
      <c r="G2460" s="1088"/>
      <c r="H2460" s="950">
        <f>SUM(H2443:H2458)</f>
        <v>0</v>
      </c>
      <c r="I2460" s="1172"/>
    </row>
    <row r="2461" spans="1:9" ht="18.75">
      <c r="A2461" s="1646"/>
      <c r="B2461" s="1646"/>
      <c r="C2461" s="1646"/>
      <c r="D2461" s="1646"/>
      <c r="E2461" s="1646"/>
      <c r="F2461" s="1646"/>
      <c r="G2461" s="1646"/>
      <c r="H2461" s="1646"/>
    </row>
    <row r="2462" spans="1:9" ht="18.75">
      <c r="A2462" s="1647"/>
      <c r="B2462" s="1647"/>
      <c r="C2462" s="1647"/>
      <c r="D2462" s="1647"/>
      <c r="E2462" s="1647"/>
      <c r="F2462" s="1647"/>
      <c r="G2462" s="1647"/>
      <c r="H2462" s="1647"/>
    </row>
    <row r="2463" spans="1:9" ht="26.25">
      <c r="A2463" s="1640" t="s">
        <v>1934</v>
      </c>
      <c r="B2463" s="1640"/>
      <c r="C2463" s="1640"/>
      <c r="D2463" s="1641"/>
      <c r="E2463" s="1640"/>
      <c r="F2463" s="1640"/>
      <c r="G2463" s="1640"/>
      <c r="H2463" s="1642"/>
      <c r="I2463" s="1172"/>
    </row>
    <row r="2464" spans="1:9" ht="30.75">
      <c r="A2464" s="45" t="s">
        <v>1463</v>
      </c>
      <c r="B2464" s="646" t="s">
        <v>1497</v>
      </c>
      <c r="C2464" s="1300" t="s">
        <v>1465</v>
      </c>
      <c r="D2464" s="87" t="s">
        <v>5</v>
      </c>
      <c r="E2464" s="732" t="s">
        <v>1466</v>
      </c>
      <c r="F2464" s="48" t="s">
        <v>1467</v>
      </c>
      <c r="G2464" s="48" t="s">
        <v>7</v>
      </c>
      <c r="H2464" s="62" t="s">
        <v>1468</v>
      </c>
      <c r="I2464" s="1173" t="s">
        <v>1624</v>
      </c>
    </row>
    <row r="2465" spans="1:9" ht="18.75">
      <c r="A2465" s="1509" t="s">
        <v>625</v>
      </c>
      <c r="B2465" s="1507">
        <v>0.1</v>
      </c>
      <c r="C2465" s="1177">
        <v>12</v>
      </c>
      <c r="D2465" s="1468" t="s">
        <v>1935</v>
      </c>
      <c r="E2465" s="827"/>
      <c r="F2465" s="836"/>
      <c r="G2465" s="1079"/>
      <c r="H2465" s="1178"/>
      <c r="I2465" s="1447"/>
    </row>
    <row r="2466" spans="1:9" ht="18.75">
      <c r="A2466" s="1509" t="s">
        <v>1448</v>
      </c>
      <c r="B2466" s="1511"/>
      <c r="C2466" s="1510"/>
      <c r="D2466" s="1513" t="s">
        <v>1452</v>
      </c>
      <c r="E2466" s="827"/>
      <c r="F2466" s="836"/>
      <c r="G2466" s="1505"/>
      <c r="H2466" s="1506"/>
      <c r="I2466" s="1447"/>
    </row>
    <row r="2467" spans="1:9" ht="18.75">
      <c r="A2467" s="1122" t="s">
        <v>625</v>
      </c>
      <c r="B2467" s="1512"/>
      <c r="C2467" s="1510"/>
      <c r="D2467" s="1513" t="s">
        <v>1936</v>
      </c>
      <c r="E2467" s="827"/>
      <c r="F2467" s="836"/>
      <c r="G2467" s="1505"/>
      <c r="H2467" s="1506"/>
      <c r="I2467" s="1447"/>
    </row>
    <row r="2468" spans="1:9" ht="18.75">
      <c r="A2468" s="1122" t="s">
        <v>1448</v>
      </c>
      <c r="B2468" s="363"/>
      <c r="C2468" s="1177"/>
      <c r="D2468" s="1348" t="s">
        <v>1459</v>
      </c>
      <c r="E2468" s="827"/>
      <c r="F2468" s="836"/>
      <c r="G2468" s="1516"/>
      <c r="H2468" s="1517"/>
      <c r="I2468" s="1447"/>
    </row>
    <row r="2469" spans="1:9" ht="18.75">
      <c r="A2469" s="235"/>
      <c r="B2469" s="318"/>
      <c r="C2469" s="1131"/>
      <c r="D2469" s="794"/>
      <c r="E2469" s="720"/>
      <c r="F2469" s="793"/>
      <c r="G2469" s="1276"/>
      <c r="H2469" s="329"/>
      <c r="I2469" s="1447"/>
    </row>
    <row r="2470" spans="1:9" ht="18.75">
      <c r="A2470" s="235"/>
      <c r="B2470" s="318"/>
      <c r="C2470" s="1131"/>
      <c r="D2470" s="794"/>
      <c r="E2470" s="720"/>
      <c r="F2470" s="793"/>
      <c r="G2470" s="162"/>
      <c r="H2470" s="884"/>
      <c r="I2470" s="1175"/>
    </row>
    <row r="2471" spans="1:9" ht="18.75">
      <c r="A2471" s="235"/>
      <c r="B2471" s="658"/>
      <c r="C2471" s="1131"/>
      <c r="D2471" s="1231"/>
      <c r="E2471" s="720"/>
      <c r="F2471" s="793"/>
      <c r="G2471" s="162"/>
      <c r="H2471" s="884"/>
      <c r="I2471" s="1175"/>
    </row>
    <row r="2472" spans="1:9" ht="18.75">
      <c r="A2472" s="209" t="s">
        <v>297</v>
      </c>
      <c r="B2472" s="267"/>
      <c r="C2472" s="1225"/>
      <c r="D2472" s="1255" t="s">
        <v>1937</v>
      </c>
      <c r="E2472" s="567" t="s">
        <v>1938</v>
      </c>
      <c r="F2472" s="889"/>
      <c r="G2472" s="348"/>
      <c r="H2472" s="885"/>
      <c r="I2472" s="1175"/>
    </row>
    <row r="2473" spans="1:9" ht="18.75">
      <c r="A2473" s="235"/>
      <c r="B2473" s="658"/>
      <c r="C2473" s="1131"/>
      <c r="D2473" s="1231"/>
      <c r="E2473" s="720"/>
      <c r="F2473" s="793"/>
      <c r="G2473" s="659"/>
      <c r="H2473" s="886"/>
      <c r="I2473" s="1175"/>
    </row>
    <row r="2474" spans="1:9" ht="18.75">
      <c r="A2474" s="235"/>
      <c r="B2474" s="318"/>
      <c r="C2474" s="1131"/>
      <c r="D2474" s="1231"/>
      <c r="E2474" s="720"/>
      <c r="F2474" s="793"/>
      <c r="G2474" s="659"/>
      <c r="H2474" s="886"/>
      <c r="I2474" s="1175"/>
    </row>
    <row r="2475" spans="1:9" ht="18.75">
      <c r="A2475" s="235"/>
      <c r="B2475" s="318"/>
      <c r="C2475" s="1131"/>
      <c r="D2475" s="1231"/>
      <c r="E2475" s="720"/>
      <c r="F2475" s="793"/>
      <c r="G2475" s="659"/>
      <c r="H2475" s="886"/>
      <c r="I2475" s="1175"/>
    </row>
    <row r="2476" spans="1:9" ht="18.75">
      <c r="A2476" s="235"/>
      <c r="B2476" s="318"/>
      <c r="C2476" s="1131"/>
      <c r="D2476" s="1231"/>
      <c r="E2476" s="720"/>
      <c r="F2476" s="793"/>
      <c r="G2476" s="659"/>
      <c r="H2476" s="886"/>
      <c r="I2476" s="1175"/>
    </row>
    <row r="2477" spans="1:9" ht="18.75">
      <c r="A2477" s="235"/>
      <c r="B2477" s="658"/>
      <c r="C2477" s="1131"/>
      <c r="D2477" s="1383"/>
      <c r="E2477" s="720"/>
      <c r="F2477" s="793"/>
      <c r="G2477" s="659"/>
      <c r="H2477" s="886"/>
      <c r="I2477" s="1175"/>
    </row>
    <row r="2478" spans="1:9" ht="18.75">
      <c r="A2478" s="235"/>
      <c r="B2478" s="318"/>
      <c r="C2478" s="1131"/>
      <c r="D2478" s="1231"/>
      <c r="E2478" s="720"/>
      <c r="F2478" s="793"/>
      <c r="G2478" s="162"/>
      <c r="H2478" s="884"/>
      <c r="I2478" s="1175"/>
    </row>
    <row r="2479" spans="1:9" ht="20.25">
      <c r="A2479" s="163"/>
      <c r="B2479" s="318"/>
      <c r="C2479" s="1131"/>
      <c r="D2479" s="266"/>
      <c r="E2479" s="947"/>
      <c r="F2479" s="948">
        <f>SUM(F2465:F2478)</f>
        <v>0</v>
      </c>
      <c r="G2479" s="1088"/>
      <c r="H2479" s="950">
        <f>SUM(H2465:H2478)</f>
        <v>0</v>
      </c>
      <c r="I2479" s="1172"/>
    </row>
    <row r="2480" spans="1:9" ht="20.25">
      <c r="A2480" s="1290"/>
      <c r="B2480" s="1291"/>
      <c r="C2480" s="1292"/>
      <c r="D2480" s="1293"/>
      <c r="E2480" s="1294"/>
      <c r="F2480" s="1297"/>
      <c r="G2480" s="1330"/>
      <c r="H2480" s="1331"/>
    </row>
    <row r="2481" spans="1:8" ht="20.25">
      <c r="A2481" s="1290"/>
      <c r="B2481" s="1291"/>
      <c r="C2481" s="1292"/>
      <c r="D2481" s="1293"/>
      <c r="E2481" s="1294"/>
      <c r="F2481" s="1297"/>
      <c r="G2481" s="1330"/>
      <c r="H2481" s="1331"/>
    </row>
    <row r="2482" spans="1:8" ht="26.25">
      <c r="A2482" s="1640" t="s">
        <v>1639</v>
      </c>
      <c r="B2482" s="1640"/>
      <c r="C2482" s="1641"/>
      <c r="D2482" s="1640"/>
      <c r="E2482" s="1640"/>
      <c r="F2482" s="1640"/>
      <c r="G2482" s="1640"/>
      <c r="H2482" s="1640"/>
    </row>
    <row r="2483" spans="1:8" ht="30.75">
      <c r="A2483" s="45"/>
      <c r="B2483" s="646" t="s">
        <v>1497</v>
      </c>
      <c r="C2483" s="132" t="s">
        <v>1465</v>
      </c>
      <c r="D2483" s="647" t="s">
        <v>5</v>
      </c>
      <c r="E2483" s="47" t="s">
        <v>1466</v>
      </c>
      <c r="F2483" s="48" t="s">
        <v>1467</v>
      </c>
      <c r="G2483" s="48" t="s">
        <v>7</v>
      </c>
      <c r="H2483" s="48" t="s">
        <v>1468</v>
      </c>
    </row>
    <row r="2484" spans="1:8" ht="18.75">
      <c r="A2484" s="235"/>
      <c r="B2484" s="658"/>
      <c r="C2484" s="792"/>
      <c r="D2484" s="262"/>
      <c r="E2484" s="720"/>
      <c r="F2484" s="793"/>
      <c r="G2484" s="162"/>
      <c r="H2484" s="550"/>
    </row>
    <row r="2485" spans="1:8" ht="18.75">
      <c r="A2485" s="235"/>
      <c r="B2485" s="658"/>
      <c r="C2485" s="1131"/>
      <c r="D2485" s="1240"/>
      <c r="E2485" s="720"/>
      <c r="F2485" s="793"/>
      <c r="G2485" s="162"/>
      <c r="H2485" s="550"/>
    </row>
    <row r="2486" spans="1:8" ht="18.75">
      <c r="A2486" s="235"/>
      <c r="B2486" s="658"/>
      <c r="C2486" s="1131"/>
      <c r="D2486" s="266"/>
      <c r="E2486" s="720"/>
      <c r="F2486" s="793"/>
      <c r="G2486" s="788"/>
      <c r="H2486" s="550"/>
    </row>
    <row r="2487" spans="1:8" ht="18.75">
      <c r="A2487" s="235"/>
      <c r="B2487" s="318"/>
      <c r="C2487" s="1131"/>
      <c r="D2487" s="165"/>
      <c r="E2487" s="720"/>
      <c r="F2487" s="793"/>
      <c r="G2487" s="162"/>
      <c r="H2487" s="550"/>
    </row>
    <row r="2488" spans="1:8" ht="18.75">
      <c r="A2488" s="235"/>
      <c r="B2488" s="318"/>
      <c r="C2488" s="1131"/>
      <c r="D2488" s="266"/>
      <c r="E2488" s="720"/>
      <c r="F2488" s="793"/>
      <c r="G2488" s="162"/>
      <c r="H2488" s="550"/>
    </row>
    <row r="2489" spans="1:8" ht="18.75">
      <c r="A2489" s="235"/>
      <c r="B2489" s="318"/>
      <c r="C2489" s="1131"/>
      <c r="D2489" s="1269"/>
      <c r="E2489" s="720"/>
      <c r="F2489" s="793"/>
      <c r="G2489" s="162"/>
      <c r="H2489" s="550"/>
    </row>
    <row r="2490" spans="1:8" ht="18.75">
      <c r="A2490" s="235"/>
      <c r="B2490" s="658"/>
      <c r="C2490" s="1131"/>
      <c r="D2490" s="165"/>
      <c r="E2490" s="720"/>
      <c r="F2490" s="793"/>
      <c r="G2490" s="788"/>
      <c r="H2490" s="550"/>
    </row>
    <row r="2491" spans="1:8" ht="18.75">
      <c r="A2491" s="235"/>
      <c r="B2491" s="318"/>
      <c r="C2491" s="1131"/>
      <c r="D2491" s="1269"/>
      <c r="E2491" s="720"/>
      <c r="F2491" s="793"/>
      <c r="G2491" s="183"/>
      <c r="H2491" s="550"/>
    </row>
    <row r="2492" spans="1:8" ht="18.75">
      <c r="A2492" s="235"/>
      <c r="B2492" s="318"/>
      <c r="C2492" s="1131"/>
      <c r="D2492" s="1269"/>
      <c r="E2492" s="720"/>
      <c r="F2492" s="793"/>
      <c r="G2492" s="183"/>
      <c r="H2492" s="550"/>
    </row>
    <row r="2493" spans="1:8" ht="18.75">
      <c r="A2493" s="235"/>
      <c r="B2493" s="318"/>
      <c r="C2493" s="1131"/>
      <c r="D2493" s="1269"/>
      <c r="E2493" s="720"/>
      <c r="F2493" s="793"/>
      <c r="G2493" s="183"/>
      <c r="H2493" s="550"/>
    </row>
    <row r="2494" spans="1:8" ht="18.75">
      <c r="A2494" s="235"/>
      <c r="B2494" s="318"/>
      <c r="C2494" s="1131"/>
      <c r="D2494" s="1269"/>
      <c r="E2494" s="720"/>
      <c r="F2494" s="793"/>
      <c r="G2494" s="183"/>
      <c r="H2494" s="550"/>
    </row>
    <row r="2495" spans="1:8" ht="18.75">
      <c r="A2495" s="235"/>
      <c r="B2495" s="318"/>
      <c r="C2495" s="1131"/>
      <c r="D2495" s="1269"/>
      <c r="E2495" s="720"/>
      <c r="F2495" s="793"/>
      <c r="G2495" s="183"/>
      <c r="H2495" s="550"/>
    </row>
    <row r="2496" spans="1:8" ht="18.75">
      <c r="A2496" s="235"/>
      <c r="B2496" s="318"/>
      <c r="C2496" s="1131"/>
      <c r="D2496" s="1269"/>
      <c r="E2496" s="720"/>
      <c r="F2496" s="793"/>
      <c r="G2496" s="183"/>
      <c r="H2496" s="550"/>
    </row>
    <row r="2497" spans="1:8" ht="18.75">
      <c r="A2497" s="235"/>
      <c r="B2497" s="318"/>
      <c r="C2497" s="1131"/>
      <c r="D2497" s="1269"/>
      <c r="E2497" s="720"/>
      <c r="F2497" s="793"/>
      <c r="G2497" s="183"/>
      <c r="H2497" s="550"/>
    </row>
    <row r="2498" spans="1:8" ht="18.75">
      <c r="A2498" s="235"/>
      <c r="B2498" s="318"/>
      <c r="C2498" s="1131"/>
      <c r="D2498" s="1269"/>
      <c r="E2498" s="720"/>
      <c r="F2498" s="793"/>
      <c r="G2498" s="183"/>
      <c r="H2498" s="550"/>
    </row>
    <row r="2499" spans="1:8" ht="18.75">
      <c r="A2499" s="235"/>
      <c r="B2499" s="318"/>
      <c r="C2499" s="1131"/>
      <c r="D2499" s="1269"/>
      <c r="E2499" s="720"/>
      <c r="F2499" s="793"/>
      <c r="G2499" s="183"/>
      <c r="H2499" s="550"/>
    </row>
    <row r="2500" spans="1:8" ht="18.75">
      <c r="A2500" s="235"/>
      <c r="B2500" s="318"/>
      <c r="C2500" s="1131"/>
      <c r="D2500" s="1269"/>
      <c r="E2500" s="720"/>
      <c r="F2500" s="793"/>
      <c r="G2500" s="183"/>
      <c r="H2500" s="550"/>
    </row>
    <row r="2501" spans="1:8" ht="18.75">
      <c r="A2501" s="235"/>
      <c r="B2501" s="318"/>
      <c r="C2501" s="1131"/>
      <c r="D2501" s="1269"/>
      <c r="E2501" s="720"/>
      <c r="F2501" s="793"/>
      <c r="G2501" s="183"/>
      <c r="H2501" s="550"/>
    </row>
    <row r="2502" spans="1:8" ht="18.75">
      <c r="A2502" s="235"/>
      <c r="B2502" s="318"/>
      <c r="C2502" s="1131"/>
      <c r="D2502" s="1269"/>
      <c r="E2502" s="720"/>
      <c r="F2502" s="793"/>
      <c r="G2502" s="183"/>
      <c r="H2502" s="550"/>
    </row>
    <row r="2503" spans="1:8" ht="18.75">
      <c r="A2503" s="235"/>
      <c r="B2503" s="318"/>
      <c r="C2503" s="1131"/>
      <c r="D2503" s="1269"/>
      <c r="E2503" s="720"/>
      <c r="F2503" s="793"/>
      <c r="G2503" s="183"/>
      <c r="H2503" s="550"/>
    </row>
    <row r="2504" spans="1:8" ht="18.75">
      <c r="A2504" s="235"/>
      <c r="B2504" s="318"/>
      <c r="C2504" s="1131"/>
      <c r="D2504" s="1269"/>
      <c r="E2504" s="720"/>
      <c r="F2504" s="793"/>
      <c r="G2504" s="183"/>
      <c r="H2504" s="550"/>
    </row>
    <row r="2505" spans="1:8" ht="18.75">
      <c r="A2505" s="235"/>
      <c r="B2505" s="318"/>
      <c r="C2505" s="1131"/>
      <c r="D2505" s="1269"/>
      <c r="E2505" s="720"/>
      <c r="F2505" s="793"/>
      <c r="G2505" s="183"/>
      <c r="H2505" s="550"/>
    </row>
    <row r="2506" spans="1:8" ht="18.75">
      <c r="A2506" s="235"/>
      <c r="B2506" s="318"/>
      <c r="C2506" s="1131"/>
      <c r="D2506" s="1269"/>
      <c r="E2506" s="720"/>
      <c r="F2506" s="793"/>
      <c r="G2506" s="183"/>
      <c r="H2506" s="550"/>
    </row>
    <row r="2507" spans="1:8" ht="18.75">
      <c r="A2507" s="235"/>
      <c r="B2507" s="318"/>
      <c r="C2507" s="1131"/>
      <c r="D2507" s="1269"/>
      <c r="E2507" s="720"/>
      <c r="F2507" s="793"/>
      <c r="G2507" s="183"/>
      <c r="H2507" s="550"/>
    </row>
    <row r="2508" spans="1:8" ht="18.75">
      <c r="A2508" s="235"/>
      <c r="B2508" s="318"/>
      <c r="C2508" s="1131"/>
      <c r="D2508" s="1269"/>
      <c r="E2508" s="720"/>
      <c r="F2508" s="793"/>
      <c r="G2508" s="183"/>
      <c r="H2508" s="550"/>
    </row>
    <row r="2509" spans="1:8" ht="18.75">
      <c r="A2509" s="235"/>
      <c r="B2509" s="318"/>
      <c r="C2509" s="1131"/>
      <c r="D2509" s="1269"/>
      <c r="E2509" s="720"/>
      <c r="F2509" s="793"/>
      <c r="G2509" s="183"/>
      <c r="H2509" s="550"/>
    </row>
    <row r="2510" spans="1:8" ht="18.75">
      <c r="A2510" s="235"/>
      <c r="B2510" s="318"/>
      <c r="C2510" s="1131"/>
      <c r="D2510" s="1269"/>
      <c r="E2510" s="720"/>
      <c r="F2510" s="793"/>
      <c r="G2510" s="183"/>
      <c r="H2510" s="550"/>
    </row>
    <row r="2511" spans="1:8" ht="18.75">
      <c r="A2511" s="235"/>
      <c r="B2511" s="318"/>
      <c r="C2511" s="1131"/>
      <c r="D2511" s="1269"/>
      <c r="E2511" s="720"/>
      <c r="F2511" s="793"/>
      <c r="G2511" s="183"/>
      <c r="H2511" s="550"/>
    </row>
    <row r="2512" spans="1:8" ht="18.75">
      <c r="A2512" s="235"/>
      <c r="B2512" s="318"/>
      <c r="C2512" s="1131"/>
      <c r="D2512" s="1269"/>
      <c r="E2512" s="720"/>
      <c r="F2512" s="793"/>
      <c r="G2512" s="183"/>
      <c r="H2512" s="550"/>
    </row>
    <row r="2513" spans="1:8" ht="18.75">
      <c r="A2513" s="235"/>
      <c r="B2513" s="318"/>
      <c r="C2513" s="1131"/>
      <c r="D2513" s="1269"/>
      <c r="E2513" s="720"/>
      <c r="F2513" s="793"/>
      <c r="G2513" s="183"/>
      <c r="H2513" s="550"/>
    </row>
    <row r="2514" spans="1:8" ht="18.75">
      <c r="A2514" s="235"/>
      <c r="B2514" s="318"/>
      <c r="C2514" s="792"/>
      <c r="D2514" s="266"/>
      <c r="E2514" s="1128"/>
      <c r="F2514" s="793"/>
      <c r="G2514" s="1276"/>
      <c r="H2514" s="550"/>
    </row>
    <row r="2515" spans="1:8" ht="18.75">
      <c r="A2515" s="235"/>
      <c r="B2515" s="318"/>
      <c r="C2515" s="792"/>
      <c r="D2515" s="266"/>
      <c r="E2515" s="1128"/>
      <c r="F2515" s="793"/>
      <c r="G2515" s="1276"/>
      <c r="H2515" s="550"/>
    </row>
    <row r="2516" spans="1:8" ht="18.75">
      <c r="A2516" s="235"/>
      <c r="B2516" s="318"/>
      <c r="C2516" s="792"/>
      <c r="D2516" s="266"/>
      <c r="E2516" s="1128"/>
      <c r="F2516" s="793"/>
      <c r="G2516" s="1276"/>
      <c r="H2516" s="550"/>
    </row>
    <row r="2517" spans="1:8" ht="18.75">
      <c r="A2517" s="235"/>
      <c r="B2517" s="318"/>
      <c r="C2517" s="792"/>
      <c r="D2517" s="266"/>
      <c r="E2517" s="1128"/>
      <c r="F2517" s="793"/>
      <c r="G2517" s="1276"/>
      <c r="H2517" s="550"/>
    </row>
    <row r="2518" spans="1:8" ht="18.75">
      <c r="A2518" s="235"/>
      <c r="B2518" s="318"/>
      <c r="C2518" s="792"/>
      <c r="D2518" s="165"/>
      <c r="E2518" s="1128"/>
      <c r="F2518" s="793"/>
      <c r="G2518" s="1276"/>
      <c r="H2518" s="550"/>
    </row>
    <row r="2519" spans="1:8" ht="18.75">
      <c r="A2519" s="235"/>
      <c r="B2519" s="318"/>
      <c r="C2519" s="1277"/>
      <c r="D2519" s="794"/>
      <c r="E2519" s="1278"/>
      <c r="F2519" s="793"/>
      <c r="G2519" s="1276"/>
      <c r="H2519" s="550"/>
    </row>
    <row r="2520" spans="1:8" ht="18.75">
      <c r="A2520" s="235"/>
      <c r="B2520" s="318"/>
      <c r="C2520" s="1277"/>
      <c r="D2520" s="165"/>
      <c r="E2520" s="1278"/>
      <c r="F2520" s="793"/>
      <c r="G2520" s="1276"/>
      <c r="H2520" s="550"/>
    </row>
    <row r="2521" spans="1:8" ht="18.75">
      <c r="A2521" s="235"/>
      <c r="B2521" s="318"/>
      <c r="C2521" s="1277"/>
      <c r="D2521" s="794"/>
      <c r="E2521" s="1278"/>
      <c r="F2521" s="793"/>
      <c r="G2521" s="1276"/>
      <c r="H2521" s="550"/>
    </row>
    <row r="2522" spans="1:8" ht="18.75">
      <c r="A2522" s="235"/>
      <c r="B2522" s="318"/>
      <c r="C2522" s="1277"/>
      <c r="D2522" s="165"/>
      <c r="E2522" s="1278"/>
      <c r="F2522" s="793"/>
      <c r="G2522" s="1276"/>
      <c r="H2522" s="550"/>
    </row>
    <row r="2523" spans="1:8" ht="18.75">
      <c r="A2523" s="235"/>
      <c r="B2523" s="318"/>
      <c r="C2523" s="792"/>
      <c r="D2523" s="1279"/>
      <c r="E2523" s="1278"/>
      <c r="F2523" s="793"/>
      <c r="G2523" s="1276"/>
      <c r="H2523" s="550"/>
    </row>
    <row r="2524" spans="1:8" ht="18.75">
      <c r="A2524" s="235"/>
      <c r="B2524" s="318"/>
      <c r="C2524" s="1131"/>
      <c r="D2524" s="1241"/>
      <c r="E2524" s="720"/>
      <c r="F2524" s="793"/>
      <c r="G2524" s="162"/>
      <c r="H2524" s="550"/>
    </row>
    <row r="2525" spans="1:8" ht="18.75">
      <c r="A2525" s="235"/>
      <c r="B2525" s="318"/>
      <c r="C2525" s="1131"/>
      <c r="D2525" s="165"/>
      <c r="E2525" s="720"/>
      <c r="F2525" s="793"/>
      <c r="G2525" s="162"/>
      <c r="H2525" s="550"/>
    </row>
    <row r="2526" spans="1:8" ht="18.75">
      <c r="A2526" s="235"/>
      <c r="B2526" s="318"/>
      <c r="C2526" s="1131"/>
      <c r="D2526" s="266"/>
      <c r="E2526" s="720"/>
      <c r="F2526" s="793"/>
      <c r="G2526" s="162"/>
      <c r="H2526" s="550"/>
    </row>
    <row r="2527" spans="1:8" ht="18.75">
      <c r="A2527" s="235"/>
      <c r="B2527" s="318"/>
      <c r="C2527" s="1131"/>
      <c r="D2527" s="266"/>
      <c r="E2527" s="720"/>
      <c r="F2527" s="793"/>
      <c r="G2527" s="162"/>
      <c r="H2527" s="550"/>
    </row>
    <row r="2528" spans="1:8" ht="18.75">
      <c r="A2528" s="235"/>
      <c r="B2528" s="318"/>
      <c r="C2528" s="1131"/>
      <c r="D2528" s="262"/>
      <c r="E2528" s="720"/>
      <c r="F2528" s="793"/>
      <c r="G2528" s="162"/>
      <c r="H2528" s="550"/>
    </row>
    <row r="2529" spans="1:8" ht="18.75">
      <c r="A2529" s="163"/>
      <c r="B2529" s="318"/>
      <c r="C2529" s="1131"/>
      <c r="D2529" s="266"/>
      <c r="E2529" s="720"/>
      <c r="F2529" s="793"/>
      <c r="G2529" s="162"/>
      <c r="H2529" s="550"/>
    </row>
    <row r="2530" spans="1:8" ht="18.75">
      <c r="A2530" s="235"/>
      <c r="B2530" s="318"/>
      <c r="C2530" s="1131"/>
      <c r="D2530" s="1092"/>
      <c r="E2530" s="720"/>
      <c r="F2530" s="793"/>
      <c r="G2530" s="162"/>
      <c r="H2530" s="550"/>
    </row>
    <row r="2531" spans="1:8" ht="18.75">
      <c r="A2531" s="235"/>
      <c r="B2531" s="318"/>
      <c r="C2531" s="1131"/>
      <c r="D2531" s="266"/>
      <c r="E2531" s="720"/>
      <c r="F2531" s="793"/>
      <c r="G2531" s="162"/>
      <c r="H2531" s="550"/>
    </row>
    <row r="2532" spans="1:8" ht="18.75">
      <c r="A2532" s="235"/>
      <c r="B2532" s="318"/>
      <c r="C2532" s="1131"/>
      <c r="D2532" s="266"/>
      <c r="E2532" s="720"/>
      <c r="F2532" s="793"/>
      <c r="G2532" s="162"/>
      <c r="H2532" s="550"/>
    </row>
    <row r="2533" spans="1:8" ht="18.75">
      <c r="A2533" s="235"/>
      <c r="B2533" s="318"/>
      <c r="C2533" s="1131"/>
      <c r="D2533" s="266"/>
      <c r="E2533" s="720"/>
      <c r="F2533" s="793"/>
      <c r="G2533" s="162"/>
      <c r="H2533" s="550"/>
    </row>
    <row r="2534" spans="1:8" ht="18.75">
      <c r="A2534" s="235"/>
      <c r="B2534" s="318"/>
      <c r="C2534" s="1131"/>
      <c r="D2534" s="266"/>
      <c r="E2534" s="720"/>
      <c r="F2534" s="793"/>
      <c r="G2534" s="162"/>
      <c r="H2534" s="550"/>
    </row>
    <row r="2535" spans="1:8" ht="18.75">
      <c r="A2535" s="235"/>
      <c r="B2535" s="318"/>
      <c r="C2535" s="1131"/>
      <c r="D2535" s="266"/>
      <c r="E2535" s="720"/>
      <c r="F2535" s="793"/>
      <c r="G2535" s="162"/>
      <c r="H2535" s="550"/>
    </row>
    <row r="2536" spans="1:8" ht="18.75">
      <c r="A2536" s="235"/>
      <c r="B2536" s="318"/>
      <c r="C2536" s="1131"/>
      <c r="D2536" s="266"/>
      <c r="E2536" s="720"/>
      <c r="F2536" s="793"/>
      <c r="G2536" s="162"/>
      <c r="H2536" s="550"/>
    </row>
    <row r="2537" spans="1:8" ht="18.75">
      <c r="A2537" s="235"/>
      <c r="B2537" s="318"/>
      <c r="C2537" s="1131"/>
      <c r="D2537" s="266"/>
      <c r="E2537" s="720"/>
      <c r="F2537" s="793"/>
      <c r="G2537" s="162"/>
      <c r="H2537" s="550"/>
    </row>
    <row r="2538" spans="1:8" ht="18.75">
      <c r="A2538" s="163"/>
      <c r="B2538" s="318"/>
      <c r="C2538" s="1131"/>
      <c r="D2538" s="266"/>
      <c r="E2538" s="720"/>
      <c r="F2538" s="793"/>
      <c r="G2538" s="162"/>
      <c r="H2538" s="550"/>
    </row>
    <row r="2539" spans="1:8" ht="18.75">
      <c r="A2539" s="163"/>
      <c r="B2539" s="318"/>
      <c r="C2539" s="1131"/>
      <c r="D2539" s="1241"/>
      <c r="E2539" s="720"/>
      <c r="F2539" s="793"/>
      <c r="G2539" s="162"/>
      <c r="H2539" s="550"/>
    </row>
    <row r="2540" spans="1:8" ht="18.75">
      <c r="A2540" s="163"/>
      <c r="B2540" s="318"/>
      <c r="C2540" s="1131"/>
      <c r="D2540" s="1241"/>
      <c r="E2540" s="720"/>
      <c r="F2540" s="793"/>
      <c r="G2540" s="162"/>
      <c r="H2540" s="550"/>
    </row>
    <row r="2541" spans="1:8" ht="18.75">
      <c r="A2541" s="163"/>
      <c r="B2541" s="318"/>
      <c r="C2541" s="1131"/>
      <c r="D2541" s="1241"/>
      <c r="E2541" s="720"/>
      <c r="F2541" s="793"/>
      <c r="G2541" s="162"/>
      <c r="H2541" s="550"/>
    </row>
    <row r="2542" spans="1:8" ht="18.75">
      <c r="A2542" s="163"/>
      <c r="B2542" s="1214"/>
      <c r="C2542" s="1188"/>
      <c r="D2542" s="262"/>
      <c r="E2542" s="833" t="s">
        <v>80</v>
      </c>
      <c r="F2542" s="834">
        <f>SUM(F2484:F2541)</f>
        <v>0</v>
      </c>
      <c r="G2542" s="162"/>
      <c r="H2542" s="550">
        <f>SUM(H2485:H2531)</f>
        <v>0</v>
      </c>
    </row>
    <row r="2574" ht="18.75"/>
    <row r="2575" ht="18.75"/>
    <row r="2576" ht="18.75"/>
    <row r="2578" ht="18.75"/>
    <row r="2595" ht="18.75"/>
    <row r="2603" ht="18.75"/>
  </sheetData>
  <mergeCells count="165">
    <mergeCell ref="A2420:H2420"/>
    <mergeCell ref="A2422:H2422"/>
    <mergeCell ref="A2439:H2439"/>
    <mergeCell ref="A2441:H2441"/>
    <mergeCell ref="A2461:H2462"/>
    <mergeCell ref="A2463:H2463"/>
    <mergeCell ref="A2482:H2482"/>
    <mergeCell ref="A1604:H1604"/>
    <mergeCell ref="I1419:I1420"/>
    <mergeCell ref="A1586:H1586"/>
    <mergeCell ref="A1606:H1606"/>
    <mergeCell ref="A1626:H1627"/>
    <mergeCell ref="A1628:H1628"/>
    <mergeCell ref="A1644:H1644"/>
    <mergeCell ref="A1588:H1588"/>
    <mergeCell ref="A1979:H1979"/>
    <mergeCell ref="A2005:H2006"/>
    <mergeCell ref="A1756:H1756"/>
    <mergeCell ref="A1760:M1762"/>
    <mergeCell ref="A2007:H2007"/>
    <mergeCell ref="A2029:I2029"/>
    <mergeCell ref="A2030:H2030"/>
    <mergeCell ref="A2194:H2194"/>
    <mergeCell ref="A2196:H2196"/>
    <mergeCell ref="A125:H125"/>
    <mergeCell ref="A144:H144"/>
    <mergeCell ref="E155:G155"/>
    <mergeCell ref="A158:H158"/>
    <mergeCell ref="A186:H186"/>
    <mergeCell ref="A539:H539"/>
    <mergeCell ref="A491:H491"/>
    <mergeCell ref="A409:H409"/>
    <mergeCell ref="A437:H437"/>
    <mergeCell ref="A456:H456"/>
    <mergeCell ref="A250:H250"/>
    <mergeCell ref="A449:H449"/>
    <mergeCell ref="A407:H407"/>
    <mergeCell ref="A309:H309"/>
    <mergeCell ref="A325:H325"/>
    <mergeCell ref="A546:H546"/>
    <mergeCell ref="A493:H493"/>
    <mergeCell ref="A518:H518"/>
    <mergeCell ref="A188:H188"/>
    <mergeCell ref="A210:H210"/>
    <mergeCell ref="A222:H222"/>
    <mergeCell ref="A228:H228"/>
    <mergeCell ref="A1:H1"/>
    <mergeCell ref="A72:H72"/>
    <mergeCell ref="A74:H74"/>
    <mergeCell ref="A81:H81"/>
    <mergeCell ref="G86:H86"/>
    <mergeCell ref="A3:H3"/>
    <mergeCell ref="A26:H27"/>
    <mergeCell ref="A36:H36"/>
    <mergeCell ref="A42:H42"/>
    <mergeCell ref="A371:H371"/>
    <mergeCell ref="A352:H352"/>
    <mergeCell ref="A252:H252"/>
    <mergeCell ref="A264:H264"/>
    <mergeCell ref="A282:H282"/>
    <mergeCell ref="A307:H307"/>
    <mergeCell ref="A89:H89"/>
    <mergeCell ref="A117:H117"/>
    <mergeCell ref="A575:H575"/>
    <mergeCell ref="A577:H577"/>
    <mergeCell ref="A608:H608"/>
    <mergeCell ref="A798:H798"/>
    <mergeCell ref="A827:H827"/>
    <mergeCell ref="A855:H855"/>
    <mergeCell ref="A796:H796"/>
    <mergeCell ref="A880:H880"/>
    <mergeCell ref="A705:H705"/>
    <mergeCell ref="A707:H707"/>
    <mergeCell ref="A730:H730"/>
    <mergeCell ref="A757:H757"/>
    <mergeCell ref="A646:H646"/>
    <mergeCell ref="A654:H654"/>
    <mergeCell ref="A1310:H1310"/>
    <mergeCell ref="A1340:H1340"/>
    <mergeCell ref="A1231:I1232"/>
    <mergeCell ref="A1279:H1279"/>
    <mergeCell ref="I1280:I1281"/>
    <mergeCell ref="A1282:H1282"/>
    <mergeCell ref="A1308:H1308"/>
    <mergeCell ref="A1162:H1162"/>
    <mergeCell ref="A1164:H1164"/>
    <mergeCell ref="A1209:H1209"/>
    <mergeCell ref="A1188:H1188"/>
    <mergeCell ref="A1207:H1207"/>
    <mergeCell ref="A1338:H1339"/>
    <mergeCell ref="A887:H887"/>
    <mergeCell ref="I1308:I1309"/>
    <mergeCell ref="I1100:I1101"/>
    <mergeCell ref="I1078:I1080"/>
    <mergeCell ref="A994:H994"/>
    <mergeCell ref="A1021:H1021"/>
    <mergeCell ref="A1124:H1124"/>
    <mergeCell ref="C1018:H1020"/>
    <mergeCell ref="A944:H944"/>
    <mergeCell ref="A946:H946"/>
    <mergeCell ref="A977:H977"/>
    <mergeCell ref="A992:H992"/>
    <mergeCell ref="I1185:I1187"/>
    <mergeCell ref="I1207:I1208"/>
    <mergeCell ref="A1062:H1062"/>
    <mergeCell ref="A1064:H1064"/>
    <mergeCell ref="A1081:H1081"/>
    <mergeCell ref="A1100:H1100"/>
    <mergeCell ref="A1102:H1102"/>
    <mergeCell ref="D1122:H1123"/>
    <mergeCell ref="A1544:H1544"/>
    <mergeCell ref="A1490:H1490"/>
    <mergeCell ref="A1492:H1492"/>
    <mergeCell ref="A1517:H1517"/>
    <mergeCell ref="A1519:H1519"/>
    <mergeCell ref="A1542:H1543"/>
    <mergeCell ref="A1421:H1421"/>
    <mergeCell ref="A1448:H1448"/>
    <mergeCell ref="A1446:H1447"/>
    <mergeCell ref="A1391:H1391"/>
    <mergeCell ref="A1419:H1419"/>
    <mergeCell ref="A1386:H1388"/>
    <mergeCell ref="A1233:H1233"/>
    <mergeCell ref="A1389:H1389"/>
    <mergeCell ref="A2236:H2237"/>
    <mergeCell ref="A2238:H2238"/>
    <mergeCell ref="A2262:I2262"/>
    <mergeCell ref="A2263:H2263"/>
    <mergeCell ref="A2071:H2071"/>
    <mergeCell ref="A2073:H2073"/>
    <mergeCell ref="A2096:H2096"/>
    <mergeCell ref="A1684:H1684"/>
    <mergeCell ref="A1686:H1686"/>
    <mergeCell ref="A1707:H1707"/>
    <mergeCell ref="A1709:H1709"/>
    <mergeCell ref="A1733:H1734"/>
    <mergeCell ref="A1735:H1735"/>
    <mergeCell ref="A1763:H1763"/>
    <mergeCell ref="A2098:H2098"/>
    <mergeCell ref="A2116:H2117"/>
    <mergeCell ref="A2118:H2118"/>
    <mergeCell ref="A2144:I2144"/>
    <mergeCell ref="A2145:H2145"/>
    <mergeCell ref="A1965:H1965"/>
    <mergeCell ref="A1967:H1967"/>
    <mergeCell ref="A1977:H1977"/>
    <mergeCell ref="A2215:H2215"/>
    <mergeCell ref="A2217:H2217"/>
    <mergeCell ref="A1812:H1812"/>
    <mergeCell ref="A1814:H1814"/>
    <mergeCell ref="A1838:H1838"/>
    <mergeCell ref="A1840:H1840"/>
    <mergeCell ref="A1869:H1870"/>
    <mergeCell ref="A1871:H1871"/>
    <mergeCell ref="A1901:I1901"/>
    <mergeCell ref="A1902:H1902"/>
    <mergeCell ref="A2371:H2371"/>
    <mergeCell ref="A2311:H2311"/>
    <mergeCell ref="A2313:H2313"/>
    <mergeCell ref="A2329:H2329"/>
    <mergeCell ref="A2331:H2331"/>
    <mergeCell ref="A2350:H2351"/>
    <mergeCell ref="A2352:H2352"/>
    <mergeCell ref="A2375:I2375"/>
    <mergeCell ref="A2376:H2376"/>
  </mergeCells>
  <pageMargins left="0.7" right="0.7" top="0.75" bottom="0.75" header="0.3" footer="0.3"/>
  <pageSetup paperSize="9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7CCE-2AC4-424B-924E-B4656ECF9061}">
  <sheetPr>
    <pageSetUpPr fitToPage="1"/>
  </sheetPr>
  <dimension ref="A1:K3312"/>
  <sheetViews>
    <sheetView topLeftCell="A3178" workbookViewId="0">
      <selection activeCell="C3277" sqref="C3277"/>
    </sheetView>
  </sheetViews>
  <sheetFormatPr defaultRowHeight="15"/>
  <cols>
    <col min="1" max="1" width="13.42578125" style="110" customWidth="1"/>
    <col min="2" max="2" width="21.140625" style="81" customWidth="1"/>
    <col min="3" max="3" width="59.42578125" style="81" customWidth="1"/>
    <col min="4" max="4" width="30.42578125" style="81" customWidth="1"/>
    <col min="5" max="5" width="20.28515625" style="120" customWidth="1"/>
    <col min="6" max="6" width="17.28515625" style="84" customWidth="1"/>
    <col min="7" max="7" width="21.5703125" style="84" customWidth="1"/>
    <col min="8" max="8" width="12.85546875" style="81" customWidth="1"/>
    <col min="9" max="10" width="9.140625" style="81"/>
    <col min="11" max="11" width="27.140625" style="81" customWidth="1"/>
  </cols>
  <sheetData>
    <row r="1" spans="1:11" hidden="1">
      <c r="A1" s="1673" t="s">
        <v>1939</v>
      </c>
      <c r="B1" s="1673"/>
      <c r="C1" s="1673"/>
      <c r="D1" s="1673"/>
      <c r="E1" s="1673"/>
      <c r="F1" s="1673"/>
      <c r="G1" s="1673"/>
      <c r="H1" s="1673"/>
      <c r="I1" s="1673"/>
      <c r="J1" s="1673"/>
      <c r="K1" s="1673"/>
    </row>
    <row r="2" spans="1:11" hidden="1">
      <c r="A2" s="1673"/>
      <c r="B2" s="1673"/>
      <c r="C2" s="1673"/>
      <c r="D2" s="1673"/>
      <c r="E2" s="1673"/>
      <c r="F2" s="1673"/>
      <c r="G2" s="1673"/>
      <c r="H2" s="1673"/>
      <c r="I2" s="1673"/>
      <c r="J2" s="1673"/>
      <c r="K2" s="1673"/>
    </row>
    <row r="3" spans="1:11" ht="18.75" hidden="1">
      <c r="A3" s="1674" t="s">
        <v>1940</v>
      </c>
      <c r="B3" s="1674"/>
      <c r="C3" s="1674"/>
      <c r="D3" s="1674"/>
      <c r="E3" s="1674"/>
      <c r="F3" s="1674"/>
      <c r="G3" s="1674"/>
      <c r="H3" s="1674"/>
      <c r="I3" s="1674"/>
      <c r="J3" s="1674"/>
      <c r="K3" s="1674"/>
    </row>
    <row r="4" spans="1:11" ht="18.75" hidden="1" customHeight="1">
      <c r="A4" s="102" t="s">
        <v>1941</v>
      </c>
      <c r="B4" s="54" t="s">
        <v>1942</v>
      </c>
      <c r="C4" s="54" t="s">
        <v>1943</v>
      </c>
      <c r="D4" s="54" t="s">
        <v>1944</v>
      </c>
      <c r="E4" s="115" t="s">
        <v>1945</v>
      </c>
      <c r="F4" s="30" t="s">
        <v>1946</v>
      </c>
      <c r="G4" s="30"/>
      <c r="H4" s="54" t="s">
        <v>1947</v>
      </c>
      <c r="I4" s="54" t="s">
        <v>1948</v>
      </c>
      <c r="J4" s="76" t="s">
        <v>1949</v>
      </c>
      <c r="K4" s="77" t="s">
        <v>1950</v>
      </c>
    </row>
    <row r="5" spans="1:11" hidden="1">
      <c r="A5" s="103" t="s">
        <v>1951</v>
      </c>
      <c r="B5" s="78" t="s">
        <v>1952</v>
      </c>
      <c r="C5" s="78" t="s">
        <v>1953</v>
      </c>
      <c r="D5" s="78" t="s">
        <v>75</v>
      </c>
      <c r="E5" s="116">
        <v>1500000</v>
      </c>
      <c r="F5" s="89" t="s">
        <v>1954</v>
      </c>
      <c r="G5" s="89"/>
      <c r="H5" s="78" t="s">
        <v>1955</v>
      </c>
      <c r="I5" s="78" t="s">
        <v>1644</v>
      </c>
      <c r="J5" s="78">
        <v>1</v>
      </c>
      <c r="K5" s="78" t="s">
        <v>18</v>
      </c>
    </row>
    <row r="6" spans="1:11" hidden="1">
      <c r="A6" s="103" t="s">
        <v>1951</v>
      </c>
      <c r="B6" s="78" t="s">
        <v>1952</v>
      </c>
      <c r="C6" s="78" t="s">
        <v>1956</v>
      </c>
      <c r="D6" s="78" t="s">
        <v>1957</v>
      </c>
      <c r="E6" s="116">
        <v>1200000</v>
      </c>
      <c r="F6" s="89" t="s">
        <v>1958</v>
      </c>
      <c r="G6" s="89"/>
      <c r="H6" s="78" t="s">
        <v>1955</v>
      </c>
      <c r="I6" s="78" t="s">
        <v>1644</v>
      </c>
      <c r="J6" s="78">
        <v>1</v>
      </c>
      <c r="K6" s="78" t="s">
        <v>18</v>
      </c>
    </row>
    <row r="7" spans="1:11" hidden="1">
      <c r="A7" s="103" t="s">
        <v>1959</v>
      </c>
      <c r="B7" s="78" t="s">
        <v>1952</v>
      </c>
      <c r="C7" s="78" t="s">
        <v>1960</v>
      </c>
      <c r="D7" s="78" t="s">
        <v>1957</v>
      </c>
      <c r="E7" s="116">
        <v>1000000</v>
      </c>
      <c r="F7" s="89" t="s">
        <v>1961</v>
      </c>
      <c r="G7" s="89"/>
      <c r="H7" s="78" t="s">
        <v>1955</v>
      </c>
      <c r="I7" s="78" t="s">
        <v>1644</v>
      </c>
      <c r="J7" s="78">
        <v>1</v>
      </c>
      <c r="K7" s="78" t="s">
        <v>44</v>
      </c>
    </row>
    <row r="8" spans="1:11" hidden="1">
      <c r="A8" s="104">
        <v>44348</v>
      </c>
      <c r="B8" s="78" t="s">
        <v>1952</v>
      </c>
      <c r="C8" s="78" t="s">
        <v>1962</v>
      </c>
      <c r="D8" s="78" t="s">
        <v>75</v>
      </c>
      <c r="E8" s="116">
        <v>1500000</v>
      </c>
      <c r="F8" s="89" t="s">
        <v>1963</v>
      </c>
      <c r="G8" s="89"/>
      <c r="H8" s="78" t="s">
        <v>1955</v>
      </c>
      <c r="I8" s="78" t="s">
        <v>1644</v>
      </c>
      <c r="J8" s="78">
        <v>1</v>
      </c>
      <c r="K8" s="78" t="s">
        <v>18</v>
      </c>
    </row>
    <row r="9" spans="1:11" hidden="1">
      <c r="A9" s="104">
        <v>44378</v>
      </c>
      <c r="B9" s="78" t="s">
        <v>1952</v>
      </c>
      <c r="C9" s="78" t="s">
        <v>1964</v>
      </c>
      <c r="D9" s="78" t="s">
        <v>75</v>
      </c>
      <c r="E9" s="116">
        <v>1400000</v>
      </c>
      <c r="F9" s="89" t="s">
        <v>1965</v>
      </c>
      <c r="G9" s="89"/>
      <c r="H9" s="78" t="s">
        <v>1955</v>
      </c>
      <c r="I9" s="78" t="s">
        <v>1644</v>
      </c>
      <c r="J9" s="78">
        <v>1</v>
      </c>
      <c r="K9" s="78" t="s">
        <v>44</v>
      </c>
    </row>
    <row r="10" spans="1:11" hidden="1">
      <c r="A10" s="104">
        <v>44409</v>
      </c>
      <c r="B10" s="78" t="s">
        <v>1966</v>
      </c>
      <c r="C10" s="78" t="s">
        <v>1967</v>
      </c>
      <c r="D10" s="78" t="s">
        <v>75</v>
      </c>
      <c r="E10" s="116">
        <v>2000000</v>
      </c>
      <c r="F10" s="89" t="s">
        <v>1968</v>
      </c>
      <c r="G10" s="89"/>
      <c r="H10" s="78" t="s">
        <v>1644</v>
      </c>
      <c r="I10" s="78" t="s">
        <v>1644</v>
      </c>
      <c r="J10" s="78">
        <v>1</v>
      </c>
      <c r="K10" s="78" t="s">
        <v>18</v>
      </c>
    </row>
    <row r="11" spans="1:11" hidden="1">
      <c r="A11" s="104">
        <v>44409</v>
      </c>
      <c r="B11" s="78" t="s">
        <v>1952</v>
      </c>
      <c r="C11" s="78" t="s">
        <v>1969</v>
      </c>
      <c r="D11" s="78" t="s">
        <v>1957</v>
      </c>
      <c r="E11" s="116">
        <v>950000</v>
      </c>
      <c r="F11" s="89" t="s">
        <v>1970</v>
      </c>
      <c r="G11" s="89"/>
      <c r="H11" s="78" t="s">
        <v>1644</v>
      </c>
      <c r="I11" s="78" t="s">
        <v>1644</v>
      </c>
      <c r="J11" s="78">
        <v>1</v>
      </c>
      <c r="K11" s="78" t="s">
        <v>44</v>
      </c>
    </row>
    <row r="12" spans="1:11" hidden="1">
      <c r="A12" s="104">
        <v>44409</v>
      </c>
      <c r="B12" s="78" t="s">
        <v>1952</v>
      </c>
      <c r="C12" s="78" t="s">
        <v>1971</v>
      </c>
      <c r="D12" s="78" t="s">
        <v>1957</v>
      </c>
      <c r="E12" s="116">
        <v>1250000</v>
      </c>
      <c r="F12" s="89" t="s">
        <v>1970</v>
      </c>
      <c r="G12" s="89"/>
      <c r="H12" s="78" t="s">
        <v>1955</v>
      </c>
      <c r="I12" s="78" t="s">
        <v>1644</v>
      </c>
      <c r="J12" s="78">
        <v>1</v>
      </c>
      <c r="K12" s="78" t="s">
        <v>18</v>
      </c>
    </row>
    <row r="13" spans="1:11" hidden="1">
      <c r="A13" s="104">
        <v>44409</v>
      </c>
      <c r="B13" s="78" t="s">
        <v>1952</v>
      </c>
      <c r="C13" s="78" t="s">
        <v>1972</v>
      </c>
      <c r="D13" s="78" t="s">
        <v>1957</v>
      </c>
      <c r="E13" s="116">
        <v>1050000</v>
      </c>
      <c r="F13" s="89" t="s">
        <v>1970</v>
      </c>
      <c r="G13" s="89"/>
      <c r="H13" s="78" t="s">
        <v>1955</v>
      </c>
      <c r="I13" s="78" t="s">
        <v>1644</v>
      </c>
      <c r="J13" s="78">
        <v>1</v>
      </c>
      <c r="K13" s="78" t="s">
        <v>44</v>
      </c>
    </row>
    <row r="14" spans="1:11" hidden="1">
      <c r="A14" s="104">
        <v>44409</v>
      </c>
      <c r="B14" s="78" t="s">
        <v>1952</v>
      </c>
      <c r="C14" s="78" t="s">
        <v>1003</v>
      </c>
      <c r="D14" s="78" t="s">
        <v>75</v>
      </c>
      <c r="E14" s="116">
        <v>1350000</v>
      </c>
      <c r="F14" s="89" t="s">
        <v>1965</v>
      </c>
      <c r="G14" s="89"/>
      <c r="H14" s="78" t="s">
        <v>1955</v>
      </c>
      <c r="I14" s="78" t="s">
        <v>1644</v>
      </c>
      <c r="J14" s="78">
        <v>1</v>
      </c>
      <c r="K14" s="78" t="s">
        <v>32</v>
      </c>
    </row>
    <row r="15" spans="1:11" hidden="1">
      <c r="A15" s="104" t="s">
        <v>1973</v>
      </c>
      <c r="B15" s="78" t="s">
        <v>1952</v>
      </c>
      <c r="C15" s="78" t="s">
        <v>1974</v>
      </c>
      <c r="D15" s="78" t="s">
        <v>1957</v>
      </c>
      <c r="E15" s="116">
        <v>1200000</v>
      </c>
      <c r="F15" s="89" t="s">
        <v>1975</v>
      </c>
      <c r="G15" s="89"/>
      <c r="H15" s="78" t="s">
        <v>1644</v>
      </c>
      <c r="I15" s="78" t="s">
        <v>1644</v>
      </c>
      <c r="J15" s="78">
        <v>1</v>
      </c>
      <c r="K15" s="78" t="s">
        <v>18</v>
      </c>
    </row>
    <row r="16" spans="1:11" hidden="1">
      <c r="A16" s="104" t="s">
        <v>1973</v>
      </c>
      <c r="B16" s="78" t="s">
        <v>1952</v>
      </c>
      <c r="C16" s="78" t="s">
        <v>1976</v>
      </c>
      <c r="D16" s="78" t="s">
        <v>75</v>
      </c>
      <c r="E16" s="116">
        <v>1550000</v>
      </c>
      <c r="F16" s="89" t="s">
        <v>1977</v>
      </c>
      <c r="G16" s="89"/>
      <c r="H16" s="78" t="s">
        <v>1955</v>
      </c>
      <c r="I16" s="78" t="s">
        <v>1644</v>
      </c>
      <c r="J16" s="78">
        <v>1</v>
      </c>
      <c r="K16" s="78" t="s">
        <v>18</v>
      </c>
    </row>
    <row r="17" spans="1:11" hidden="1">
      <c r="A17" s="104" t="s">
        <v>1978</v>
      </c>
      <c r="B17" s="78" t="s">
        <v>1952</v>
      </c>
      <c r="C17" s="78" t="s">
        <v>1979</v>
      </c>
      <c r="D17" s="78" t="s">
        <v>1957</v>
      </c>
      <c r="E17" s="116">
        <v>900000</v>
      </c>
      <c r="F17" s="89" t="s">
        <v>1975</v>
      </c>
      <c r="G17" s="89"/>
      <c r="H17" s="78" t="s">
        <v>1955</v>
      </c>
      <c r="I17" s="78" t="s">
        <v>1644</v>
      </c>
      <c r="J17" s="78">
        <v>1</v>
      </c>
      <c r="K17" s="78" t="s">
        <v>18</v>
      </c>
    </row>
    <row r="18" spans="1:11" hidden="1">
      <c r="A18" s="104" t="s">
        <v>1978</v>
      </c>
      <c r="B18" s="78" t="s">
        <v>1952</v>
      </c>
      <c r="C18" s="78" t="s">
        <v>1980</v>
      </c>
      <c r="D18" s="78" t="s">
        <v>75</v>
      </c>
      <c r="E18" s="116">
        <v>1400000</v>
      </c>
      <c r="F18" s="89" t="s">
        <v>1963</v>
      </c>
      <c r="G18" s="89"/>
      <c r="H18" s="78" t="s">
        <v>1955</v>
      </c>
      <c r="I18" s="78" t="s">
        <v>1644</v>
      </c>
      <c r="J18" s="78">
        <v>1</v>
      </c>
      <c r="K18" s="78" t="s">
        <v>18</v>
      </c>
    </row>
    <row r="19" spans="1:11" hidden="1">
      <c r="A19" s="104" t="s">
        <v>1981</v>
      </c>
      <c r="B19" s="78" t="s">
        <v>1952</v>
      </c>
      <c r="C19" s="78" t="s">
        <v>1982</v>
      </c>
      <c r="D19" s="78" t="s">
        <v>1957</v>
      </c>
      <c r="E19" s="116">
        <v>1000000</v>
      </c>
      <c r="F19" s="89" t="s">
        <v>1975</v>
      </c>
      <c r="G19" s="89"/>
      <c r="H19" s="78" t="s">
        <v>1955</v>
      </c>
      <c r="I19" s="78" t="s">
        <v>1644</v>
      </c>
      <c r="J19" s="78">
        <v>1</v>
      </c>
      <c r="K19" s="78" t="s">
        <v>18</v>
      </c>
    </row>
    <row r="20" spans="1:11" hidden="1">
      <c r="A20" s="104" t="s">
        <v>1981</v>
      </c>
      <c r="B20" s="78" t="s">
        <v>1952</v>
      </c>
      <c r="C20" s="78" t="s">
        <v>1983</v>
      </c>
      <c r="D20" s="78" t="s">
        <v>1957</v>
      </c>
      <c r="E20" s="116">
        <v>900000</v>
      </c>
      <c r="F20" s="89" t="s">
        <v>1975</v>
      </c>
      <c r="G20" s="89"/>
      <c r="H20" s="78" t="s">
        <v>1955</v>
      </c>
      <c r="I20" s="78" t="s">
        <v>1644</v>
      </c>
      <c r="J20" s="78">
        <v>1</v>
      </c>
      <c r="K20" s="78" t="s">
        <v>32</v>
      </c>
    </row>
    <row r="21" spans="1:11" hidden="1">
      <c r="A21" s="104" t="s">
        <v>1981</v>
      </c>
      <c r="B21" s="78" t="s">
        <v>1952</v>
      </c>
      <c r="C21" s="78" t="s">
        <v>1984</v>
      </c>
      <c r="D21" s="78" t="s">
        <v>1957</v>
      </c>
      <c r="E21" s="116">
        <v>950000</v>
      </c>
      <c r="F21" s="89" t="s">
        <v>1968</v>
      </c>
      <c r="G21" s="89"/>
      <c r="H21" s="78" t="s">
        <v>1644</v>
      </c>
      <c r="I21" s="78" t="s">
        <v>1644</v>
      </c>
      <c r="J21" s="78">
        <v>1</v>
      </c>
      <c r="K21" s="78" t="s">
        <v>32</v>
      </c>
    </row>
    <row r="22" spans="1:11" hidden="1">
      <c r="A22" s="104" t="s">
        <v>1981</v>
      </c>
      <c r="B22" s="78" t="s">
        <v>1952</v>
      </c>
      <c r="C22" s="78" t="s">
        <v>1985</v>
      </c>
      <c r="D22" s="78" t="s">
        <v>1957</v>
      </c>
      <c r="E22" s="116">
        <v>1100000</v>
      </c>
      <c r="F22" s="89" t="s">
        <v>1986</v>
      </c>
      <c r="G22" s="89"/>
      <c r="H22" s="78" t="s">
        <v>1644</v>
      </c>
      <c r="I22" s="78" t="s">
        <v>1644</v>
      </c>
      <c r="J22" s="78">
        <v>1</v>
      </c>
      <c r="K22" s="78" t="s">
        <v>32</v>
      </c>
    </row>
    <row r="23" spans="1:11" hidden="1">
      <c r="A23" s="104" t="s">
        <v>1987</v>
      </c>
      <c r="B23" s="78" t="s">
        <v>1952</v>
      </c>
      <c r="C23" s="78" t="s">
        <v>84</v>
      </c>
      <c r="D23" s="78" t="s">
        <v>1957</v>
      </c>
      <c r="E23" s="116">
        <v>850000</v>
      </c>
      <c r="F23" s="89" t="s">
        <v>1970</v>
      </c>
      <c r="G23" s="89"/>
      <c r="H23" s="78" t="s">
        <v>1955</v>
      </c>
      <c r="I23" s="78" t="s">
        <v>1644</v>
      </c>
      <c r="J23" s="78">
        <v>1</v>
      </c>
      <c r="K23" s="78" t="s">
        <v>18</v>
      </c>
    </row>
    <row r="24" spans="1:11" hidden="1">
      <c r="A24" s="104" t="s">
        <v>1987</v>
      </c>
      <c r="B24" s="78" t="s">
        <v>1952</v>
      </c>
      <c r="C24" s="78" t="s">
        <v>1988</v>
      </c>
      <c r="D24" s="78" t="s">
        <v>1957</v>
      </c>
      <c r="E24" s="116">
        <v>1500000</v>
      </c>
      <c r="F24" s="89" t="s">
        <v>1968</v>
      </c>
      <c r="G24" s="89"/>
      <c r="H24" s="78" t="s">
        <v>1955</v>
      </c>
      <c r="I24" s="78" t="s">
        <v>1644</v>
      </c>
      <c r="J24" s="78">
        <v>1</v>
      </c>
      <c r="K24" s="78" t="s">
        <v>32</v>
      </c>
    </row>
    <row r="25" spans="1:11" hidden="1">
      <c r="A25" s="104" t="s">
        <v>1989</v>
      </c>
      <c r="B25" s="78" t="s">
        <v>1952</v>
      </c>
      <c r="C25" s="78" t="s">
        <v>1990</v>
      </c>
      <c r="D25" s="78" t="s">
        <v>75</v>
      </c>
      <c r="E25" s="116">
        <v>1300000</v>
      </c>
      <c r="F25" s="89" t="s">
        <v>1991</v>
      </c>
      <c r="G25" s="89"/>
      <c r="H25" s="78" t="s">
        <v>1644</v>
      </c>
      <c r="I25" s="78" t="s">
        <v>1644</v>
      </c>
      <c r="J25" s="78">
        <v>1</v>
      </c>
      <c r="K25" s="78" t="s">
        <v>18</v>
      </c>
    </row>
    <row r="26" spans="1:11" hidden="1">
      <c r="A26" s="104" t="s">
        <v>1989</v>
      </c>
      <c r="B26" s="78" t="s">
        <v>1952</v>
      </c>
      <c r="C26" s="78" t="s">
        <v>1992</v>
      </c>
      <c r="D26" s="78" t="s">
        <v>1993</v>
      </c>
      <c r="E26" s="116">
        <v>1600000</v>
      </c>
      <c r="F26" s="89" t="s">
        <v>1968</v>
      </c>
      <c r="G26" s="89"/>
      <c r="H26" s="78" t="s">
        <v>1955</v>
      </c>
      <c r="I26" s="78" t="s">
        <v>1644</v>
      </c>
      <c r="J26" s="78">
        <v>1</v>
      </c>
      <c r="K26" s="78" t="s">
        <v>18</v>
      </c>
    </row>
    <row r="27" spans="1:11" hidden="1">
      <c r="A27" s="104" t="s">
        <v>1994</v>
      </c>
      <c r="B27" s="78" t="s">
        <v>1952</v>
      </c>
      <c r="C27" s="78" t="s">
        <v>1995</v>
      </c>
      <c r="D27" s="78" t="s">
        <v>74</v>
      </c>
      <c r="E27" s="116">
        <v>600000</v>
      </c>
      <c r="F27" s="89" t="s">
        <v>1968</v>
      </c>
      <c r="G27" s="89"/>
      <c r="H27" s="78" t="s">
        <v>1955</v>
      </c>
      <c r="I27" s="78" t="s">
        <v>1644</v>
      </c>
      <c r="J27" s="78">
        <v>1</v>
      </c>
      <c r="K27" s="78" t="s">
        <v>32</v>
      </c>
    </row>
    <row r="28" spans="1:11" hidden="1">
      <c r="A28" s="103"/>
      <c r="B28" s="78"/>
      <c r="C28" s="78"/>
      <c r="D28" s="78"/>
      <c r="E28" s="116"/>
      <c r="F28" s="89"/>
      <c r="G28" s="89"/>
      <c r="H28" s="78"/>
      <c r="I28" s="78"/>
      <c r="J28" s="78"/>
      <c r="K28" s="78"/>
    </row>
    <row r="29" spans="1:11" hidden="1">
      <c r="A29" s="105" t="s">
        <v>1996</v>
      </c>
      <c r="B29" s="52" t="s">
        <v>1952</v>
      </c>
      <c r="C29" s="52" t="s">
        <v>1997</v>
      </c>
      <c r="D29" s="52" t="s">
        <v>1957</v>
      </c>
      <c r="E29" s="95">
        <v>214000000</v>
      </c>
      <c r="F29" s="90" t="s">
        <v>1968</v>
      </c>
      <c r="G29" s="90"/>
      <c r="H29" s="52" t="s">
        <v>1955</v>
      </c>
      <c r="I29" s="52" t="s">
        <v>1644</v>
      </c>
      <c r="J29" s="52">
        <v>1</v>
      </c>
      <c r="K29" s="52" t="s">
        <v>44</v>
      </c>
    </row>
    <row r="30" spans="1:11" hidden="1">
      <c r="A30" s="105" t="s">
        <v>1996</v>
      </c>
      <c r="B30" s="52" t="s">
        <v>1952</v>
      </c>
      <c r="C30" s="52" t="s">
        <v>1998</v>
      </c>
      <c r="D30" s="52" t="s">
        <v>1957</v>
      </c>
      <c r="E30" s="95">
        <v>290000000</v>
      </c>
      <c r="F30" s="90" t="s">
        <v>1970</v>
      </c>
      <c r="G30" s="90"/>
      <c r="H30" s="52" t="s">
        <v>1955</v>
      </c>
      <c r="I30" s="52" t="s">
        <v>1644</v>
      </c>
      <c r="J30" s="52">
        <v>1</v>
      </c>
      <c r="K30" s="52" t="s">
        <v>44</v>
      </c>
    </row>
    <row r="31" spans="1:11" hidden="1">
      <c r="A31" s="105" t="s">
        <v>1951</v>
      </c>
      <c r="B31" s="52" t="s">
        <v>1952</v>
      </c>
      <c r="C31" s="52" t="s">
        <v>228</v>
      </c>
      <c r="D31" s="52" t="s">
        <v>1957</v>
      </c>
      <c r="E31" s="95">
        <v>160000000</v>
      </c>
      <c r="F31" s="90" t="s">
        <v>1968</v>
      </c>
      <c r="G31" s="90"/>
      <c r="H31" s="52" t="s">
        <v>1955</v>
      </c>
      <c r="I31" s="52" t="s">
        <v>1644</v>
      </c>
      <c r="J31" s="52">
        <v>1</v>
      </c>
      <c r="K31" s="52" t="s">
        <v>18</v>
      </c>
    </row>
    <row r="32" spans="1:11" hidden="1">
      <c r="A32" s="106" t="s">
        <v>1951</v>
      </c>
      <c r="B32" s="79" t="s">
        <v>1952</v>
      </c>
      <c r="C32" s="79" t="s">
        <v>1956</v>
      </c>
      <c r="D32" s="79" t="s">
        <v>1957</v>
      </c>
      <c r="E32" s="117">
        <v>260000000</v>
      </c>
      <c r="F32" s="91" t="s">
        <v>1958</v>
      </c>
      <c r="G32" s="91"/>
      <c r="H32" s="79" t="s">
        <v>1955</v>
      </c>
      <c r="I32" s="79" t="s">
        <v>1644</v>
      </c>
      <c r="J32" s="79">
        <v>1</v>
      </c>
      <c r="K32" s="79" t="s">
        <v>44</v>
      </c>
    </row>
    <row r="33" spans="1:11" hidden="1">
      <c r="A33" s="53" t="s">
        <v>1973</v>
      </c>
      <c r="B33" s="52" t="s">
        <v>1952</v>
      </c>
      <c r="C33" s="52" t="s">
        <v>1974</v>
      </c>
      <c r="D33" s="52" t="s">
        <v>1957</v>
      </c>
      <c r="E33" s="95">
        <v>265000000</v>
      </c>
      <c r="F33" s="90" t="s">
        <v>1975</v>
      </c>
      <c r="G33" s="90"/>
      <c r="H33" s="52" t="s">
        <v>1644</v>
      </c>
      <c r="I33" s="52" t="s">
        <v>1644</v>
      </c>
      <c r="J33" s="52">
        <v>1</v>
      </c>
      <c r="K33" s="52" t="s">
        <v>18</v>
      </c>
    </row>
    <row r="34" spans="1:11" hidden="1">
      <c r="A34" s="53" t="s">
        <v>1973</v>
      </c>
      <c r="B34" s="52" t="s">
        <v>1952</v>
      </c>
      <c r="C34" s="52" t="s">
        <v>1976</v>
      </c>
      <c r="D34" s="52" t="s">
        <v>75</v>
      </c>
      <c r="E34" s="95">
        <v>355000000</v>
      </c>
      <c r="F34" s="90" t="s">
        <v>1977</v>
      </c>
      <c r="G34" s="90"/>
      <c r="H34" s="52" t="s">
        <v>1955</v>
      </c>
      <c r="I34" s="52" t="s">
        <v>1644</v>
      </c>
      <c r="J34" s="52">
        <v>1</v>
      </c>
      <c r="K34" s="52" t="s">
        <v>32</v>
      </c>
    </row>
    <row r="35" spans="1:11" hidden="1">
      <c r="A35" s="107" t="s">
        <v>1999</v>
      </c>
      <c r="B35" s="79" t="s">
        <v>1952</v>
      </c>
      <c r="C35" s="79" t="s">
        <v>2000</v>
      </c>
      <c r="D35" s="79" t="s">
        <v>1957</v>
      </c>
      <c r="E35" s="117">
        <v>210000000</v>
      </c>
      <c r="F35" s="91" t="s">
        <v>1961</v>
      </c>
      <c r="G35" s="91"/>
      <c r="H35" s="79" t="s">
        <v>1955</v>
      </c>
      <c r="I35" s="79" t="s">
        <v>1644</v>
      </c>
      <c r="J35" s="79">
        <v>1</v>
      </c>
      <c r="K35" s="79" t="s">
        <v>18</v>
      </c>
    </row>
    <row r="36" spans="1:11" hidden="1">
      <c r="A36" s="107" t="s">
        <v>1999</v>
      </c>
      <c r="B36" s="79" t="s">
        <v>1952</v>
      </c>
      <c r="C36" s="79" t="s">
        <v>2001</v>
      </c>
      <c r="D36" s="79" t="s">
        <v>1957</v>
      </c>
      <c r="E36" s="117">
        <v>300000000</v>
      </c>
      <c r="F36" s="91" t="s">
        <v>1968</v>
      </c>
      <c r="G36" s="91"/>
      <c r="H36" s="79" t="s">
        <v>1955</v>
      </c>
      <c r="I36" s="79" t="s">
        <v>1644</v>
      </c>
      <c r="J36" s="79">
        <v>1</v>
      </c>
      <c r="K36" s="79" t="s">
        <v>32</v>
      </c>
    </row>
    <row r="37" spans="1:11" hidden="1">
      <c r="A37" s="53" t="s">
        <v>1981</v>
      </c>
      <c r="B37" s="52" t="s">
        <v>1952</v>
      </c>
      <c r="C37" s="52" t="s">
        <v>1982</v>
      </c>
      <c r="D37" s="52" t="s">
        <v>1957</v>
      </c>
      <c r="E37" s="95">
        <v>190000000</v>
      </c>
      <c r="F37" s="90" t="s">
        <v>1975</v>
      </c>
      <c r="G37" s="90"/>
      <c r="H37" s="52" t="s">
        <v>1955</v>
      </c>
      <c r="I37" s="52" t="s">
        <v>1644</v>
      </c>
      <c r="J37" s="52">
        <v>1</v>
      </c>
      <c r="K37" s="52" t="s">
        <v>18</v>
      </c>
    </row>
    <row r="38" spans="1:11" hidden="1">
      <c r="A38" s="107" t="s">
        <v>1981</v>
      </c>
      <c r="B38" s="79" t="s">
        <v>1952</v>
      </c>
      <c r="C38" s="79" t="s">
        <v>2002</v>
      </c>
      <c r="D38" s="79" t="s">
        <v>1957</v>
      </c>
      <c r="E38" s="117">
        <v>400000000</v>
      </c>
      <c r="F38" s="91" t="s">
        <v>2003</v>
      </c>
      <c r="G38" s="91"/>
      <c r="H38" s="79" t="s">
        <v>1955</v>
      </c>
      <c r="I38" s="79" t="s">
        <v>1644</v>
      </c>
      <c r="J38" s="79">
        <v>1</v>
      </c>
      <c r="K38" s="79" t="s">
        <v>18</v>
      </c>
    </row>
    <row r="39" spans="1:11" hidden="1">
      <c r="A39" s="108"/>
      <c r="B39" s="604"/>
      <c r="C39" s="604"/>
      <c r="D39" s="604"/>
      <c r="E39" s="118"/>
      <c r="F39" s="617"/>
      <c r="G39" s="617"/>
      <c r="H39" s="604"/>
      <c r="I39" s="604"/>
      <c r="J39" s="604"/>
      <c r="K39" s="604"/>
    </row>
    <row r="40" spans="1:11" hidden="1">
      <c r="A40" s="109"/>
      <c r="B40" s="80"/>
      <c r="C40" s="80"/>
      <c r="D40" s="80"/>
      <c r="E40" s="119"/>
      <c r="F40" s="71"/>
      <c r="G40" s="71"/>
      <c r="H40" s="80"/>
      <c r="I40" s="80"/>
      <c r="J40" s="80">
        <f>SUM(J5:J39)</f>
        <v>33</v>
      </c>
      <c r="K40" s="80"/>
    </row>
    <row r="41" spans="1:11" hidden="1"/>
    <row r="42" spans="1:11" ht="18.75" hidden="1">
      <c r="A42" s="1674" t="s">
        <v>2004</v>
      </c>
      <c r="B42" s="1674"/>
      <c r="C42" s="1674"/>
      <c r="D42" s="1674"/>
      <c r="E42" s="1674"/>
      <c r="F42" s="1674"/>
      <c r="G42" s="1674"/>
      <c r="H42" s="1674"/>
      <c r="I42" s="1674"/>
      <c r="J42" s="1674"/>
      <c r="K42" s="1674"/>
    </row>
    <row r="43" spans="1:11" ht="30" hidden="1">
      <c r="A43" s="102" t="s">
        <v>1941</v>
      </c>
      <c r="B43" s="54" t="s">
        <v>1942</v>
      </c>
      <c r="C43" s="54" t="s">
        <v>1943</v>
      </c>
      <c r="D43" s="54" t="s">
        <v>1944</v>
      </c>
      <c r="E43" s="115" t="s">
        <v>1945</v>
      </c>
      <c r="F43" s="30" t="s">
        <v>1946</v>
      </c>
      <c r="G43" s="30"/>
      <c r="H43" s="54" t="s">
        <v>1947</v>
      </c>
      <c r="I43" s="54" t="s">
        <v>1948</v>
      </c>
      <c r="J43" s="76" t="s">
        <v>1949</v>
      </c>
      <c r="K43" s="77" t="s">
        <v>1950</v>
      </c>
    </row>
    <row r="44" spans="1:11" hidden="1">
      <c r="A44" s="103" t="s">
        <v>1996</v>
      </c>
      <c r="B44" s="78" t="s">
        <v>1966</v>
      </c>
      <c r="C44" s="78" t="s">
        <v>2005</v>
      </c>
      <c r="D44" s="78" t="s">
        <v>1957</v>
      </c>
      <c r="E44" s="116">
        <v>2400000</v>
      </c>
      <c r="F44" s="89" t="s">
        <v>2006</v>
      </c>
      <c r="G44" s="89"/>
      <c r="H44" s="78" t="s">
        <v>1955</v>
      </c>
      <c r="I44" s="78" t="s">
        <v>1625</v>
      </c>
      <c r="J44" s="78">
        <v>1</v>
      </c>
      <c r="K44" s="78" t="s">
        <v>18</v>
      </c>
    </row>
    <row r="45" spans="1:11" hidden="1">
      <c r="A45" s="103" t="s">
        <v>1951</v>
      </c>
      <c r="B45" s="78" t="s">
        <v>1952</v>
      </c>
      <c r="C45" s="78" t="s">
        <v>2007</v>
      </c>
      <c r="D45" s="78" t="s">
        <v>75</v>
      </c>
      <c r="E45" s="116">
        <v>1300000</v>
      </c>
      <c r="F45" s="89" t="s">
        <v>2008</v>
      </c>
      <c r="G45" s="89"/>
      <c r="H45" s="78" t="s">
        <v>1625</v>
      </c>
      <c r="I45" s="78" t="s">
        <v>1644</v>
      </c>
      <c r="J45" s="78">
        <v>1</v>
      </c>
      <c r="K45" s="78" t="s">
        <v>18</v>
      </c>
    </row>
    <row r="46" spans="1:11" hidden="1">
      <c r="A46" s="103" t="s">
        <v>1951</v>
      </c>
      <c r="B46" s="78" t="s">
        <v>1966</v>
      </c>
      <c r="C46" s="78" t="s">
        <v>2009</v>
      </c>
      <c r="D46" s="78" t="s">
        <v>75</v>
      </c>
      <c r="E46" s="116">
        <v>3000000</v>
      </c>
      <c r="F46" s="89" t="s">
        <v>2010</v>
      </c>
      <c r="G46" s="89"/>
      <c r="H46" s="78" t="s">
        <v>1625</v>
      </c>
      <c r="I46" s="78" t="s">
        <v>1644</v>
      </c>
      <c r="J46" s="78">
        <v>1</v>
      </c>
      <c r="K46" s="78" t="s">
        <v>18</v>
      </c>
    </row>
    <row r="47" spans="1:11" hidden="1">
      <c r="A47" s="104">
        <v>44287</v>
      </c>
      <c r="B47" s="78" t="s">
        <v>1952</v>
      </c>
      <c r="C47" s="78" t="s">
        <v>2011</v>
      </c>
      <c r="D47" s="78" t="s">
        <v>1957</v>
      </c>
      <c r="E47" s="116">
        <v>1300000</v>
      </c>
      <c r="F47" s="89" t="s">
        <v>1968</v>
      </c>
      <c r="G47" s="89"/>
      <c r="H47" s="78" t="s">
        <v>1625</v>
      </c>
      <c r="I47" s="78" t="s">
        <v>1644</v>
      </c>
      <c r="J47" s="78">
        <v>1</v>
      </c>
      <c r="K47" s="78" t="s">
        <v>18</v>
      </c>
    </row>
    <row r="48" spans="1:11" hidden="1">
      <c r="A48" s="104">
        <v>44317</v>
      </c>
      <c r="B48" s="78" t="s">
        <v>1966</v>
      </c>
      <c r="C48" s="78" t="s">
        <v>2012</v>
      </c>
      <c r="D48" s="78" t="s">
        <v>1957</v>
      </c>
      <c r="E48" s="116">
        <v>2300000</v>
      </c>
      <c r="F48" s="89" t="s">
        <v>2013</v>
      </c>
      <c r="G48" s="89"/>
      <c r="H48" s="78" t="s">
        <v>1625</v>
      </c>
      <c r="I48" s="78" t="s">
        <v>1644</v>
      </c>
      <c r="J48" s="78">
        <v>1</v>
      </c>
      <c r="K48" s="78" t="s">
        <v>44</v>
      </c>
    </row>
    <row r="49" spans="1:11" hidden="1">
      <c r="A49" s="104">
        <v>44348</v>
      </c>
      <c r="B49" s="78" t="s">
        <v>1952</v>
      </c>
      <c r="C49" s="78" t="s">
        <v>2014</v>
      </c>
      <c r="D49" s="78" t="s">
        <v>75</v>
      </c>
      <c r="E49" s="116">
        <v>1300000</v>
      </c>
      <c r="F49" s="89" t="s">
        <v>2015</v>
      </c>
      <c r="G49" s="89"/>
      <c r="H49" s="78" t="s">
        <v>1625</v>
      </c>
      <c r="I49" s="78" t="s">
        <v>1644</v>
      </c>
      <c r="J49" s="78">
        <v>1</v>
      </c>
      <c r="K49" s="78" t="s">
        <v>44</v>
      </c>
    </row>
    <row r="50" spans="1:11" hidden="1">
      <c r="A50" s="104">
        <v>44378</v>
      </c>
      <c r="B50" s="78" t="s">
        <v>1952</v>
      </c>
      <c r="C50" s="78" t="s">
        <v>2016</v>
      </c>
      <c r="D50" s="78" t="s">
        <v>1957</v>
      </c>
      <c r="E50" s="116">
        <v>1200000</v>
      </c>
      <c r="F50" s="89" t="s">
        <v>1968</v>
      </c>
      <c r="G50" s="89"/>
      <c r="H50" s="78" t="s">
        <v>1625</v>
      </c>
      <c r="I50" s="78" t="s">
        <v>1644</v>
      </c>
      <c r="J50" s="78">
        <v>1</v>
      </c>
      <c r="K50" s="78" t="s">
        <v>44</v>
      </c>
    </row>
    <row r="51" spans="1:11" hidden="1">
      <c r="A51" s="104">
        <v>44409</v>
      </c>
      <c r="B51" s="78" t="s">
        <v>1952</v>
      </c>
      <c r="C51" s="78" t="s">
        <v>2017</v>
      </c>
      <c r="D51" s="78" t="s">
        <v>1957</v>
      </c>
      <c r="E51" s="116">
        <v>1200000</v>
      </c>
      <c r="F51" s="89" t="s">
        <v>2018</v>
      </c>
      <c r="G51" s="89"/>
      <c r="H51" s="78" t="s">
        <v>1644</v>
      </c>
      <c r="I51" s="78" t="s">
        <v>1644</v>
      </c>
      <c r="J51" s="78">
        <v>1</v>
      </c>
      <c r="K51" s="78" t="s">
        <v>44</v>
      </c>
    </row>
    <row r="52" spans="1:11" hidden="1">
      <c r="A52" s="104">
        <v>44409</v>
      </c>
      <c r="B52" s="78" t="s">
        <v>1952</v>
      </c>
      <c r="C52" s="78" t="s">
        <v>2019</v>
      </c>
      <c r="D52" s="78" t="s">
        <v>1957</v>
      </c>
      <c r="E52" s="116">
        <v>1100000</v>
      </c>
      <c r="F52" s="89" t="s">
        <v>1970</v>
      </c>
      <c r="G52" s="89"/>
      <c r="H52" s="78" t="s">
        <v>1644</v>
      </c>
      <c r="I52" s="78" t="s">
        <v>1644</v>
      </c>
      <c r="J52" s="78">
        <v>1</v>
      </c>
      <c r="K52" s="78" t="s">
        <v>44</v>
      </c>
    </row>
    <row r="53" spans="1:11" hidden="1">
      <c r="A53" s="104" t="s">
        <v>1973</v>
      </c>
      <c r="B53" s="78" t="s">
        <v>1952</v>
      </c>
      <c r="C53" s="78" t="s">
        <v>519</v>
      </c>
      <c r="D53" s="78" t="s">
        <v>75</v>
      </c>
      <c r="E53" s="116">
        <v>1300000</v>
      </c>
      <c r="F53" s="89" t="s">
        <v>2020</v>
      </c>
      <c r="G53" s="89"/>
      <c r="H53" s="78" t="s">
        <v>1644</v>
      </c>
      <c r="I53" s="78" t="s">
        <v>1644</v>
      </c>
      <c r="J53" s="78">
        <v>1</v>
      </c>
      <c r="K53" s="78" t="s">
        <v>32</v>
      </c>
    </row>
    <row r="54" spans="1:11" hidden="1">
      <c r="A54" s="104" t="s">
        <v>1978</v>
      </c>
      <c r="B54" s="78" t="s">
        <v>1952</v>
      </c>
      <c r="C54" s="78" t="s">
        <v>88</v>
      </c>
      <c r="D54" s="78" t="s">
        <v>75</v>
      </c>
      <c r="E54" s="116">
        <v>1300000</v>
      </c>
      <c r="F54" s="89" t="s">
        <v>2021</v>
      </c>
      <c r="G54" s="89"/>
      <c r="H54" s="78" t="s">
        <v>1644</v>
      </c>
      <c r="I54" s="78" t="s">
        <v>1644</v>
      </c>
      <c r="J54" s="78">
        <v>1</v>
      </c>
      <c r="K54" s="78" t="s">
        <v>32</v>
      </c>
    </row>
    <row r="55" spans="1:11" hidden="1">
      <c r="A55" s="104" t="s">
        <v>1999</v>
      </c>
      <c r="B55" s="78" t="s">
        <v>1952</v>
      </c>
      <c r="C55" s="78" t="s">
        <v>2022</v>
      </c>
      <c r="D55" s="78" t="s">
        <v>75</v>
      </c>
      <c r="E55" s="116">
        <v>1450000</v>
      </c>
      <c r="F55" s="89" t="s">
        <v>2023</v>
      </c>
      <c r="G55" s="89"/>
      <c r="H55" s="78" t="s">
        <v>1644</v>
      </c>
      <c r="I55" s="78" t="s">
        <v>1644</v>
      </c>
      <c r="J55" s="78">
        <v>1</v>
      </c>
      <c r="K55" s="78" t="s">
        <v>18</v>
      </c>
    </row>
    <row r="56" spans="1:11" hidden="1">
      <c r="A56" s="104" t="s">
        <v>2024</v>
      </c>
      <c r="B56" s="78" t="s">
        <v>1952</v>
      </c>
      <c r="C56" s="78" t="s">
        <v>2025</v>
      </c>
      <c r="D56" s="78" t="s">
        <v>75</v>
      </c>
      <c r="E56" s="116">
        <v>1500000</v>
      </c>
      <c r="F56" s="89" t="s">
        <v>2026</v>
      </c>
      <c r="G56" s="89"/>
      <c r="H56" s="78" t="s">
        <v>1644</v>
      </c>
      <c r="I56" s="78" t="s">
        <v>1644</v>
      </c>
      <c r="J56" s="78">
        <v>1</v>
      </c>
      <c r="K56" s="78" t="s">
        <v>18</v>
      </c>
    </row>
    <row r="57" spans="1:11" hidden="1">
      <c r="A57" s="104" t="s">
        <v>2024</v>
      </c>
      <c r="B57" s="78" t="s">
        <v>1952</v>
      </c>
      <c r="C57" s="78" t="s">
        <v>2027</v>
      </c>
      <c r="D57" s="78" t="s">
        <v>1957</v>
      </c>
      <c r="E57" s="116">
        <v>1600000</v>
      </c>
      <c r="F57" s="89" t="s">
        <v>2028</v>
      </c>
      <c r="G57" s="89"/>
      <c r="H57" s="78" t="s">
        <v>1644</v>
      </c>
      <c r="I57" s="78" t="s">
        <v>1644</v>
      </c>
      <c r="J57" s="78">
        <v>1</v>
      </c>
      <c r="K57" s="78" t="s">
        <v>32</v>
      </c>
    </row>
    <row r="58" spans="1:11" hidden="1">
      <c r="A58" s="74" t="s">
        <v>1981</v>
      </c>
      <c r="B58" s="55" t="s">
        <v>1952</v>
      </c>
      <c r="C58" s="55" t="s">
        <v>2029</v>
      </c>
      <c r="D58" s="55" t="s">
        <v>1957</v>
      </c>
      <c r="E58" s="121">
        <v>1050000</v>
      </c>
      <c r="F58" s="92" t="s">
        <v>2030</v>
      </c>
      <c r="G58" s="92"/>
      <c r="H58" s="55" t="s">
        <v>1955</v>
      </c>
      <c r="I58" s="55" t="s">
        <v>1644</v>
      </c>
      <c r="J58" s="55">
        <v>1</v>
      </c>
      <c r="K58" s="55" t="s">
        <v>18</v>
      </c>
    </row>
    <row r="59" spans="1:11" hidden="1">
      <c r="A59" s="74" t="s">
        <v>1989</v>
      </c>
      <c r="B59" s="55" t="s">
        <v>1966</v>
      </c>
      <c r="C59" s="55" t="s">
        <v>2031</v>
      </c>
      <c r="D59" s="55" t="s">
        <v>2032</v>
      </c>
      <c r="E59" s="121">
        <v>950000</v>
      </c>
      <c r="F59" s="92" t="s">
        <v>1968</v>
      </c>
      <c r="G59" s="92"/>
      <c r="H59" s="55" t="s">
        <v>1644</v>
      </c>
      <c r="I59" s="55" t="s">
        <v>1644</v>
      </c>
      <c r="J59" s="55">
        <v>1</v>
      </c>
      <c r="K59" s="55" t="s">
        <v>32</v>
      </c>
    </row>
    <row r="60" spans="1:11" hidden="1">
      <c r="A60" s="74" t="s">
        <v>1989</v>
      </c>
      <c r="B60" s="55" t="s">
        <v>1966</v>
      </c>
      <c r="C60" s="55" t="s">
        <v>2033</v>
      </c>
      <c r="D60" s="55" t="s">
        <v>75</v>
      </c>
      <c r="E60" s="121">
        <v>2600000</v>
      </c>
      <c r="F60" s="92" t="s">
        <v>1968</v>
      </c>
      <c r="G60" s="92"/>
      <c r="H60" s="55" t="s">
        <v>1955</v>
      </c>
      <c r="I60" s="55" t="s">
        <v>1644</v>
      </c>
      <c r="J60" s="55">
        <v>1</v>
      </c>
      <c r="K60" s="55" t="s">
        <v>18</v>
      </c>
    </row>
    <row r="61" spans="1:11" hidden="1">
      <c r="A61" s="74" t="s">
        <v>1989</v>
      </c>
      <c r="B61" s="55" t="s">
        <v>2034</v>
      </c>
      <c r="C61" s="55" t="s">
        <v>2035</v>
      </c>
      <c r="D61" s="55" t="s">
        <v>1993</v>
      </c>
      <c r="E61" s="121">
        <v>6000000</v>
      </c>
      <c r="F61" s="92" t="s">
        <v>1968</v>
      </c>
      <c r="G61" s="92"/>
      <c r="H61" s="55" t="s">
        <v>1955</v>
      </c>
      <c r="I61" s="55" t="s">
        <v>1644</v>
      </c>
      <c r="J61" s="55">
        <v>1</v>
      </c>
      <c r="K61" s="55" t="s">
        <v>32</v>
      </c>
    </row>
    <row r="62" spans="1:11" hidden="1">
      <c r="A62" s="74" t="s">
        <v>1989</v>
      </c>
      <c r="B62" s="55" t="s">
        <v>1952</v>
      </c>
      <c r="C62" s="55" t="s">
        <v>2036</v>
      </c>
      <c r="D62" s="55" t="s">
        <v>2037</v>
      </c>
      <c r="E62" s="121">
        <v>700000</v>
      </c>
      <c r="F62" s="92" t="s">
        <v>1968</v>
      </c>
      <c r="G62" s="92"/>
      <c r="H62" s="55" t="s">
        <v>1955</v>
      </c>
      <c r="I62" s="55" t="s">
        <v>1644</v>
      </c>
      <c r="J62" s="55">
        <v>1</v>
      </c>
      <c r="K62" s="55" t="s">
        <v>18</v>
      </c>
    </row>
    <row r="63" spans="1:11" hidden="1">
      <c r="A63" s="74" t="s">
        <v>1989</v>
      </c>
      <c r="B63" s="55" t="s">
        <v>2034</v>
      </c>
      <c r="C63" s="55" t="s">
        <v>2038</v>
      </c>
      <c r="D63" s="55" t="s">
        <v>1993</v>
      </c>
      <c r="E63" s="121">
        <v>450000</v>
      </c>
      <c r="F63" s="92" t="s">
        <v>1968</v>
      </c>
      <c r="G63" s="92"/>
      <c r="H63" s="55" t="s">
        <v>1955</v>
      </c>
      <c r="I63" s="55" t="s">
        <v>1644</v>
      </c>
      <c r="J63" s="55">
        <v>1</v>
      </c>
      <c r="K63" s="55" t="s">
        <v>18</v>
      </c>
    </row>
    <row r="64" spans="1:11" ht="18" hidden="1" customHeight="1">
      <c r="A64" s="103"/>
      <c r="B64" s="78"/>
      <c r="C64" s="78"/>
      <c r="D64" s="78"/>
      <c r="E64" s="116"/>
      <c r="F64" s="89"/>
      <c r="G64" s="89"/>
      <c r="H64" s="78"/>
      <c r="I64" s="78"/>
      <c r="J64" s="78"/>
      <c r="K64" s="78"/>
    </row>
    <row r="65" spans="1:11" hidden="1">
      <c r="A65" s="53" t="s">
        <v>1978</v>
      </c>
      <c r="B65" s="52" t="s">
        <v>1952</v>
      </c>
      <c r="C65" s="52" t="s">
        <v>2039</v>
      </c>
      <c r="D65" s="52" t="s">
        <v>1957</v>
      </c>
      <c r="E65" s="95">
        <v>200000000</v>
      </c>
      <c r="F65" s="90" t="s">
        <v>1977</v>
      </c>
      <c r="G65" s="90"/>
      <c r="H65" s="52" t="s">
        <v>1644</v>
      </c>
      <c r="I65" s="52" t="s">
        <v>1644</v>
      </c>
      <c r="J65" s="52">
        <v>1</v>
      </c>
      <c r="K65" s="52" t="s">
        <v>18</v>
      </c>
    </row>
    <row r="66" spans="1:11" hidden="1">
      <c r="A66" s="53" t="s">
        <v>1978</v>
      </c>
      <c r="B66" s="52" t="s">
        <v>1952</v>
      </c>
      <c r="C66" s="52" t="s">
        <v>2040</v>
      </c>
      <c r="D66" s="52" t="s">
        <v>75</v>
      </c>
      <c r="E66" s="95">
        <v>220000000</v>
      </c>
      <c r="F66" s="90" t="s">
        <v>1968</v>
      </c>
      <c r="G66" s="90"/>
      <c r="H66" s="52" t="s">
        <v>1955</v>
      </c>
      <c r="I66" s="52" t="s">
        <v>1644</v>
      </c>
      <c r="J66" s="52">
        <v>1</v>
      </c>
      <c r="K66" s="52" t="s">
        <v>32</v>
      </c>
    </row>
    <row r="67" spans="1:11" hidden="1">
      <c r="A67" s="105" t="s">
        <v>1999</v>
      </c>
      <c r="B67" s="52" t="s">
        <v>1952</v>
      </c>
      <c r="C67" s="52" t="s">
        <v>153</v>
      </c>
      <c r="D67" s="52" t="s">
        <v>1957</v>
      </c>
      <c r="E67" s="95">
        <v>285000000</v>
      </c>
      <c r="F67" s="90" t="s">
        <v>2030</v>
      </c>
      <c r="G67" s="90"/>
      <c r="H67" s="52" t="s">
        <v>1644</v>
      </c>
      <c r="I67" s="52" t="s">
        <v>1644</v>
      </c>
      <c r="J67" s="52">
        <v>1</v>
      </c>
      <c r="K67" s="52" t="s">
        <v>32</v>
      </c>
    </row>
    <row r="68" spans="1:11" hidden="1">
      <c r="A68" s="105" t="s">
        <v>1981</v>
      </c>
      <c r="B68" s="52" t="s">
        <v>1952</v>
      </c>
      <c r="C68" s="52" t="s">
        <v>2029</v>
      </c>
      <c r="D68" s="52" t="s">
        <v>1957</v>
      </c>
      <c r="E68" s="95">
        <v>197000000</v>
      </c>
      <c r="F68" s="90" t="s">
        <v>2030</v>
      </c>
      <c r="G68" s="90"/>
      <c r="H68" s="52" t="s">
        <v>1955</v>
      </c>
      <c r="I68" s="52" t="s">
        <v>1644</v>
      </c>
      <c r="J68" s="52">
        <v>1</v>
      </c>
      <c r="K68" s="52" t="s">
        <v>18</v>
      </c>
    </row>
    <row r="69" spans="1:11" hidden="1">
      <c r="A69" s="105" t="s">
        <v>1981</v>
      </c>
      <c r="B69" s="52" t="s">
        <v>1952</v>
      </c>
      <c r="C69" s="52" t="s">
        <v>2041</v>
      </c>
      <c r="D69" s="52" t="s">
        <v>75</v>
      </c>
      <c r="E69" s="95">
        <v>230000000</v>
      </c>
      <c r="F69" s="90" t="s">
        <v>1968</v>
      </c>
      <c r="G69" s="90"/>
      <c r="H69" s="52" t="s">
        <v>1955</v>
      </c>
      <c r="I69" s="52" t="s">
        <v>1644</v>
      </c>
      <c r="J69" s="52">
        <v>1</v>
      </c>
      <c r="K69" s="52" t="s">
        <v>32</v>
      </c>
    </row>
    <row r="70" spans="1:11" hidden="1">
      <c r="A70" s="105" t="s">
        <v>1981</v>
      </c>
      <c r="B70" s="52" t="s">
        <v>1952</v>
      </c>
      <c r="C70" s="52" t="s">
        <v>2042</v>
      </c>
      <c r="D70" s="52" t="s">
        <v>1957</v>
      </c>
      <c r="E70" s="95">
        <v>237000000</v>
      </c>
      <c r="F70" s="90" t="s">
        <v>2043</v>
      </c>
      <c r="G70" s="90"/>
      <c r="H70" s="52" t="s">
        <v>1955</v>
      </c>
      <c r="I70" s="52" t="s">
        <v>1644</v>
      </c>
      <c r="J70" s="52">
        <v>1</v>
      </c>
      <c r="K70" s="52" t="s">
        <v>32</v>
      </c>
    </row>
    <row r="71" spans="1:11" hidden="1">
      <c r="A71" s="105" t="s">
        <v>1989</v>
      </c>
      <c r="B71" s="52" t="s">
        <v>1952</v>
      </c>
      <c r="C71" s="52" t="s">
        <v>2044</v>
      </c>
      <c r="D71" s="52" t="s">
        <v>1957</v>
      </c>
      <c r="E71" s="95">
        <v>145000000</v>
      </c>
      <c r="F71" s="90" t="s">
        <v>1968</v>
      </c>
      <c r="G71" s="90"/>
      <c r="H71" s="52" t="s">
        <v>1955</v>
      </c>
      <c r="I71" s="52" t="s">
        <v>1644</v>
      </c>
      <c r="J71" s="52">
        <v>1</v>
      </c>
      <c r="K71" s="52" t="s">
        <v>18</v>
      </c>
    </row>
    <row r="72" spans="1:11" hidden="1">
      <c r="A72" s="105" t="s">
        <v>1989</v>
      </c>
      <c r="B72" s="52" t="s">
        <v>1952</v>
      </c>
      <c r="C72" s="52" t="s">
        <v>519</v>
      </c>
      <c r="D72" s="52" t="s">
        <v>75</v>
      </c>
      <c r="E72" s="95">
        <v>238200000</v>
      </c>
      <c r="F72" s="90" t="s">
        <v>1968</v>
      </c>
      <c r="G72" s="90"/>
      <c r="H72" s="52" t="s">
        <v>1955</v>
      </c>
      <c r="I72" s="52" t="s">
        <v>1955</v>
      </c>
      <c r="J72" s="52">
        <v>1</v>
      </c>
      <c r="K72" s="52" t="s">
        <v>32</v>
      </c>
    </row>
    <row r="73" spans="1:11" hidden="1">
      <c r="A73" s="105" t="s">
        <v>1989</v>
      </c>
      <c r="B73" s="52" t="s">
        <v>1952</v>
      </c>
      <c r="C73" s="52" t="s">
        <v>2045</v>
      </c>
      <c r="D73" s="52" t="s">
        <v>76</v>
      </c>
      <c r="E73" s="95">
        <v>230000000</v>
      </c>
      <c r="F73" s="90" t="s">
        <v>1968</v>
      </c>
      <c r="G73" s="90"/>
      <c r="H73" s="52" t="s">
        <v>1955</v>
      </c>
      <c r="I73" s="52" t="s">
        <v>1644</v>
      </c>
      <c r="J73" s="52">
        <v>1</v>
      </c>
      <c r="K73" s="52" t="s">
        <v>18</v>
      </c>
    </row>
    <row r="74" spans="1:11" hidden="1">
      <c r="A74" s="105" t="s">
        <v>1989</v>
      </c>
      <c r="B74" s="52" t="s">
        <v>1966</v>
      </c>
      <c r="C74" s="52" t="s">
        <v>2033</v>
      </c>
      <c r="D74" s="52" t="s">
        <v>75</v>
      </c>
      <c r="E74" s="95">
        <v>590000000</v>
      </c>
      <c r="F74" s="90" t="s">
        <v>1968</v>
      </c>
      <c r="G74" s="90"/>
      <c r="H74" s="52" t="s">
        <v>1955</v>
      </c>
      <c r="I74" s="52" t="s">
        <v>1644</v>
      </c>
      <c r="J74" s="52">
        <v>1</v>
      </c>
      <c r="K74" s="52" t="s">
        <v>32</v>
      </c>
    </row>
    <row r="75" spans="1:11" hidden="1">
      <c r="A75" s="103"/>
      <c r="B75" s="78"/>
      <c r="C75" s="78"/>
      <c r="D75" s="78"/>
      <c r="E75" s="116"/>
      <c r="F75" s="89"/>
      <c r="G75" s="89"/>
      <c r="H75" s="78"/>
      <c r="I75" s="78"/>
      <c r="J75" s="78"/>
      <c r="K75" s="78"/>
    </row>
    <row r="76" spans="1:11" hidden="1">
      <c r="A76" s="104"/>
      <c r="B76" s="78"/>
      <c r="C76" s="78"/>
      <c r="D76" s="78"/>
      <c r="E76" s="116"/>
      <c r="F76" s="89"/>
      <c r="G76" s="89"/>
      <c r="H76" s="78"/>
      <c r="I76" s="78"/>
      <c r="J76" s="78">
        <f>SUM(J44:J75)</f>
        <v>30</v>
      </c>
      <c r="K76" s="78"/>
    </row>
    <row r="77" spans="1:11" hidden="1"/>
    <row r="78" spans="1:11" ht="18.75" hidden="1">
      <c r="A78" s="1674" t="s">
        <v>2046</v>
      </c>
      <c r="B78" s="1674"/>
      <c r="C78" s="1674"/>
      <c r="D78" s="1674"/>
      <c r="E78" s="1674"/>
      <c r="F78" s="1674"/>
      <c r="G78" s="1674"/>
      <c r="H78" s="1674"/>
      <c r="I78" s="1674"/>
      <c r="J78" s="1674"/>
      <c r="K78" s="1674"/>
    </row>
    <row r="79" spans="1:11" ht="30" hidden="1">
      <c r="A79" s="102" t="s">
        <v>1941</v>
      </c>
      <c r="B79" s="54" t="s">
        <v>1942</v>
      </c>
      <c r="C79" s="54" t="s">
        <v>1943</v>
      </c>
      <c r="D79" s="54" t="s">
        <v>1944</v>
      </c>
      <c r="E79" s="115" t="s">
        <v>1945</v>
      </c>
      <c r="F79" s="30" t="s">
        <v>1946</v>
      </c>
      <c r="G79" s="30"/>
      <c r="H79" s="54" t="s">
        <v>1947</v>
      </c>
      <c r="I79" s="54" t="s">
        <v>1948</v>
      </c>
      <c r="J79" s="76" t="s">
        <v>1949</v>
      </c>
      <c r="K79" s="77" t="s">
        <v>1950</v>
      </c>
    </row>
    <row r="80" spans="1:11" hidden="1">
      <c r="A80" s="103" t="s">
        <v>1951</v>
      </c>
      <c r="B80" s="78" t="s">
        <v>1952</v>
      </c>
      <c r="C80" s="78" t="s">
        <v>722</v>
      </c>
      <c r="D80" s="78" t="s">
        <v>74</v>
      </c>
      <c r="E80" s="116">
        <v>1000000</v>
      </c>
      <c r="F80" s="89" t="s">
        <v>2047</v>
      </c>
      <c r="G80" s="89"/>
      <c r="H80" s="78" t="s">
        <v>1625</v>
      </c>
      <c r="I80" s="78" t="s">
        <v>1644</v>
      </c>
      <c r="J80" s="78">
        <v>1</v>
      </c>
      <c r="K80" s="78" t="s">
        <v>18</v>
      </c>
    </row>
    <row r="81" spans="1:11" hidden="1">
      <c r="A81" s="111" t="s">
        <v>1959</v>
      </c>
      <c r="B81" s="82" t="s">
        <v>1952</v>
      </c>
      <c r="C81" s="82" t="s">
        <v>2048</v>
      </c>
      <c r="D81" s="82" t="s">
        <v>74</v>
      </c>
      <c r="E81" s="122">
        <v>1350000</v>
      </c>
      <c r="F81" s="93" t="s">
        <v>2049</v>
      </c>
      <c r="G81" s="93"/>
      <c r="H81" s="82" t="s">
        <v>1625</v>
      </c>
      <c r="I81" s="82" t="s">
        <v>1644</v>
      </c>
      <c r="J81" s="82">
        <v>1</v>
      </c>
      <c r="K81" s="82" t="s">
        <v>18</v>
      </c>
    </row>
    <row r="82" spans="1:11" hidden="1">
      <c r="A82" s="111" t="s">
        <v>1959</v>
      </c>
      <c r="B82" s="82" t="s">
        <v>1952</v>
      </c>
      <c r="C82" s="82" t="s">
        <v>2050</v>
      </c>
      <c r="D82" s="82" t="s">
        <v>74</v>
      </c>
      <c r="E82" s="122">
        <v>1150000</v>
      </c>
      <c r="F82" s="93" t="s">
        <v>2051</v>
      </c>
      <c r="G82" s="93"/>
      <c r="H82" s="82" t="s">
        <v>1625</v>
      </c>
      <c r="I82" s="82" t="s">
        <v>1644</v>
      </c>
      <c r="J82" s="82">
        <v>1</v>
      </c>
      <c r="K82" s="82" t="s">
        <v>18</v>
      </c>
    </row>
    <row r="83" spans="1:11" hidden="1">
      <c r="A83" s="111">
        <v>44348</v>
      </c>
      <c r="B83" s="82" t="s">
        <v>1952</v>
      </c>
      <c r="C83" s="82" t="s">
        <v>2052</v>
      </c>
      <c r="D83" s="82" t="s">
        <v>74</v>
      </c>
      <c r="E83" s="122">
        <v>1200000</v>
      </c>
      <c r="F83" s="93" t="s">
        <v>2049</v>
      </c>
      <c r="G83" s="93"/>
      <c r="H83" s="82" t="s">
        <v>1625</v>
      </c>
      <c r="I83" s="82" t="s">
        <v>1644</v>
      </c>
      <c r="J83" s="82">
        <v>1</v>
      </c>
      <c r="K83" s="82" t="s">
        <v>44</v>
      </c>
    </row>
    <row r="84" spans="1:11" hidden="1">
      <c r="A84" s="111">
        <v>43983</v>
      </c>
      <c r="B84" s="82" t="s">
        <v>1952</v>
      </c>
      <c r="C84" s="82" t="s">
        <v>2053</v>
      </c>
      <c r="D84" s="82" t="s">
        <v>75</v>
      </c>
      <c r="E84" s="122">
        <v>1500000</v>
      </c>
      <c r="F84" s="93" t="s">
        <v>1968</v>
      </c>
      <c r="G84" s="93"/>
      <c r="H84" s="82" t="s">
        <v>1955</v>
      </c>
      <c r="I84" s="82" t="s">
        <v>1644</v>
      </c>
      <c r="J84" s="82">
        <v>1</v>
      </c>
      <c r="K84" s="82" t="s">
        <v>44</v>
      </c>
    </row>
    <row r="85" spans="1:11" hidden="1">
      <c r="A85" s="111">
        <v>44348</v>
      </c>
      <c r="B85" s="82" t="s">
        <v>1952</v>
      </c>
      <c r="C85" s="82" t="s">
        <v>2054</v>
      </c>
      <c r="D85" s="82" t="s">
        <v>74</v>
      </c>
      <c r="E85" s="122">
        <v>1100000</v>
      </c>
      <c r="F85" s="93" t="s">
        <v>2049</v>
      </c>
      <c r="G85" s="93"/>
      <c r="H85" s="82" t="s">
        <v>1625</v>
      </c>
      <c r="I85" s="82" t="s">
        <v>1644</v>
      </c>
      <c r="J85" s="82">
        <v>1</v>
      </c>
      <c r="K85" s="82" t="s">
        <v>18</v>
      </c>
    </row>
    <row r="86" spans="1:11" hidden="1">
      <c r="A86" s="111">
        <v>44348</v>
      </c>
      <c r="B86" s="82" t="s">
        <v>1952</v>
      </c>
      <c r="C86" s="82" t="s">
        <v>2055</v>
      </c>
      <c r="D86" s="82" t="s">
        <v>74</v>
      </c>
      <c r="E86" s="122">
        <v>1250000</v>
      </c>
      <c r="F86" s="93" t="s">
        <v>2049</v>
      </c>
      <c r="G86" s="93"/>
      <c r="H86" s="82" t="s">
        <v>1955</v>
      </c>
      <c r="I86" s="82" t="s">
        <v>1644</v>
      </c>
      <c r="J86" s="82">
        <v>1</v>
      </c>
      <c r="K86" s="82" t="s">
        <v>18</v>
      </c>
    </row>
    <row r="87" spans="1:11" hidden="1">
      <c r="A87" s="111">
        <v>44409</v>
      </c>
      <c r="B87" s="82" t="s">
        <v>1952</v>
      </c>
      <c r="C87" s="82" t="s">
        <v>2056</v>
      </c>
      <c r="D87" s="82" t="s">
        <v>74</v>
      </c>
      <c r="E87" s="122">
        <v>880000</v>
      </c>
      <c r="F87" s="93" t="s">
        <v>2057</v>
      </c>
      <c r="G87" s="93"/>
      <c r="H87" s="82" t="s">
        <v>1644</v>
      </c>
      <c r="I87" s="82" t="s">
        <v>1644</v>
      </c>
      <c r="J87" s="82">
        <v>1</v>
      </c>
      <c r="K87" s="82" t="s">
        <v>18</v>
      </c>
    </row>
    <row r="88" spans="1:11" hidden="1">
      <c r="A88" s="111">
        <v>44531</v>
      </c>
      <c r="B88" s="82" t="s">
        <v>1952</v>
      </c>
      <c r="C88" s="82" t="s">
        <v>2058</v>
      </c>
      <c r="D88" s="82" t="s">
        <v>74</v>
      </c>
      <c r="E88" s="122">
        <v>1300000</v>
      </c>
      <c r="F88" s="93" t="s">
        <v>1968</v>
      </c>
      <c r="G88" s="93"/>
      <c r="H88" s="82" t="s">
        <v>1644</v>
      </c>
      <c r="I88" s="82" t="s">
        <v>1644</v>
      </c>
      <c r="J88" s="82">
        <v>1</v>
      </c>
      <c r="K88" s="82" t="s">
        <v>32</v>
      </c>
    </row>
    <row r="89" spans="1:11" hidden="1">
      <c r="A89" s="111">
        <v>44531</v>
      </c>
      <c r="B89" s="82" t="s">
        <v>1952</v>
      </c>
      <c r="C89" s="82" t="s">
        <v>2059</v>
      </c>
      <c r="D89" s="82" t="s">
        <v>74</v>
      </c>
      <c r="E89" s="122">
        <v>1200000</v>
      </c>
      <c r="F89" s="93" t="s">
        <v>2049</v>
      </c>
      <c r="G89" s="93"/>
      <c r="H89" s="82" t="s">
        <v>1644</v>
      </c>
      <c r="I89" s="82" t="s">
        <v>1644</v>
      </c>
      <c r="J89" s="82">
        <v>1</v>
      </c>
      <c r="K89" s="82" t="s">
        <v>18</v>
      </c>
    </row>
    <row r="90" spans="1:11" hidden="1">
      <c r="A90" s="111" t="s">
        <v>1989</v>
      </c>
      <c r="B90" s="82" t="s">
        <v>2060</v>
      </c>
      <c r="C90" s="82" t="s">
        <v>2061</v>
      </c>
      <c r="D90" s="82" t="s">
        <v>2062</v>
      </c>
      <c r="E90" s="122">
        <v>4000000</v>
      </c>
      <c r="F90" s="93" t="s">
        <v>1968</v>
      </c>
      <c r="G90" s="93"/>
      <c r="H90" s="82" t="s">
        <v>1955</v>
      </c>
      <c r="I90" s="82" t="s">
        <v>1644</v>
      </c>
      <c r="J90" s="82">
        <v>1</v>
      </c>
      <c r="K90" s="82" t="s">
        <v>18</v>
      </c>
    </row>
    <row r="91" spans="1:11" hidden="1">
      <c r="A91" s="111" t="s">
        <v>1989</v>
      </c>
      <c r="B91" s="82" t="s">
        <v>1952</v>
      </c>
      <c r="C91" s="82" t="s">
        <v>2063</v>
      </c>
      <c r="D91" s="82" t="s">
        <v>2062</v>
      </c>
      <c r="E91" s="122">
        <v>7500000</v>
      </c>
      <c r="F91" s="93" t="s">
        <v>1968</v>
      </c>
      <c r="G91" s="93"/>
      <c r="H91" s="82" t="s">
        <v>1955</v>
      </c>
      <c r="I91" s="82" t="s">
        <v>1644</v>
      </c>
      <c r="J91" s="82">
        <v>1</v>
      </c>
      <c r="K91" s="82" t="s">
        <v>32</v>
      </c>
    </row>
    <row r="92" spans="1:11" hidden="1">
      <c r="A92" s="111" t="s">
        <v>1994</v>
      </c>
      <c r="B92" s="82" t="s">
        <v>1952</v>
      </c>
      <c r="C92" s="82" t="s">
        <v>2064</v>
      </c>
      <c r="D92" s="82" t="s">
        <v>74</v>
      </c>
      <c r="E92" s="122">
        <v>1200000</v>
      </c>
      <c r="F92" s="93" t="s">
        <v>2065</v>
      </c>
      <c r="G92" s="93"/>
      <c r="H92" s="82" t="s">
        <v>1644</v>
      </c>
      <c r="I92" s="82" t="s">
        <v>1644</v>
      </c>
      <c r="J92" s="82">
        <v>1</v>
      </c>
      <c r="K92" s="82" t="s">
        <v>18</v>
      </c>
    </row>
    <row r="93" spans="1:11" hidden="1">
      <c r="A93" s="111" t="s">
        <v>1994</v>
      </c>
      <c r="B93" s="82" t="s">
        <v>1952</v>
      </c>
      <c r="C93" s="82" t="s">
        <v>2066</v>
      </c>
      <c r="D93" s="82" t="s">
        <v>74</v>
      </c>
      <c r="E93" s="122">
        <v>1100000</v>
      </c>
      <c r="F93" s="93" t="s">
        <v>2065</v>
      </c>
      <c r="G93" s="93"/>
      <c r="H93" s="82" t="s">
        <v>1644</v>
      </c>
      <c r="I93" s="82" t="s">
        <v>1644</v>
      </c>
      <c r="J93" s="82">
        <v>1</v>
      </c>
      <c r="K93" s="82" t="s">
        <v>32</v>
      </c>
    </row>
    <row r="94" spans="1:11" hidden="1">
      <c r="A94" s="111" t="s">
        <v>1994</v>
      </c>
      <c r="B94" s="82" t="s">
        <v>1952</v>
      </c>
      <c r="C94" s="82" t="s">
        <v>2067</v>
      </c>
      <c r="D94" s="82" t="s">
        <v>76</v>
      </c>
      <c r="E94" s="122">
        <v>780000</v>
      </c>
      <c r="F94" s="93" t="s">
        <v>1968</v>
      </c>
      <c r="G94" s="93"/>
      <c r="H94" s="82" t="s">
        <v>1644</v>
      </c>
      <c r="I94" s="82" t="s">
        <v>1644</v>
      </c>
      <c r="J94" s="82">
        <v>1</v>
      </c>
      <c r="K94" s="82" t="s">
        <v>18</v>
      </c>
    </row>
    <row r="95" spans="1:11" hidden="1">
      <c r="A95" s="112" t="s">
        <v>1994</v>
      </c>
      <c r="B95" s="56" t="s">
        <v>1952</v>
      </c>
      <c r="C95" s="56" t="s">
        <v>2068</v>
      </c>
      <c r="D95" s="56" t="s">
        <v>2062</v>
      </c>
      <c r="E95" s="123">
        <v>7000000</v>
      </c>
      <c r="F95" s="94" t="s">
        <v>1968</v>
      </c>
      <c r="G95" s="94"/>
      <c r="H95" s="56" t="s">
        <v>1955</v>
      </c>
      <c r="I95" s="56" t="s">
        <v>1644</v>
      </c>
      <c r="J95" s="56">
        <v>1</v>
      </c>
      <c r="K95" s="56" t="s">
        <v>18</v>
      </c>
    </row>
    <row r="96" spans="1:11" hidden="1">
      <c r="A96" s="112" t="s">
        <v>2069</v>
      </c>
      <c r="B96" s="56" t="s">
        <v>2034</v>
      </c>
      <c r="C96" s="56" t="s">
        <v>2070</v>
      </c>
      <c r="D96" s="56" t="s">
        <v>2062</v>
      </c>
      <c r="E96" s="123">
        <v>4000000</v>
      </c>
      <c r="F96" s="94" t="s">
        <v>1968</v>
      </c>
      <c r="G96" s="94"/>
      <c r="H96" s="56" t="s">
        <v>1955</v>
      </c>
      <c r="I96" s="56" t="s">
        <v>1644</v>
      </c>
      <c r="J96" s="56">
        <v>1</v>
      </c>
      <c r="K96" s="56" t="s">
        <v>18</v>
      </c>
    </row>
    <row r="97" spans="1:11" hidden="1">
      <c r="A97" s="112" t="s">
        <v>2069</v>
      </c>
      <c r="B97" s="56" t="s">
        <v>1952</v>
      </c>
      <c r="C97" s="56" t="s">
        <v>2071</v>
      </c>
      <c r="D97" s="56" t="s">
        <v>2072</v>
      </c>
      <c r="E97" s="123">
        <v>1000000</v>
      </c>
      <c r="F97" s="94" t="s">
        <v>1968</v>
      </c>
      <c r="G97" s="94"/>
      <c r="H97" s="56" t="s">
        <v>1955</v>
      </c>
      <c r="I97" s="56" t="s">
        <v>1644</v>
      </c>
      <c r="J97" s="56">
        <v>1</v>
      </c>
      <c r="K97" s="56" t="s">
        <v>18</v>
      </c>
    </row>
    <row r="98" spans="1:11" hidden="1">
      <c r="A98" s="112" t="s">
        <v>2069</v>
      </c>
      <c r="B98" s="56" t="s">
        <v>2034</v>
      </c>
      <c r="C98" s="56" t="s">
        <v>2073</v>
      </c>
      <c r="D98" s="56" t="s">
        <v>74</v>
      </c>
      <c r="E98" s="123">
        <v>5500000</v>
      </c>
      <c r="F98" s="94" t="s">
        <v>1968</v>
      </c>
      <c r="G98" s="94"/>
      <c r="H98" s="56" t="s">
        <v>1955</v>
      </c>
      <c r="I98" s="56" t="s">
        <v>1644</v>
      </c>
      <c r="J98" s="56">
        <v>1</v>
      </c>
      <c r="K98" s="56" t="s">
        <v>18</v>
      </c>
    </row>
    <row r="99" spans="1:11" hidden="1">
      <c r="A99" s="112" t="s">
        <v>2069</v>
      </c>
      <c r="B99" s="56" t="s">
        <v>1952</v>
      </c>
      <c r="C99" s="56" t="s">
        <v>2074</v>
      </c>
      <c r="D99" s="56" t="s">
        <v>1957</v>
      </c>
      <c r="E99" s="123">
        <v>1150000</v>
      </c>
      <c r="F99" s="94" t="s">
        <v>2075</v>
      </c>
      <c r="G99" s="94"/>
      <c r="H99" s="56" t="s">
        <v>1644</v>
      </c>
      <c r="I99" s="56" t="s">
        <v>1644</v>
      </c>
      <c r="J99" s="56">
        <v>1</v>
      </c>
      <c r="K99" s="56" t="s">
        <v>18</v>
      </c>
    </row>
    <row r="100" spans="1:11" hidden="1">
      <c r="A100" s="111"/>
      <c r="B100" s="82"/>
      <c r="C100" s="82"/>
      <c r="D100" s="82"/>
      <c r="E100" s="122"/>
      <c r="F100" s="93"/>
      <c r="G100" s="93"/>
      <c r="H100" s="82"/>
      <c r="I100" s="82"/>
      <c r="J100" s="82"/>
      <c r="K100" s="82"/>
    </row>
    <row r="101" spans="1:11" hidden="1">
      <c r="A101" s="107">
        <v>44531</v>
      </c>
      <c r="B101" s="79" t="s">
        <v>1952</v>
      </c>
      <c r="C101" s="79" t="s">
        <v>2076</v>
      </c>
      <c r="D101" s="79" t="s">
        <v>74</v>
      </c>
      <c r="E101" s="117">
        <v>145000000</v>
      </c>
      <c r="F101" s="91" t="s">
        <v>2057</v>
      </c>
      <c r="G101" s="91"/>
      <c r="H101" s="79" t="s">
        <v>1955</v>
      </c>
      <c r="I101" s="79" t="s">
        <v>1644</v>
      </c>
      <c r="J101" s="79">
        <v>1</v>
      </c>
      <c r="K101" s="79" t="s">
        <v>18</v>
      </c>
    </row>
    <row r="102" spans="1:11" hidden="1">
      <c r="A102" s="107">
        <v>44531</v>
      </c>
      <c r="B102" s="79" t="s">
        <v>1952</v>
      </c>
      <c r="C102" s="79" t="s">
        <v>2077</v>
      </c>
      <c r="D102" s="79" t="s">
        <v>74</v>
      </c>
      <c r="E102" s="117">
        <v>128000000</v>
      </c>
      <c r="F102" s="91" t="s">
        <v>1968</v>
      </c>
      <c r="G102" s="91"/>
      <c r="H102" s="79" t="s">
        <v>1955</v>
      </c>
      <c r="I102" s="79" t="s">
        <v>1644</v>
      </c>
      <c r="J102" s="79">
        <v>1</v>
      </c>
      <c r="K102" s="79" t="s">
        <v>2078</v>
      </c>
    </row>
    <row r="103" spans="1:11" hidden="1">
      <c r="A103" s="107">
        <v>44531</v>
      </c>
      <c r="B103" s="79" t="s">
        <v>1952</v>
      </c>
      <c r="C103" s="79" t="s">
        <v>2059</v>
      </c>
      <c r="D103" s="79" t="s">
        <v>74</v>
      </c>
      <c r="E103" s="117">
        <v>295000000</v>
      </c>
      <c r="F103" s="91" t="s">
        <v>2049</v>
      </c>
      <c r="G103" s="91"/>
      <c r="H103" s="79" t="s">
        <v>1644</v>
      </c>
      <c r="I103" s="79" t="s">
        <v>1644</v>
      </c>
      <c r="J103" s="79">
        <v>1</v>
      </c>
      <c r="K103" s="79" t="s">
        <v>18</v>
      </c>
    </row>
    <row r="104" spans="1:11" hidden="1">
      <c r="A104" s="107" t="s">
        <v>1999</v>
      </c>
      <c r="B104" s="79" t="s">
        <v>1952</v>
      </c>
      <c r="C104" s="79" t="s">
        <v>2079</v>
      </c>
      <c r="D104" s="79" t="s">
        <v>2032</v>
      </c>
      <c r="E104" s="117">
        <v>140000000</v>
      </c>
      <c r="F104" s="91" t="s">
        <v>1968</v>
      </c>
      <c r="G104" s="91"/>
      <c r="H104" s="79" t="s">
        <v>1644</v>
      </c>
      <c r="I104" s="79" t="s">
        <v>1644</v>
      </c>
      <c r="J104" s="79">
        <v>1</v>
      </c>
      <c r="K104" s="79" t="s">
        <v>32</v>
      </c>
    </row>
    <row r="105" spans="1:11" hidden="1">
      <c r="A105" s="107" t="s">
        <v>1981</v>
      </c>
      <c r="B105" s="79" t="s">
        <v>1952</v>
      </c>
      <c r="C105" s="79" t="s">
        <v>2080</v>
      </c>
      <c r="D105" s="79" t="s">
        <v>2032</v>
      </c>
      <c r="E105" s="117">
        <v>160000000</v>
      </c>
      <c r="F105" s="91" t="s">
        <v>1968</v>
      </c>
      <c r="G105" s="91"/>
      <c r="H105" s="79" t="s">
        <v>1955</v>
      </c>
      <c r="I105" s="79" t="s">
        <v>1644</v>
      </c>
      <c r="J105" s="79">
        <v>1</v>
      </c>
      <c r="K105" s="79" t="s">
        <v>18</v>
      </c>
    </row>
    <row r="106" spans="1:11" hidden="1">
      <c r="A106" s="107" t="s">
        <v>1989</v>
      </c>
      <c r="B106" s="79" t="s">
        <v>1952</v>
      </c>
      <c r="C106" s="79" t="s">
        <v>2048</v>
      </c>
      <c r="D106" s="79" t="s">
        <v>74</v>
      </c>
      <c r="E106" s="117">
        <v>315000000</v>
      </c>
      <c r="F106" s="91" t="s">
        <v>2049</v>
      </c>
      <c r="G106" s="91"/>
      <c r="H106" s="79" t="s">
        <v>1644</v>
      </c>
      <c r="I106" s="79" t="s">
        <v>1644</v>
      </c>
      <c r="J106" s="79">
        <v>1</v>
      </c>
      <c r="K106" s="79" t="s">
        <v>32</v>
      </c>
    </row>
    <row r="107" spans="1:11" hidden="1">
      <c r="A107" s="107" t="s">
        <v>1994</v>
      </c>
      <c r="B107" s="79" t="s">
        <v>1952</v>
      </c>
      <c r="C107" s="79" t="s">
        <v>2081</v>
      </c>
      <c r="D107" s="79" t="s">
        <v>74</v>
      </c>
      <c r="E107" s="117">
        <v>125000000</v>
      </c>
      <c r="F107" s="91" t="s">
        <v>1968</v>
      </c>
      <c r="G107" s="91"/>
      <c r="H107" s="79" t="s">
        <v>1955</v>
      </c>
      <c r="I107" s="79" t="s">
        <v>1644</v>
      </c>
      <c r="J107" s="79">
        <v>1</v>
      </c>
      <c r="K107" s="79" t="s">
        <v>18</v>
      </c>
    </row>
    <row r="108" spans="1:11" hidden="1">
      <c r="A108" s="107" t="s">
        <v>2069</v>
      </c>
      <c r="B108" s="79" t="s">
        <v>1966</v>
      </c>
      <c r="C108" s="79" t="s">
        <v>2082</v>
      </c>
      <c r="D108" s="79" t="s">
        <v>2072</v>
      </c>
      <c r="E108" s="117">
        <v>190000000</v>
      </c>
      <c r="F108" s="91" t="s">
        <v>1968</v>
      </c>
      <c r="G108" s="91"/>
      <c r="H108" s="79" t="s">
        <v>1955</v>
      </c>
      <c r="I108" s="79" t="s">
        <v>1644</v>
      </c>
      <c r="J108" s="79">
        <v>1</v>
      </c>
      <c r="K108" s="79" t="s">
        <v>18</v>
      </c>
    </row>
    <row r="109" spans="1:11" hidden="1">
      <c r="A109" s="107" t="s">
        <v>2069</v>
      </c>
      <c r="B109" s="79" t="s">
        <v>1952</v>
      </c>
      <c r="C109" s="79" t="s">
        <v>2083</v>
      </c>
      <c r="D109" s="79" t="s">
        <v>2072</v>
      </c>
      <c r="E109" s="117">
        <v>210000000</v>
      </c>
      <c r="F109" s="91" t="s">
        <v>1968</v>
      </c>
      <c r="G109" s="91"/>
      <c r="H109" s="79" t="s">
        <v>1955</v>
      </c>
      <c r="I109" s="79" t="s">
        <v>1644</v>
      </c>
      <c r="J109" s="79">
        <v>1</v>
      </c>
      <c r="K109" s="79" t="s">
        <v>32</v>
      </c>
    </row>
    <row r="110" spans="1:11" hidden="1">
      <c r="A110" s="107" t="s">
        <v>2069</v>
      </c>
      <c r="B110" s="79" t="s">
        <v>1952</v>
      </c>
      <c r="C110" s="79" t="s">
        <v>2071</v>
      </c>
      <c r="D110" s="79" t="s">
        <v>74</v>
      </c>
      <c r="E110" s="117">
        <v>170000000</v>
      </c>
      <c r="F110" s="91" t="s">
        <v>1968</v>
      </c>
      <c r="G110" s="91"/>
      <c r="H110" s="79" t="s">
        <v>1955</v>
      </c>
      <c r="I110" s="79" t="s">
        <v>1644</v>
      </c>
      <c r="J110" s="79">
        <v>1</v>
      </c>
      <c r="K110" s="79" t="s">
        <v>32</v>
      </c>
    </row>
    <row r="111" spans="1:11" hidden="1">
      <c r="A111" s="111"/>
      <c r="B111" s="82"/>
      <c r="C111" s="82"/>
      <c r="D111" s="82"/>
      <c r="E111" s="122"/>
      <c r="F111" s="93"/>
      <c r="G111" s="93"/>
      <c r="H111" s="82"/>
      <c r="I111" s="82"/>
      <c r="J111" s="82"/>
      <c r="K111" s="82"/>
    </row>
    <row r="112" spans="1:11" hidden="1">
      <c r="A112" s="109"/>
      <c r="B112" s="80"/>
      <c r="C112" s="80"/>
      <c r="D112" s="80"/>
      <c r="E112" s="119"/>
      <c r="F112" s="71"/>
      <c r="G112" s="71"/>
      <c r="H112" s="80"/>
      <c r="I112" s="80"/>
      <c r="J112" s="80">
        <f>SUM(J80:J111)</f>
        <v>30</v>
      </c>
      <c r="K112" s="80"/>
    </row>
    <row r="113" spans="1:11" hidden="1"/>
    <row r="114" spans="1:11" ht="18.75" hidden="1">
      <c r="A114" s="1674" t="s">
        <v>2084</v>
      </c>
      <c r="B114" s="1674"/>
      <c r="C114" s="1674"/>
      <c r="D114" s="1674"/>
      <c r="E114" s="1674"/>
      <c r="F114" s="1674"/>
      <c r="G114" s="1674"/>
      <c r="H114" s="1674"/>
      <c r="I114" s="1674"/>
      <c r="J114" s="1674"/>
      <c r="K114" s="1674"/>
    </row>
    <row r="115" spans="1:11" ht="30" hidden="1">
      <c r="A115" s="102" t="s">
        <v>1941</v>
      </c>
      <c r="B115" s="54" t="s">
        <v>1942</v>
      </c>
      <c r="C115" s="54" t="s">
        <v>1943</v>
      </c>
      <c r="D115" s="54" t="s">
        <v>1944</v>
      </c>
      <c r="E115" s="115" t="s">
        <v>1945</v>
      </c>
      <c r="F115" s="30" t="s">
        <v>1946</v>
      </c>
      <c r="G115" s="30"/>
      <c r="H115" s="54" t="s">
        <v>1947</v>
      </c>
      <c r="I115" s="54" t="s">
        <v>1948</v>
      </c>
      <c r="J115" s="76" t="s">
        <v>1949</v>
      </c>
      <c r="K115" s="77" t="s">
        <v>1950</v>
      </c>
    </row>
    <row r="116" spans="1:11" hidden="1">
      <c r="A116" s="104">
        <v>43922</v>
      </c>
      <c r="B116" s="78" t="s">
        <v>1952</v>
      </c>
      <c r="C116" s="78" t="s">
        <v>885</v>
      </c>
      <c r="D116" s="78" t="s">
        <v>1957</v>
      </c>
      <c r="E116" s="116">
        <v>1100000</v>
      </c>
      <c r="F116" s="89" t="s">
        <v>1968</v>
      </c>
      <c r="G116" s="89"/>
      <c r="H116" s="78" t="s">
        <v>1625</v>
      </c>
      <c r="I116" s="78" t="s">
        <v>1644</v>
      </c>
      <c r="J116" s="78">
        <v>1</v>
      </c>
      <c r="K116" s="78" t="s">
        <v>2078</v>
      </c>
    </row>
    <row r="117" spans="1:11" hidden="1">
      <c r="A117" s="104">
        <v>44348</v>
      </c>
      <c r="B117" s="78" t="s">
        <v>1966</v>
      </c>
      <c r="C117" s="78" t="s">
        <v>2085</v>
      </c>
      <c r="D117" s="78" t="s">
        <v>74</v>
      </c>
      <c r="E117" s="116">
        <v>1000000</v>
      </c>
      <c r="F117" s="89" t="s">
        <v>1968</v>
      </c>
      <c r="G117" s="89"/>
      <c r="H117" s="78" t="s">
        <v>1625</v>
      </c>
      <c r="I117" s="78" t="s">
        <v>1644</v>
      </c>
      <c r="J117" s="78">
        <v>1</v>
      </c>
      <c r="K117" s="78" t="s">
        <v>44</v>
      </c>
    </row>
    <row r="118" spans="1:11" hidden="1">
      <c r="A118" s="104">
        <v>44348</v>
      </c>
      <c r="B118" s="78" t="s">
        <v>1952</v>
      </c>
      <c r="C118" s="78" t="s">
        <v>2086</v>
      </c>
      <c r="D118" s="78" t="s">
        <v>75</v>
      </c>
      <c r="E118" s="116">
        <v>1000000</v>
      </c>
      <c r="F118" s="89" t="s">
        <v>2087</v>
      </c>
      <c r="G118" s="89"/>
      <c r="H118" s="78" t="s">
        <v>1625</v>
      </c>
      <c r="I118" s="78" t="s">
        <v>1644</v>
      </c>
      <c r="J118" s="78">
        <v>1</v>
      </c>
      <c r="K118" s="78" t="s">
        <v>18</v>
      </c>
    </row>
    <row r="119" spans="1:11" hidden="1">
      <c r="A119" s="104">
        <v>44409</v>
      </c>
      <c r="B119" s="78" t="s">
        <v>1952</v>
      </c>
      <c r="C119" s="78" t="s">
        <v>2088</v>
      </c>
      <c r="D119" s="78" t="s">
        <v>2089</v>
      </c>
      <c r="E119" s="116">
        <v>1100000</v>
      </c>
      <c r="F119" s="89" t="s">
        <v>1968</v>
      </c>
      <c r="G119" s="89"/>
      <c r="H119" s="78" t="s">
        <v>1955</v>
      </c>
      <c r="I119" s="78" t="s">
        <v>1644</v>
      </c>
      <c r="J119" s="78">
        <v>1</v>
      </c>
      <c r="K119" s="78" t="s">
        <v>44</v>
      </c>
    </row>
    <row r="120" spans="1:11" hidden="1">
      <c r="A120" s="104" t="s">
        <v>1973</v>
      </c>
      <c r="B120" s="78" t="s">
        <v>1952</v>
      </c>
      <c r="C120" s="78" t="s">
        <v>114</v>
      </c>
      <c r="D120" s="78" t="s">
        <v>2062</v>
      </c>
      <c r="E120" s="116">
        <v>2800000</v>
      </c>
      <c r="F120" s="89" t="s">
        <v>1968</v>
      </c>
      <c r="G120" s="89"/>
      <c r="H120" s="78" t="s">
        <v>1955</v>
      </c>
      <c r="I120" s="78" t="s">
        <v>1644</v>
      </c>
      <c r="J120" s="78">
        <v>1</v>
      </c>
      <c r="K120" s="78" t="s">
        <v>18</v>
      </c>
    </row>
    <row r="121" spans="1:11" hidden="1">
      <c r="A121" s="104" t="s">
        <v>1978</v>
      </c>
      <c r="B121" s="78" t="s">
        <v>1952</v>
      </c>
      <c r="C121" s="78" t="s">
        <v>2090</v>
      </c>
      <c r="D121" s="78" t="s">
        <v>74</v>
      </c>
      <c r="E121" s="116">
        <v>1100000</v>
      </c>
      <c r="F121" s="89" t="s">
        <v>2091</v>
      </c>
      <c r="G121" s="89"/>
      <c r="H121" s="78" t="s">
        <v>1644</v>
      </c>
      <c r="I121" s="78" t="s">
        <v>1644</v>
      </c>
      <c r="J121" s="78">
        <v>1</v>
      </c>
      <c r="K121" s="78" t="s">
        <v>32</v>
      </c>
    </row>
    <row r="122" spans="1:11" hidden="1">
      <c r="A122" s="104" t="s">
        <v>1999</v>
      </c>
      <c r="B122" s="78" t="s">
        <v>2060</v>
      </c>
      <c r="C122" s="78" t="s">
        <v>2092</v>
      </c>
      <c r="D122" s="78" t="s">
        <v>74</v>
      </c>
      <c r="E122" s="116">
        <v>1600000</v>
      </c>
      <c r="F122" s="89" t="s">
        <v>1968</v>
      </c>
      <c r="G122" s="89"/>
      <c r="H122" s="78" t="s">
        <v>1644</v>
      </c>
      <c r="I122" s="78" t="s">
        <v>1644</v>
      </c>
      <c r="J122" s="78">
        <v>1</v>
      </c>
      <c r="K122" s="78" t="s">
        <v>18</v>
      </c>
    </row>
    <row r="123" spans="1:11" hidden="1">
      <c r="A123" s="104" t="s">
        <v>1999</v>
      </c>
      <c r="B123" s="78" t="s">
        <v>1952</v>
      </c>
      <c r="C123" s="78" t="s">
        <v>836</v>
      </c>
      <c r="D123" s="78" t="s">
        <v>2032</v>
      </c>
      <c r="E123" s="116">
        <v>700000</v>
      </c>
      <c r="F123" s="89" t="s">
        <v>1968</v>
      </c>
      <c r="G123" s="89"/>
      <c r="H123" s="78" t="s">
        <v>1644</v>
      </c>
      <c r="I123" s="78" t="s">
        <v>1644</v>
      </c>
      <c r="J123" s="78">
        <v>1</v>
      </c>
      <c r="K123" s="78" t="s">
        <v>18</v>
      </c>
    </row>
    <row r="124" spans="1:11" hidden="1">
      <c r="A124" s="104" t="s">
        <v>1999</v>
      </c>
      <c r="B124" s="78" t="s">
        <v>1952</v>
      </c>
      <c r="C124" s="78" t="s">
        <v>2093</v>
      </c>
      <c r="D124" s="78" t="s">
        <v>2032</v>
      </c>
      <c r="E124" s="116">
        <v>850000</v>
      </c>
      <c r="F124" s="89" t="s">
        <v>2094</v>
      </c>
      <c r="G124" s="89"/>
      <c r="H124" s="78" t="s">
        <v>1644</v>
      </c>
      <c r="I124" s="78" t="s">
        <v>1644</v>
      </c>
      <c r="J124" s="78">
        <v>1</v>
      </c>
      <c r="K124" s="78" t="s">
        <v>32</v>
      </c>
    </row>
    <row r="125" spans="1:11" hidden="1">
      <c r="A125" s="104" t="s">
        <v>2024</v>
      </c>
      <c r="B125" s="78" t="s">
        <v>1952</v>
      </c>
      <c r="C125" s="78" t="s">
        <v>2095</v>
      </c>
      <c r="D125" s="78" t="s">
        <v>2037</v>
      </c>
      <c r="E125" s="116">
        <v>1280000</v>
      </c>
      <c r="F125" s="89" t="s">
        <v>1968</v>
      </c>
      <c r="G125" s="89"/>
      <c r="H125" s="78" t="s">
        <v>1955</v>
      </c>
      <c r="I125" s="78" t="s">
        <v>1644</v>
      </c>
      <c r="J125" s="78">
        <v>1</v>
      </c>
      <c r="K125" s="78" t="s">
        <v>32</v>
      </c>
    </row>
    <row r="126" spans="1:11" hidden="1">
      <c r="A126" s="104" t="s">
        <v>2024</v>
      </c>
      <c r="B126" s="78" t="s">
        <v>1952</v>
      </c>
      <c r="C126" s="78" t="s">
        <v>2096</v>
      </c>
      <c r="D126" s="78" t="s">
        <v>75</v>
      </c>
      <c r="E126" s="116">
        <v>1450000</v>
      </c>
      <c r="F126" s="89" t="s">
        <v>1968</v>
      </c>
      <c r="G126" s="89"/>
      <c r="H126" s="78" t="s">
        <v>1644</v>
      </c>
      <c r="I126" s="78" t="s">
        <v>1644</v>
      </c>
      <c r="J126" s="78">
        <v>1</v>
      </c>
      <c r="K126" s="78" t="s">
        <v>18</v>
      </c>
    </row>
    <row r="127" spans="1:11" hidden="1">
      <c r="A127" s="104" t="s">
        <v>2024</v>
      </c>
      <c r="B127" s="78" t="s">
        <v>1952</v>
      </c>
      <c r="C127" s="78" t="s">
        <v>868</v>
      </c>
      <c r="D127" s="78" t="s">
        <v>74</v>
      </c>
      <c r="E127" s="116">
        <v>1100000</v>
      </c>
      <c r="F127" s="89" t="s">
        <v>1968</v>
      </c>
      <c r="G127" s="89"/>
      <c r="H127" s="78" t="s">
        <v>1955</v>
      </c>
      <c r="I127" s="78" t="s">
        <v>1644</v>
      </c>
      <c r="J127" s="78">
        <v>1</v>
      </c>
      <c r="K127" s="78" t="s">
        <v>32</v>
      </c>
    </row>
    <row r="128" spans="1:11" hidden="1">
      <c r="A128" s="104" t="s">
        <v>1981</v>
      </c>
      <c r="B128" s="78" t="s">
        <v>1952</v>
      </c>
      <c r="C128" s="78" t="s">
        <v>2097</v>
      </c>
      <c r="D128" s="78" t="s">
        <v>74</v>
      </c>
      <c r="E128" s="116">
        <v>1350000</v>
      </c>
      <c r="F128" s="89" t="s">
        <v>1968</v>
      </c>
      <c r="G128" s="89"/>
      <c r="H128" s="78" t="s">
        <v>1644</v>
      </c>
      <c r="I128" s="78" t="s">
        <v>1644</v>
      </c>
      <c r="J128" s="78">
        <v>1</v>
      </c>
      <c r="K128" s="78" t="s">
        <v>32</v>
      </c>
    </row>
    <row r="129" spans="1:11" hidden="1">
      <c r="A129" s="104" t="s">
        <v>1981</v>
      </c>
      <c r="B129" s="78" t="s">
        <v>1952</v>
      </c>
      <c r="C129" s="78" t="s">
        <v>2098</v>
      </c>
      <c r="D129" s="78" t="s">
        <v>1957</v>
      </c>
      <c r="E129" s="116">
        <v>1100000</v>
      </c>
      <c r="F129" s="89" t="s">
        <v>1968</v>
      </c>
      <c r="G129" s="89"/>
      <c r="H129" s="78" t="s">
        <v>1955</v>
      </c>
      <c r="I129" s="78" t="s">
        <v>1644</v>
      </c>
      <c r="J129" s="78">
        <v>1</v>
      </c>
      <c r="K129" s="78" t="s">
        <v>18</v>
      </c>
    </row>
    <row r="130" spans="1:11" hidden="1">
      <c r="A130" s="104" t="s">
        <v>1994</v>
      </c>
      <c r="B130" s="78" t="s">
        <v>1952</v>
      </c>
      <c r="C130" s="78" t="s">
        <v>2099</v>
      </c>
      <c r="D130" s="78" t="s">
        <v>2072</v>
      </c>
      <c r="E130" s="116">
        <v>1300000</v>
      </c>
      <c r="F130" s="89" t="s">
        <v>2100</v>
      </c>
      <c r="G130" s="89"/>
      <c r="H130" s="78" t="s">
        <v>1644</v>
      </c>
      <c r="I130" s="78" t="s">
        <v>1644</v>
      </c>
      <c r="J130" s="78">
        <v>1</v>
      </c>
      <c r="K130" s="78" t="s">
        <v>32</v>
      </c>
    </row>
    <row r="131" spans="1:11" hidden="1">
      <c r="A131" s="104" t="s">
        <v>2101</v>
      </c>
      <c r="B131" s="78" t="s">
        <v>1952</v>
      </c>
      <c r="C131" s="78" t="s">
        <v>2102</v>
      </c>
      <c r="D131" s="78" t="s">
        <v>76</v>
      </c>
      <c r="E131" s="116">
        <v>950000</v>
      </c>
      <c r="F131" s="89" t="s">
        <v>1968</v>
      </c>
      <c r="G131" s="89"/>
      <c r="H131" s="78" t="s">
        <v>1644</v>
      </c>
      <c r="I131" s="78" t="s">
        <v>1644</v>
      </c>
      <c r="J131" s="78">
        <v>1</v>
      </c>
      <c r="K131" s="78" t="s">
        <v>18</v>
      </c>
    </row>
    <row r="132" spans="1:11" hidden="1">
      <c r="A132" s="104" t="s">
        <v>2069</v>
      </c>
      <c r="B132" s="78" t="s">
        <v>1952</v>
      </c>
      <c r="C132" s="78" t="s">
        <v>2103</v>
      </c>
      <c r="D132" s="78" t="s">
        <v>1957</v>
      </c>
      <c r="E132" s="116">
        <v>1200000</v>
      </c>
      <c r="F132" s="89" t="s">
        <v>2075</v>
      </c>
      <c r="G132" s="89"/>
      <c r="H132" s="78" t="s">
        <v>1644</v>
      </c>
      <c r="I132" s="78" t="s">
        <v>1644</v>
      </c>
      <c r="J132" s="78">
        <v>1</v>
      </c>
      <c r="K132" s="78" t="s">
        <v>32</v>
      </c>
    </row>
    <row r="133" spans="1:11" hidden="1">
      <c r="A133" s="104" t="s">
        <v>2069</v>
      </c>
      <c r="B133" s="78" t="s">
        <v>1952</v>
      </c>
      <c r="C133" s="78" t="s">
        <v>2104</v>
      </c>
      <c r="D133" s="78" t="s">
        <v>2032</v>
      </c>
      <c r="E133" s="116">
        <v>800000</v>
      </c>
      <c r="F133" s="89" t="s">
        <v>1968</v>
      </c>
      <c r="G133" s="89"/>
      <c r="H133" s="78" t="s">
        <v>1644</v>
      </c>
      <c r="I133" s="78" t="s">
        <v>1644</v>
      </c>
      <c r="J133" s="78">
        <v>1</v>
      </c>
      <c r="K133" s="78" t="s">
        <v>32</v>
      </c>
    </row>
    <row r="134" spans="1:11" hidden="1">
      <c r="A134" s="104" t="s">
        <v>2069</v>
      </c>
      <c r="B134" s="78" t="s">
        <v>2034</v>
      </c>
      <c r="C134" s="78" t="s">
        <v>2105</v>
      </c>
      <c r="D134" s="78" t="s">
        <v>2072</v>
      </c>
      <c r="E134" s="116">
        <v>1300000</v>
      </c>
      <c r="F134" s="89" t="s">
        <v>1968</v>
      </c>
      <c r="G134" s="89"/>
      <c r="H134" s="78" t="s">
        <v>1644</v>
      </c>
      <c r="I134" s="78" t="s">
        <v>1644</v>
      </c>
      <c r="J134" s="78">
        <v>1</v>
      </c>
      <c r="K134" s="78" t="s">
        <v>18</v>
      </c>
    </row>
    <row r="135" spans="1:11" hidden="1">
      <c r="A135" s="104" t="s">
        <v>2069</v>
      </c>
      <c r="B135" s="78" t="s">
        <v>1952</v>
      </c>
      <c r="C135" s="78" t="s">
        <v>2106</v>
      </c>
      <c r="D135" s="78" t="s">
        <v>2032</v>
      </c>
      <c r="E135" s="116">
        <v>850000</v>
      </c>
      <c r="F135" s="89" t="s">
        <v>2107</v>
      </c>
      <c r="G135" s="89"/>
      <c r="H135" s="78" t="s">
        <v>1644</v>
      </c>
      <c r="I135" s="78" t="s">
        <v>1644</v>
      </c>
      <c r="J135" s="78">
        <v>1</v>
      </c>
      <c r="K135" s="78" t="s">
        <v>18</v>
      </c>
    </row>
    <row r="136" spans="1:11" hidden="1">
      <c r="A136" s="113"/>
      <c r="B136" s="78"/>
      <c r="C136" s="78"/>
      <c r="D136" s="78"/>
      <c r="E136" s="116"/>
      <c r="F136" s="89"/>
      <c r="G136" s="89"/>
      <c r="H136" s="78"/>
      <c r="I136" s="78"/>
      <c r="J136" s="78"/>
      <c r="K136" s="78"/>
    </row>
    <row r="137" spans="1:11" hidden="1">
      <c r="A137" s="105" t="s">
        <v>1996</v>
      </c>
      <c r="B137" s="52" t="s">
        <v>2108</v>
      </c>
      <c r="C137" s="52" t="s">
        <v>2109</v>
      </c>
      <c r="D137" s="52" t="s">
        <v>1957</v>
      </c>
      <c r="E137" s="95">
        <v>965000000</v>
      </c>
      <c r="F137" s="90" t="s">
        <v>1968</v>
      </c>
      <c r="G137" s="90"/>
      <c r="H137" s="52" t="s">
        <v>1955</v>
      </c>
      <c r="I137" s="52" t="s">
        <v>1625</v>
      </c>
      <c r="J137" s="52">
        <v>1</v>
      </c>
      <c r="K137" s="52" t="s">
        <v>18</v>
      </c>
    </row>
    <row r="138" spans="1:11" hidden="1">
      <c r="A138" s="105" t="s">
        <v>1951</v>
      </c>
      <c r="B138" s="52" t="s">
        <v>1952</v>
      </c>
      <c r="C138" s="52" t="s">
        <v>2110</v>
      </c>
      <c r="D138" s="52" t="s">
        <v>74</v>
      </c>
      <c r="E138" s="95">
        <v>270000000</v>
      </c>
      <c r="F138" s="90" t="s">
        <v>2111</v>
      </c>
      <c r="G138" s="90"/>
      <c r="H138" s="52" t="s">
        <v>1955</v>
      </c>
      <c r="I138" s="52" t="s">
        <v>1644</v>
      </c>
      <c r="J138" s="52">
        <v>1</v>
      </c>
      <c r="K138" s="52" t="s">
        <v>18</v>
      </c>
    </row>
    <row r="139" spans="1:11" hidden="1">
      <c r="A139" s="106" t="s">
        <v>1959</v>
      </c>
      <c r="B139" s="79" t="s">
        <v>1952</v>
      </c>
      <c r="C139" s="79" t="s">
        <v>2112</v>
      </c>
      <c r="D139" s="79" t="s">
        <v>2032</v>
      </c>
      <c r="E139" s="117">
        <v>142000000</v>
      </c>
      <c r="F139" s="91" t="s">
        <v>1968</v>
      </c>
      <c r="G139" s="91"/>
      <c r="H139" s="79" t="s">
        <v>1955</v>
      </c>
      <c r="I139" s="79" t="s">
        <v>1644</v>
      </c>
      <c r="J139" s="79">
        <v>1</v>
      </c>
      <c r="K139" s="79" t="s">
        <v>44</v>
      </c>
    </row>
    <row r="140" spans="1:11" hidden="1">
      <c r="A140" s="107">
        <v>44317</v>
      </c>
      <c r="B140" s="79" t="s">
        <v>1952</v>
      </c>
      <c r="C140" s="79" t="s">
        <v>2113</v>
      </c>
      <c r="D140" s="79" t="s">
        <v>74</v>
      </c>
      <c r="E140" s="117">
        <v>192000000</v>
      </c>
      <c r="F140" s="91" t="s">
        <v>1968</v>
      </c>
      <c r="G140" s="91"/>
      <c r="H140" s="79" t="s">
        <v>1625</v>
      </c>
      <c r="I140" s="79" t="s">
        <v>1644</v>
      </c>
      <c r="J140" s="79">
        <v>1</v>
      </c>
      <c r="K140" s="79" t="s">
        <v>18</v>
      </c>
    </row>
    <row r="141" spans="1:11" hidden="1">
      <c r="A141" s="107">
        <v>44531</v>
      </c>
      <c r="B141" s="79" t="s">
        <v>1952</v>
      </c>
      <c r="C141" s="79" t="s">
        <v>2114</v>
      </c>
      <c r="D141" s="79" t="s">
        <v>75</v>
      </c>
      <c r="E141" s="117">
        <v>200000000</v>
      </c>
      <c r="F141" s="91" t="s">
        <v>2115</v>
      </c>
      <c r="G141" s="91"/>
      <c r="H141" s="79" t="s">
        <v>1955</v>
      </c>
      <c r="I141" s="79" t="s">
        <v>1644</v>
      </c>
      <c r="J141" s="79">
        <v>1</v>
      </c>
      <c r="K141" s="79" t="s">
        <v>32</v>
      </c>
    </row>
    <row r="142" spans="1:11" hidden="1">
      <c r="A142" s="53" t="s">
        <v>1999</v>
      </c>
      <c r="B142" s="52" t="s">
        <v>2060</v>
      </c>
      <c r="C142" s="52" t="s">
        <v>2092</v>
      </c>
      <c r="D142" s="52" t="s">
        <v>74</v>
      </c>
      <c r="E142" s="95">
        <v>200000000</v>
      </c>
      <c r="F142" s="90" t="s">
        <v>1968</v>
      </c>
      <c r="G142" s="90"/>
      <c r="H142" s="52" t="s">
        <v>1644</v>
      </c>
      <c r="I142" s="52" t="s">
        <v>1644</v>
      </c>
      <c r="J142" s="52">
        <v>1</v>
      </c>
      <c r="K142" s="52" t="s">
        <v>18</v>
      </c>
    </row>
    <row r="143" spans="1:11" hidden="1">
      <c r="A143" s="107" t="s">
        <v>1999</v>
      </c>
      <c r="B143" s="79" t="s">
        <v>1966</v>
      </c>
      <c r="C143" s="79" t="s">
        <v>2116</v>
      </c>
      <c r="D143" s="79" t="s">
        <v>2032</v>
      </c>
      <c r="E143" s="117">
        <v>170000000</v>
      </c>
      <c r="F143" s="91" t="s">
        <v>1968</v>
      </c>
      <c r="G143" s="91"/>
      <c r="H143" s="79" t="s">
        <v>1955</v>
      </c>
      <c r="I143" s="79" t="s">
        <v>1644</v>
      </c>
      <c r="J143" s="79">
        <v>1</v>
      </c>
      <c r="K143" s="79" t="s">
        <v>32</v>
      </c>
    </row>
    <row r="144" spans="1:11" hidden="1">
      <c r="A144" s="105" t="s">
        <v>1989</v>
      </c>
      <c r="B144" s="52" t="s">
        <v>1952</v>
      </c>
      <c r="C144" s="52" t="s">
        <v>2117</v>
      </c>
      <c r="D144" s="52" t="s">
        <v>75</v>
      </c>
      <c r="E144" s="95">
        <v>360000000</v>
      </c>
      <c r="F144" s="90" t="s">
        <v>1968</v>
      </c>
      <c r="G144" s="90"/>
      <c r="H144" s="52" t="s">
        <v>1955</v>
      </c>
      <c r="I144" s="52" t="s">
        <v>1644</v>
      </c>
      <c r="J144" s="52">
        <v>1</v>
      </c>
      <c r="K144" s="52" t="s">
        <v>32</v>
      </c>
    </row>
    <row r="145" spans="1:11" hidden="1">
      <c r="A145" s="106" t="s">
        <v>2069</v>
      </c>
      <c r="B145" s="79" t="s">
        <v>1952</v>
      </c>
      <c r="C145" s="79" t="s">
        <v>2118</v>
      </c>
      <c r="D145" s="79" t="s">
        <v>75</v>
      </c>
      <c r="E145" s="117">
        <v>230000000</v>
      </c>
      <c r="F145" s="91" t="s">
        <v>2119</v>
      </c>
      <c r="G145" s="91"/>
      <c r="H145" s="79" t="s">
        <v>1955</v>
      </c>
      <c r="I145" s="79" t="s">
        <v>1644</v>
      </c>
      <c r="J145" s="79">
        <v>1</v>
      </c>
      <c r="K145" s="79" t="s">
        <v>18</v>
      </c>
    </row>
    <row r="146" spans="1:11" hidden="1">
      <c r="A146" s="106" t="s">
        <v>2069</v>
      </c>
      <c r="B146" s="79" t="s">
        <v>1952</v>
      </c>
      <c r="C146" s="79" t="s">
        <v>154</v>
      </c>
      <c r="D146" s="79" t="s">
        <v>74</v>
      </c>
      <c r="E146" s="117">
        <v>160000000</v>
      </c>
      <c r="F146" s="91" t="s">
        <v>1968</v>
      </c>
      <c r="G146" s="91"/>
      <c r="H146" s="79" t="s">
        <v>1955</v>
      </c>
      <c r="I146" s="79" t="s">
        <v>1644</v>
      </c>
      <c r="J146" s="79">
        <v>1</v>
      </c>
      <c r="K146" s="79" t="s">
        <v>32</v>
      </c>
    </row>
    <row r="147" spans="1:11" s="32" customFormat="1" hidden="1">
      <c r="A147" s="114"/>
      <c r="B147" s="56"/>
      <c r="C147" s="56"/>
      <c r="D147" s="56"/>
      <c r="E147" s="123"/>
      <c r="F147" s="94"/>
      <c r="G147" s="94"/>
      <c r="H147" s="56"/>
      <c r="I147" s="56"/>
      <c r="J147" s="56"/>
      <c r="K147" s="56"/>
    </row>
    <row r="148" spans="1:11" hidden="1">
      <c r="A148" s="109"/>
      <c r="B148" s="80"/>
      <c r="C148" s="80"/>
      <c r="D148" s="80"/>
      <c r="E148" s="119"/>
      <c r="F148" s="71"/>
      <c r="G148" s="71"/>
      <c r="H148" s="80"/>
      <c r="I148" s="80"/>
      <c r="J148" s="80">
        <f>SUM(J116:J147)</f>
        <v>30</v>
      </c>
      <c r="K148" s="80"/>
    </row>
    <row r="149" spans="1:11" hidden="1"/>
    <row r="150" spans="1:11" ht="18.75" hidden="1">
      <c r="A150" s="1674" t="s">
        <v>2120</v>
      </c>
      <c r="B150" s="1674"/>
      <c r="C150" s="1674"/>
      <c r="D150" s="1674"/>
      <c r="E150" s="1674"/>
      <c r="F150" s="1674"/>
      <c r="G150" s="1674"/>
      <c r="H150" s="1674"/>
      <c r="I150" s="1674"/>
      <c r="J150" s="1674"/>
      <c r="K150" s="1674"/>
    </row>
    <row r="151" spans="1:11" ht="30" hidden="1">
      <c r="A151" s="102" t="s">
        <v>1941</v>
      </c>
      <c r="B151" s="54" t="s">
        <v>1942</v>
      </c>
      <c r="C151" s="54" t="s">
        <v>1943</v>
      </c>
      <c r="D151" s="54" t="s">
        <v>1944</v>
      </c>
      <c r="E151" s="115" t="s">
        <v>1945</v>
      </c>
      <c r="F151" s="30" t="s">
        <v>1946</v>
      </c>
      <c r="G151" s="30"/>
      <c r="H151" s="54" t="s">
        <v>1947</v>
      </c>
      <c r="I151" s="54" t="s">
        <v>1948</v>
      </c>
      <c r="J151" s="76" t="s">
        <v>1949</v>
      </c>
      <c r="K151" s="77" t="s">
        <v>1950</v>
      </c>
    </row>
    <row r="152" spans="1:11" hidden="1">
      <c r="A152" s="104" t="s">
        <v>1951</v>
      </c>
      <c r="B152" s="78" t="s">
        <v>1966</v>
      </c>
      <c r="C152" s="78" t="s">
        <v>2121</v>
      </c>
      <c r="D152" s="78" t="s">
        <v>74</v>
      </c>
      <c r="E152" s="116">
        <v>1500000</v>
      </c>
      <c r="F152" s="89" t="s">
        <v>1968</v>
      </c>
      <c r="G152" s="89"/>
      <c r="H152" s="78" t="s">
        <v>1625</v>
      </c>
      <c r="I152" s="78" t="s">
        <v>1644</v>
      </c>
      <c r="J152" s="78">
        <v>1</v>
      </c>
      <c r="K152" s="78" t="s">
        <v>18</v>
      </c>
    </row>
    <row r="153" spans="1:11" hidden="1">
      <c r="A153" s="113">
        <v>43983</v>
      </c>
      <c r="B153" s="78" t="s">
        <v>1952</v>
      </c>
      <c r="C153" s="78" t="s">
        <v>2122</v>
      </c>
      <c r="D153" s="78" t="s">
        <v>75</v>
      </c>
      <c r="E153" s="116">
        <v>1300000</v>
      </c>
      <c r="F153" s="89" t="s">
        <v>2123</v>
      </c>
      <c r="G153" s="89"/>
      <c r="H153" s="78" t="s">
        <v>1955</v>
      </c>
      <c r="I153" s="78" t="s">
        <v>1644</v>
      </c>
      <c r="J153" s="78">
        <v>1</v>
      </c>
      <c r="K153" s="78" t="s">
        <v>44</v>
      </c>
    </row>
    <row r="154" spans="1:11" hidden="1">
      <c r="A154" s="113">
        <v>44378</v>
      </c>
      <c r="B154" s="78" t="s">
        <v>1952</v>
      </c>
      <c r="C154" s="78" t="s">
        <v>2124</v>
      </c>
      <c r="D154" s="78" t="s">
        <v>74</v>
      </c>
      <c r="E154" s="116">
        <v>600000</v>
      </c>
      <c r="F154" s="89" t="s">
        <v>1968</v>
      </c>
      <c r="G154" s="89"/>
      <c r="H154" s="78" t="s">
        <v>1625</v>
      </c>
      <c r="I154" s="78" t="s">
        <v>1644</v>
      </c>
      <c r="J154" s="78">
        <v>1</v>
      </c>
      <c r="K154" s="78" t="s">
        <v>18</v>
      </c>
    </row>
    <row r="155" spans="1:11" hidden="1">
      <c r="A155" s="113" t="s">
        <v>1973</v>
      </c>
      <c r="B155" s="78" t="s">
        <v>1952</v>
      </c>
      <c r="C155" s="78" t="s">
        <v>2125</v>
      </c>
      <c r="D155" s="78" t="s">
        <v>74</v>
      </c>
      <c r="E155" s="116">
        <v>1000000</v>
      </c>
      <c r="F155" s="89" t="s">
        <v>1968</v>
      </c>
      <c r="G155" s="89"/>
      <c r="H155" s="78" t="s">
        <v>1644</v>
      </c>
      <c r="I155" s="78" t="s">
        <v>1644</v>
      </c>
      <c r="J155" s="78">
        <v>1</v>
      </c>
      <c r="K155" s="78" t="s">
        <v>18</v>
      </c>
    </row>
    <row r="156" spans="1:11" hidden="1">
      <c r="A156" s="113" t="s">
        <v>1973</v>
      </c>
      <c r="B156" s="78" t="s">
        <v>1952</v>
      </c>
      <c r="C156" s="78" t="s">
        <v>2126</v>
      </c>
      <c r="D156" s="78" t="s">
        <v>75</v>
      </c>
      <c r="E156" s="116">
        <v>1500000</v>
      </c>
      <c r="F156" s="89" t="s">
        <v>1968</v>
      </c>
      <c r="G156" s="89"/>
      <c r="H156" s="78" t="s">
        <v>1955</v>
      </c>
      <c r="I156" s="78" t="s">
        <v>1644</v>
      </c>
      <c r="J156" s="78">
        <v>1</v>
      </c>
      <c r="K156" s="78" t="s">
        <v>32</v>
      </c>
    </row>
    <row r="157" spans="1:11" hidden="1">
      <c r="A157" s="113"/>
      <c r="B157" s="78"/>
      <c r="C157" s="78"/>
      <c r="D157" s="78"/>
      <c r="E157" s="116"/>
      <c r="F157" s="89"/>
      <c r="G157" s="89"/>
      <c r="H157" s="78"/>
      <c r="I157" s="78"/>
      <c r="J157" s="78"/>
      <c r="K157" s="78"/>
    </row>
    <row r="158" spans="1:11" hidden="1">
      <c r="A158" s="53" t="s">
        <v>1951</v>
      </c>
      <c r="B158" s="52" t="s">
        <v>1966</v>
      </c>
      <c r="C158" s="52" t="s">
        <v>2121</v>
      </c>
      <c r="D158" s="52" t="s">
        <v>74</v>
      </c>
      <c r="E158" s="95">
        <v>360000000</v>
      </c>
      <c r="F158" s="90" t="s">
        <v>1968</v>
      </c>
      <c r="G158" s="90"/>
      <c r="H158" s="52" t="s">
        <v>1625</v>
      </c>
      <c r="I158" s="52" t="s">
        <v>1644</v>
      </c>
      <c r="J158" s="52">
        <v>1</v>
      </c>
      <c r="K158" s="52" t="s">
        <v>44</v>
      </c>
    </row>
    <row r="159" spans="1:11" hidden="1">
      <c r="A159" s="53" t="s">
        <v>1959</v>
      </c>
      <c r="B159" s="52" t="s">
        <v>1952</v>
      </c>
      <c r="C159" s="52" t="s">
        <v>2127</v>
      </c>
      <c r="D159" s="52" t="s">
        <v>74</v>
      </c>
      <c r="E159" s="95">
        <v>290000000</v>
      </c>
      <c r="F159" s="90" t="s">
        <v>2128</v>
      </c>
      <c r="G159" s="90"/>
      <c r="H159" s="52" t="s">
        <v>1955</v>
      </c>
      <c r="I159" s="52" t="s">
        <v>1644</v>
      </c>
      <c r="J159" s="52">
        <v>1</v>
      </c>
      <c r="K159" s="52" t="s">
        <v>18</v>
      </c>
    </row>
    <row r="160" spans="1:11" hidden="1">
      <c r="A160" s="53">
        <v>44348</v>
      </c>
      <c r="B160" s="52" t="s">
        <v>1966</v>
      </c>
      <c r="C160" s="52" t="s">
        <v>2129</v>
      </c>
      <c r="D160" s="52" t="s">
        <v>74</v>
      </c>
      <c r="E160" s="95">
        <v>310000000</v>
      </c>
      <c r="F160" s="90" t="s">
        <v>1968</v>
      </c>
      <c r="G160" s="90"/>
      <c r="H160" s="52" t="s">
        <v>1955</v>
      </c>
      <c r="I160" s="52" t="s">
        <v>1644</v>
      </c>
      <c r="J160" s="52">
        <v>1</v>
      </c>
      <c r="K160" s="52" t="s">
        <v>18</v>
      </c>
    </row>
    <row r="161" spans="1:11" hidden="1">
      <c r="A161" s="53">
        <v>44378</v>
      </c>
      <c r="B161" s="52" t="s">
        <v>1952</v>
      </c>
      <c r="C161" s="52" t="s">
        <v>2130</v>
      </c>
      <c r="D161" s="52" t="s">
        <v>75</v>
      </c>
      <c r="E161" s="95">
        <v>315000000</v>
      </c>
      <c r="F161" s="90" t="s">
        <v>2123</v>
      </c>
      <c r="G161" s="90"/>
      <c r="H161" s="52" t="s">
        <v>1955</v>
      </c>
      <c r="I161" s="52" t="s">
        <v>1644</v>
      </c>
      <c r="J161" s="52">
        <v>1</v>
      </c>
      <c r="K161" s="52" t="s">
        <v>18</v>
      </c>
    </row>
    <row r="162" spans="1:11" hidden="1">
      <c r="A162" s="113"/>
      <c r="B162" s="78"/>
      <c r="C162" s="78"/>
      <c r="D162" s="78"/>
      <c r="E162" s="116"/>
      <c r="F162" s="89"/>
      <c r="G162" s="89"/>
      <c r="H162" s="78"/>
      <c r="I162" s="78"/>
      <c r="J162" s="78"/>
      <c r="K162" s="78"/>
    </row>
    <row r="163" spans="1:11" hidden="1">
      <c r="A163" s="113"/>
      <c r="B163" s="78"/>
      <c r="C163" s="78"/>
      <c r="D163" s="78"/>
      <c r="E163" s="116"/>
      <c r="F163" s="89"/>
      <c r="G163" s="89"/>
      <c r="H163" s="78"/>
      <c r="I163" s="78"/>
      <c r="J163" s="78">
        <f>SUM(J152:J162)</f>
        <v>9</v>
      </c>
      <c r="K163" s="78"/>
    </row>
    <row r="164" spans="1:11" hidden="1"/>
    <row r="165" spans="1:11" ht="18.75" hidden="1">
      <c r="A165" s="1674" t="s">
        <v>2131</v>
      </c>
      <c r="B165" s="1674"/>
      <c r="C165" s="1674"/>
      <c r="D165" s="1674"/>
      <c r="E165" s="1674"/>
      <c r="F165" s="1674"/>
      <c r="G165" s="1674"/>
      <c r="H165" s="1674"/>
      <c r="I165" s="1674"/>
      <c r="J165" s="1674"/>
      <c r="K165" s="1674"/>
    </row>
    <row r="166" spans="1:11" ht="30" hidden="1">
      <c r="A166" s="102" t="s">
        <v>1941</v>
      </c>
      <c r="B166" s="54" t="s">
        <v>1942</v>
      </c>
      <c r="C166" s="54" t="s">
        <v>1943</v>
      </c>
      <c r="D166" s="54" t="s">
        <v>1944</v>
      </c>
      <c r="E166" s="115" t="s">
        <v>1945</v>
      </c>
      <c r="F166" s="30" t="s">
        <v>1946</v>
      </c>
      <c r="G166" s="30"/>
      <c r="H166" s="54" t="s">
        <v>1947</v>
      </c>
      <c r="I166" s="54" t="s">
        <v>1948</v>
      </c>
      <c r="J166" s="76" t="s">
        <v>1949</v>
      </c>
      <c r="K166" s="77" t="s">
        <v>1950</v>
      </c>
    </row>
    <row r="167" spans="1:11" hidden="1">
      <c r="A167" s="53" t="s">
        <v>1999</v>
      </c>
      <c r="B167" s="52" t="s">
        <v>1952</v>
      </c>
      <c r="C167" s="52" t="s">
        <v>2132</v>
      </c>
      <c r="D167" s="52" t="s">
        <v>2133</v>
      </c>
      <c r="E167" s="95">
        <v>270000000</v>
      </c>
      <c r="F167" s="90" t="s">
        <v>1968</v>
      </c>
      <c r="G167" s="90"/>
      <c r="H167" s="52" t="s">
        <v>1955</v>
      </c>
      <c r="I167" s="52" t="s">
        <v>1644</v>
      </c>
      <c r="J167" s="52">
        <v>1</v>
      </c>
      <c r="K167" s="52" t="s">
        <v>18</v>
      </c>
    </row>
    <row r="168" spans="1:11" hidden="1"/>
    <row r="169" spans="1:11">
      <c r="A169" s="1665" t="s">
        <v>2134</v>
      </c>
      <c r="B169" s="1665"/>
      <c r="C169" s="1665"/>
      <c r="D169" s="1665"/>
      <c r="E169" s="1665"/>
      <c r="F169" s="1665"/>
      <c r="G169" s="1665"/>
      <c r="H169" s="1665"/>
      <c r="I169" s="1665"/>
      <c r="J169" s="1665"/>
      <c r="K169" s="1665"/>
    </row>
    <row r="170" spans="1:11">
      <c r="A170" s="1665"/>
      <c r="B170" s="1665"/>
      <c r="C170" s="1665"/>
      <c r="D170" s="1665"/>
      <c r="E170" s="1665"/>
      <c r="F170" s="1665"/>
      <c r="G170" s="1665"/>
      <c r="H170" s="1665"/>
      <c r="I170" s="1665"/>
      <c r="J170" s="1665"/>
      <c r="K170" s="1665"/>
    </row>
    <row r="171" spans="1:11" ht="18.75" hidden="1">
      <c r="A171" s="1674" t="s">
        <v>2135</v>
      </c>
      <c r="B171" s="1674"/>
      <c r="C171" s="1674"/>
      <c r="D171" s="1674"/>
      <c r="E171" s="1674"/>
      <c r="F171" s="1674"/>
      <c r="G171" s="1674"/>
      <c r="H171" s="1674"/>
      <c r="I171" s="1674"/>
      <c r="J171" s="1674"/>
      <c r="K171" s="1674"/>
    </row>
    <row r="172" spans="1:11" ht="31.5" hidden="1">
      <c r="A172" s="375" t="s">
        <v>1941</v>
      </c>
      <c r="B172" s="376" t="s">
        <v>1942</v>
      </c>
      <c r="C172" s="376" t="s">
        <v>1943</v>
      </c>
      <c r="D172" s="376" t="s">
        <v>1944</v>
      </c>
      <c r="E172" s="377" t="s">
        <v>1945</v>
      </c>
      <c r="F172" s="378" t="s">
        <v>1946</v>
      </c>
      <c r="G172" s="378"/>
      <c r="H172" s="376" t="s">
        <v>1947</v>
      </c>
      <c r="I172" s="376" t="s">
        <v>1948</v>
      </c>
      <c r="J172" s="379" t="s">
        <v>1949</v>
      </c>
      <c r="K172" s="376" t="s">
        <v>1950</v>
      </c>
    </row>
    <row r="173" spans="1:11" ht="15.75" hidden="1">
      <c r="A173" s="380" t="s">
        <v>2136</v>
      </c>
      <c r="B173" s="381" t="s">
        <v>1952</v>
      </c>
      <c r="C173" s="381" t="s">
        <v>2137</v>
      </c>
      <c r="D173" s="381" t="s">
        <v>1957</v>
      </c>
      <c r="E173" s="382">
        <v>1300000</v>
      </c>
      <c r="F173" s="383" t="s">
        <v>1968</v>
      </c>
      <c r="G173" s="383"/>
      <c r="H173" s="381" t="s">
        <v>1644</v>
      </c>
      <c r="I173" s="381" t="s">
        <v>1644</v>
      </c>
      <c r="J173" s="381">
        <v>1</v>
      </c>
      <c r="K173" s="381" t="s">
        <v>18</v>
      </c>
    </row>
    <row r="174" spans="1:11" ht="15.75" hidden="1">
      <c r="A174" s="380" t="s">
        <v>2136</v>
      </c>
      <c r="B174" s="381" t="s">
        <v>1952</v>
      </c>
      <c r="C174" s="381" t="s">
        <v>24</v>
      </c>
      <c r="D174" s="381" t="s">
        <v>1957</v>
      </c>
      <c r="E174" s="382">
        <v>1150000</v>
      </c>
      <c r="F174" s="383" t="s">
        <v>2075</v>
      </c>
      <c r="G174" s="383"/>
      <c r="H174" s="381" t="s">
        <v>1644</v>
      </c>
      <c r="I174" s="381" t="s">
        <v>1644</v>
      </c>
      <c r="J174" s="381">
        <v>1</v>
      </c>
      <c r="K174" s="381" t="s">
        <v>18</v>
      </c>
    </row>
    <row r="175" spans="1:11" ht="15.75" hidden="1">
      <c r="A175" s="380" t="s">
        <v>2136</v>
      </c>
      <c r="B175" s="381" t="s">
        <v>1952</v>
      </c>
      <c r="C175" s="381" t="s">
        <v>2138</v>
      </c>
      <c r="D175" s="381" t="s">
        <v>76</v>
      </c>
      <c r="E175" s="382">
        <v>1050000</v>
      </c>
      <c r="F175" s="383" t="s">
        <v>2075</v>
      </c>
      <c r="G175" s="383"/>
      <c r="H175" s="381" t="s">
        <v>1955</v>
      </c>
      <c r="I175" s="381" t="s">
        <v>1644</v>
      </c>
      <c r="J175" s="381">
        <v>1</v>
      </c>
      <c r="K175" s="381" t="s">
        <v>18</v>
      </c>
    </row>
    <row r="176" spans="1:11" ht="15.75" hidden="1">
      <c r="A176" s="380" t="s">
        <v>2139</v>
      </c>
      <c r="B176" s="381" t="s">
        <v>1952</v>
      </c>
      <c r="C176" s="381" t="s">
        <v>2140</v>
      </c>
      <c r="D176" s="381" t="s">
        <v>1957</v>
      </c>
      <c r="E176" s="382">
        <v>980000</v>
      </c>
      <c r="F176" s="383" t="s">
        <v>2075</v>
      </c>
      <c r="G176" s="383"/>
      <c r="H176" s="381" t="s">
        <v>1955</v>
      </c>
      <c r="I176" s="381" t="s">
        <v>1644</v>
      </c>
      <c r="J176" s="381">
        <v>1</v>
      </c>
      <c r="K176" s="381" t="s">
        <v>18</v>
      </c>
    </row>
    <row r="177" spans="1:11" ht="15.75" hidden="1">
      <c r="A177" s="380" t="s">
        <v>2139</v>
      </c>
      <c r="B177" s="381" t="s">
        <v>1952</v>
      </c>
      <c r="C177" s="381" t="s">
        <v>2141</v>
      </c>
      <c r="D177" s="381" t="s">
        <v>2089</v>
      </c>
      <c r="E177" s="382">
        <v>1550000</v>
      </c>
      <c r="F177" s="383" t="s">
        <v>1968</v>
      </c>
      <c r="G177" s="383"/>
      <c r="H177" s="381" t="s">
        <v>1644</v>
      </c>
      <c r="I177" s="381" t="s">
        <v>1644</v>
      </c>
      <c r="J177" s="381">
        <v>1</v>
      </c>
      <c r="K177" s="381" t="s">
        <v>44</v>
      </c>
    </row>
    <row r="178" spans="1:11" ht="15.75" hidden="1">
      <c r="A178" s="380" t="s">
        <v>2139</v>
      </c>
      <c r="B178" s="381" t="s">
        <v>1952</v>
      </c>
      <c r="C178" s="381" t="s">
        <v>2142</v>
      </c>
      <c r="D178" s="381" t="s">
        <v>1957</v>
      </c>
      <c r="E178" s="382">
        <v>1050000</v>
      </c>
      <c r="F178" s="383" t="s">
        <v>2075</v>
      </c>
      <c r="G178" s="383"/>
      <c r="H178" s="381" t="s">
        <v>1644</v>
      </c>
      <c r="I178" s="381" t="s">
        <v>1644</v>
      </c>
      <c r="J178" s="381">
        <v>1</v>
      </c>
      <c r="K178" s="381" t="s">
        <v>44</v>
      </c>
    </row>
    <row r="179" spans="1:11" ht="15.75" hidden="1">
      <c r="A179" s="380" t="s">
        <v>2143</v>
      </c>
      <c r="B179" s="381" t="s">
        <v>1952</v>
      </c>
      <c r="C179" s="381" t="s">
        <v>2144</v>
      </c>
      <c r="D179" s="381" t="s">
        <v>76</v>
      </c>
      <c r="E179" s="382">
        <v>1200000</v>
      </c>
      <c r="F179" s="383" t="s">
        <v>2075</v>
      </c>
      <c r="G179" s="383"/>
      <c r="H179" s="381" t="s">
        <v>1644</v>
      </c>
      <c r="I179" s="381" t="s">
        <v>1644</v>
      </c>
      <c r="J179" s="381">
        <v>1</v>
      </c>
      <c r="K179" s="381" t="s">
        <v>44</v>
      </c>
    </row>
    <row r="180" spans="1:11" ht="15.75" hidden="1">
      <c r="A180" s="380" t="s">
        <v>2143</v>
      </c>
      <c r="B180" s="381" t="s">
        <v>1952</v>
      </c>
      <c r="C180" s="381" t="s">
        <v>2145</v>
      </c>
      <c r="D180" s="381" t="s">
        <v>1957</v>
      </c>
      <c r="E180" s="382">
        <v>1200000</v>
      </c>
      <c r="F180" s="383" t="s">
        <v>2075</v>
      </c>
      <c r="G180" s="383"/>
      <c r="H180" s="381" t="s">
        <v>1644</v>
      </c>
      <c r="I180" s="381" t="s">
        <v>1644</v>
      </c>
      <c r="J180" s="381">
        <v>1</v>
      </c>
      <c r="K180" s="381" t="s">
        <v>18</v>
      </c>
    </row>
    <row r="181" spans="1:11" ht="15.75" hidden="1">
      <c r="A181" s="384">
        <v>44198</v>
      </c>
      <c r="B181" s="385" t="s">
        <v>1952</v>
      </c>
      <c r="C181" s="385" t="s">
        <v>2146</v>
      </c>
      <c r="D181" s="385" t="s">
        <v>75</v>
      </c>
      <c r="E181" s="386">
        <v>1100000</v>
      </c>
      <c r="F181" s="387" t="s">
        <v>1991</v>
      </c>
      <c r="G181" s="387"/>
      <c r="H181" s="385" t="s">
        <v>1644</v>
      </c>
      <c r="I181" s="385" t="s">
        <v>1644</v>
      </c>
      <c r="J181" s="385">
        <v>1</v>
      </c>
      <c r="K181" s="385" t="s">
        <v>44</v>
      </c>
    </row>
    <row r="182" spans="1:11" ht="15.75" hidden="1">
      <c r="A182" s="384">
        <v>44229</v>
      </c>
      <c r="B182" s="385" t="s">
        <v>1952</v>
      </c>
      <c r="C182" s="385" t="s">
        <v>2147</v>
      </c>
      <c r="D182" s="385" t="s">
        <v>1957</v>
      </c>
      <c r="E182" s="386">
        <v>1200000</v>
      </c>
      <c r="F182" s="387" t="s">
        <v>2075</v>
      </c>
      <c r="G182" s="387"/>
      <c r="H182" s="385" t="s">
        <v>1955</v>
      </c>
      <c r="I182" s="385" t="s">
        <v>1644</v>
      </c>
      <c r="J182" s="385">
        <v>1</v>
      </c>
      <c r="K182" s="385" t="s">
        <v>44</v>
      </c>
    </row>
    <row r="183" spans="1:11" ht="15.75" hidden="1">
      <c r="A183" s="384">
        <v>44229</v>
      </c>
      <c r="B183" s="385" t="s">
        <v>1952</v>
      </c>
      <c r="C183" s="385" t="s">
        <v>2148</v>
      </c>
      <c r="D183" s="385" t="s">
        <v>1957</v>
      </c>
      <c r="E183" s="386">
        <v>1200000</v>
      </c>
      <c r="F183" s="387" t="s">
        <v>1970</v>
      </c>
      <c r="G183" s="387"/>
      <c r="H183" s="385" t="s">
        <v>1644</v>
      </c>
      <c r="I183" s="385" t="s">
        <v>1625</v>
      </c>
      <c r="J183" s="385">
        <v>1</v>
      </c>
      <c r="K183" s="385" t="s">
        <v>44</v>
      </c>
    </row>
    <row r="184" spans="1:11" ht="15.75" hidden="1">
      <c r="A184" s="384">
        <v>44229</v>
      </c>
      <c r="B184" s="385" t="s">
        <v>1952</v>
      </c>
      <c r="C184" s="385" t="s">
        <v>2149</v>
      </c>
      <c r="D184" s="385" t="s">
        <v>1957</v>
      </c>
      <c r="E184" s="386">
        <v>1200000</v>
      </c>
      <c r="F184" s="387" t="s">
        <v>1970</v>
      </c>
      <c r="G184" s="387"/>
      <c r="H184" s="385" t="s">
        <v>1955</v>
      </c>
      <c r="I184" s="385" t="s">
        <v>1644</v>
      </c>
      <c r="J184" s="385">
        <v>1</v>
      </c>
      <c r="K184" s="385" t="s">
        <v>44</v>
      </c>
    </row>
    <row r="185" spans="1:11" ht="15.75" hidden="1">
      <c r="A185" s="384">
        <v>44229</v>
      </c>
      <c r="B185" s="385" t="s">
        <v>1952</v>
      </c>
      <c r="C185" s="385" t="s">
        <v>1401</v>
      </c>
      <c r="D185" s="385" t="s">
        <v>75</v>
      </c>
      <c r="E185" s="386">
        <v>1350000</v>
      </c>
      <c r="F185" s="387" t="s">
        <v>2150</v>
      </c>
      <c r="G185" s="387"/>
      <c r="H185" s="385" t="s">
        <v>1644</v>
      </c>
      <c r="I185" s="385" t="s">
        <v>1644</v>
      </c>
      <c r="J185" s="385">
        <v>1</v>
      </c>
      <c r="K185" s="385" t="s">
        <v>44</v>
      </c>
    </row>
    <row r="186" spans="1:11" ht="15.75" hidden="1">
      <c r="A186" s="384">
        <v>44229</v>
      </c>
      <c r="B186" s="385" t="s">
        <v>1952</v>
      </c>
      <c r="C186" s="385" t="s">
        <v>2151</v>
      </c>
      <c r="D186" s="385" t="s">
        <v>75</v>
      </c>
      <c r="E186" s="386">
        <v>1300000</v>
      </c>
      <c r="F186" s="387" t="s">
        <v>2152</v>
      </c>
      <c r="G186" s="387"/>
      <c r="H186" s="385" t="s">
        <v>1644</v>
      </c>
      <c r="I186" s="385" t="s">
        <v>1644</v>
      </c>
      <c r="J186" s="385">
        <v>1</v>
      </c>
      <c r="K186" s="385" t="s">
        <v>44</v>
      </c>
    </row>
    <row r="187" spans="1:11" ht="15.75" hidden="1">
      <c r="A187" s="384">
        <v>44229</v>
      </c>
      <c r="B187" s="385" t="s">
        <v>1952</v>
      </c>
      <c r="C187" s="385" t="s">
        <v>2153</v>
      </c>
      <c r="D187" s="385" t="s">
        <v>75</v>
      </c>
      <c r="E187" s="386">
        <v>1100000</v>
      </c>
      <c r="F187" s="387" t="s">
        <v>2152</v>
      </c>
      <c r="G187" s="387"/>
      <c r="H187" s="385" t="s">
        <v>1955</v>
      </c>
      <c r="I187" s="385" t="s">
        <v>1644</v>
      </c>
      <c r="J187" s="385">
        <v>1</v>
      </c>
      <c r="K187" s="385" t="s">
        <v>91</v>
      </c>
    </row>
    <row r="188" spans="1:11" ht="15.75" hidden="1">
      <c r="A188" s="384">
        <v>44257</v>
      </c>
      <c r="B188" s="385" t="s">
        <v>1952</v>
      </c>
      <c r="C188" s="385" t="s">
        <v>90</v>
      </c>
      <c r="D188" s="385" t="s">
        <v>75</v>
      </c>
      <c r="E188" s="386">
        <v>1300000</v>
      </c>
      <c r="F188" s="387" t="s">
        <v>2152</v>
      </c>
      <c r="G188" s="387"/>
      <c r="H188" s="385" t="s">
        <v>1644</v>
      </c>
      <c r="I188" s="385" t="s">
        <v>1644</v>
      </c>
      <c r="J188" s="385">
        <v>1</v>
      </c>
      <c r="K188" s="385" t="s">
        <v>91</v>
      </c>
    </row>
    <row r="189" spans="1:11" ht="15.75" hidden="1">
      <c r="A189" s="384">
        <v>44257</v>
      </c>
      <c r="B189" s="385" t="s">
        <v>1952</v>
      </c>
      <c r="C189" s="385" t="s">
        <v>1475</v>
      </c>
      <c r="D189" s="385" t="s">
        <v>1957</v>
      </c>
      <c r="E189" s="386">
        <v>1150000</v>
      </c>
      <c r="F189" s="387" t="s">
        <v>1968</v>
      </c>
      <c r="G189" s="387"/>
      <c r="H189" s="385" t="s">
        <v>1955</v>
      </c>
      <c r="I189" s="385" t="s">
        <v>1644</v>
      </c>
      <c r="J189" s="385">
        <v>1</v>
      </c>
      <c r="K189" s="385" t="s">
        <v>91</v>
      </c>
    </row>
    <row r="190" spans="1:11" ht="15.75" hidden="1">
      <c r="A190" s="384">
        <v>44288</v>
      </c>
      <c r="B190" s="385" t="s">
        <v>1952</v>
      </c>
      <c r="C190" s="385" t="s">
        <v>2154</v>
      </c>
      <c r="D190" s="385" t="s">
        <v>1957</v>
      </c>
      <c r="E190" s="386">
        <v>1150000</v>
      </c>
      <c r="F190" s="387" t="s">
        <v>2003</v>
      </c>
      <c r="G190" s="387"/>
      <c r="H190" s="385" t="s">
        <v>1955</v>
      </c>
      <c r="I190" s="385" t="s">
        <v>1644</v>
      </c>
      <c r="J190" s="385">
        <v>1</v>
      </c>
      <c r="K190" s="385" t="s">
        <v>44</v>
      </c>
    </row>
    <row r="191" spans="1:11" ht="15.75" hidden="1">
      <c r="A191" s="384">
        <v>44288</v>
      </c>
      <c r="B191" s="385" t="s">
        <v>1952</v>
      </c>
      <c r="C191" s="385" t="s">
        <v>2155</v>
      </c>
      <c r="D191" s="385" t="s">
        <v>1957</v>
      </c>
      <c r="E191" s="386">
        <v>820000</v>
      </c>
      <c r="F191" s="387" t="s">
        <v>2156</v>
      </c>
      <c r="G191" s="387"/>
      <c r="H191" s="385" t="s">
        <v>1955</v>
      </c>
      <c r="I191" s="385" t="s">
        <v>1644</v>
      </c>
      <c r="J191" s="385">
        <v>1</v>
      </c>
      <c r="K191" s="385" t="s">
        <v>44</v>
      </c>
    </row>
    <row r="192" spans="1:11" ht="15.75" hidden="1">
      <c r="A192" s="384">
        <v>44288</v>
      </c>
      <c r="B192" s="385" t="s">
        <v>1952</v>
      </c>
      <c r="C192" s="385" t="s">
        <v>2157</v>
      </c>
      <c r="D192" s="385" t="s">
        <v>1957</v>
      </c>
      <c r="E192" s="386">
        <v>1300000</v>
      </c>
      <c r="F192" s="387" t="s">
        <v>2075</v>
      </c>
      <c r="G192" s="387"/>
      <c r="H192" s="385" t="s">
        <v>1644</v>
      </c>
      <c r="I192" s="385" t="s">
        <v>1644</v>
      </c>
      <c r="J192" s="385">
        <v>1</v>
      </c>
      <c r="K192" s="385" t="s">
        <v>44</v>
      </c>
    </row>
    <row r="193" spans="1:11" ht="15.75" hidden="1">
      <c r="A193" s="384">
        <v>44318</v>
      </c>
      <c r="B193" s="385" t="s">
        <v>1952</v>
      </c>
      <c r="C193" s="385" t="s">
        <v>2158</v>
      </c>
      <c r="D193" s="385" t="s">
        <v>1957</v>
      </c>
      <c r="E193" s="386">
        <v>1200000</v>
      </c>
      <c r="F193" s="387" t="s">
        <v>1968</v>
      </c>
      <c r="G193" s="387"/>
      <c r="H193" s="385" t="s">
        <v>1644</v>
      </c>
      <c r="I193" s="385" t="s">
        <v>1644</v>
      </c>
      <c r="J193" s="385">
        <v>1</v>
      </c>
      <c r="K193" s="385" t="s">
        <v>44</v>
      </c>
    </row>
    <row r="194" spans="1:11" ht="15.75" hidden="1">
      <c r="A194" s="384">
        <v>44441</v>
      </c>
      <c r="B194" s="385" t="s">
        <v>1952</v>
      </c>
      <c r="C194" s="385" t="s">
        <v>2159</v>
      </c>
      <c r="D194" s="385" t="s">
        <v>1957</v>
      </c>
      <c r="E194" s="386">
        <v>1050000</v>
      </c>
      <c r="F194" s="387" t="s">
        <v>2075</v>
      </c>
      <c r="G194" s="387"/>
      <c r="H194" s="385" t="s">
        <v>1955</v>
      </c>
      <c r="I194" s="385" t="s">
        <v>1644</v>
      </c>
      <c r="J194" s="385">
        <v>1</v>
      </c>
      <c r="K194" s="385" t="s">
        <v>44</v>
      </c>
    </row>
    <row r="195" spans="1:11" ht="15.75" hidden="1">
      <c r="A195" s="384">
        <v>44441</v>
      </c>
      <c r="B195" s="385" t="s">
        <v>1952</v>
      </c>
      <c r="C195" s="385" t="s">
        <v>2160</v>
      </c>
      <c r="D195" s="385" t="s">
        <v>75</v>
      </c>
      <c r="E195" s="386">
        <v>1700000</v>
      </c>
      <c r="F195" s="387" t="s">
        <v>1968</v>
      </c>
      <c r="G195" s="387"/>
      <c r="H195" s="385" t="s">
        <v>2161</v>
      </c>
      <c r="I195" s="385" t="s">
        <v>1644</v>
      </c>
      <c r="J195" s="385">
        <v>1</v>
      </c>
      <c r="K195" s="385" t="s">
        <v>44</v>
      </c>
    </row>
    <row r="196" spans="1:11" ht="15.75" hidden="1">
      <c r="A196" s="384">
        <v>44502</v>
      </c>
      <c r="B196" s="385" t="s">
        <v>1952</v>
      </c>
      <c r="C196" s="385" t="s">
        <v>2162</v>
      </c>
      <c r="D196" s="385" t="s">
        <v>75</v>
      </c>
      <c r="E196" s="386">
        <v>1300000</v>
      </c>
      <c r="F196" s="387" t="s">
        <v>2163</v>
      </c>
      <c r="G196" s="387"/>
      <c r="H196" s="385" t="s">
        <v>1644</v>
      </c>
      <c r="I196" s="385" t="s">
        <v>1644</v>
      </c>
      <c r="J196" s="385">
        <v>1</v>
      </c>
      <c r="K196" s="385" t="s">
        <v>91</v>
      </c>
    </row>
    <row r="197" spans="1:11" ht="15.75" hidden="1">
      <c r="A197" s="384">
        <v>44502</v>
      </c>
      <c r="B197" s="385" t="s">
        <v>1952</v>
      </c>
      <c r="C197" s="385" t="s">
        <v>125</v>
      </c>
      <c r="D197" s="385" t="s">
        <v>75</v>
      </c>
      <c r="E197" s="386">
        <v>1300000</v>
      </c>
      <c r="F197" s="387" t="s">
        <v>2164</v>
      </c>
      <c r="G197" s="387"/>
      <c r="H197" s="385" t="s">
        <v>1644</v>
      </c>
      <c r="I197" s="385" t="s">
        <v>1644</v>
      </c>
      <c r="J197" s="385">
        <v>1</v>
      </c>
      <c r="K197" s="385" t="s">
        <v>44</v>
      </c>
    </row>
    <row r="198" spans="1:11" ht="15.75" hidden="1">
      <c r="A198" s="384" t="s">
        <v>2165</v>
      </c>
      <c r="B198" s="385" t="s">
        <v>1952</v>
      </c>
      <c r="C198" s="385" t="s">
        <v>126</v>
      </c>
      <c r="D198" s="385" t="s">
        <v>2166</v>
      </c>
      <c r="E198" s="386">
        <v>1300000</v>
      </c>
      <c r="F198" s="387" t="s">
        <v>2075</v>
      </c>
      <c r="G198" s="387"/>
      <c r="H198" s="385" t="s">
        <v>2161</v>
      </c>
      <c r="I198" s="385" t="s">
        <v>1644</v>
      </c>
      <c r="J198" s="385">
        <v>1</v>
      </c>
      <c r="K198" s="385" t="s">
        <v>100</v>
      </c>
    </row>
    <row r="199" spans="1:11" ht="15.75" hidden="1">
      <c r="A199" s="384" t="s">
        <v>2165</v>
      </c>
      <c r="B199" s="385" t="s">
        <v>1952</v>
      </c>
      <c r="C199" s="385" t="s">
        <v>153</v>
      </c>
      <c r="D199" s="385" t="s">
        <v>2167</v>
      </c>
      <c r="E199" s="386">
        <v>1300000</v>
      </c>
      <c r="F199" s="387" t="s">
        <v>1968</v>
      </c>
      <c r="G199" s="387"/>
      <c r="H199" s="385" t="s">
        <v>2161</v>
      </c>
      <c r="I199" s="385" t="s">
        <v>1644</v>
      </c>
      <c r="J199" s="385">
        <v>1</v>
      </c>
      <c r="K199" s="385" t="s">
        <v>100</v>
      </c>
    </row>
    <row r="200" spans="1:11" ht="15.75" hidden="1">
      <c r="A200" s="384">
        <v>44532</v>
      </c>
      <c r="B200" s="385" t="s">
        <v>1952</v>
      </c>
      <c r="C200" s="385" t="s">
        <v>2168</v>
      </c>
      <c r="D200" s="385" t="s">
        <v>2166</v>
      </c>
      <c r="E200" s="386">
        <v>950000</v>
      </c>
      <c r="F200" s="387" t="s">
        <v>2169</v>
      </c>
      <c r="G200" s="387"/>
      <c r="H200" s="385" t="s">
        <v>2161</v>
      </c>
      <c r="I200" s="385" t="s">
        <v>1644</v>
      </c>
      <c r="J200" s="385">
        <v>1</v>
      </c>
      <c r="K200" s="385" t="s">
        <v>100</v>
      </c>
    </row>
    <row r="201" spans="1:11" ht="15.75" hidden="1">
      <c r="A201" s="388">
        <v>44229</v>
      </c>
      <c r="B201" s="389" t="s">
        <v>1952</v>
      </c>
      <c r="C201" s="389" t="s">
        <v>2151</v>
      </c>
      <c r="D201" s="389" t="s">
        <v>75</v>
      </c>
      <c r="E201" s="390">
        <v>270000000</v>
      </c>
      <c r="F201" s="391" t="s">
        <v>2152</v>
      </c>
      <c r="G201" s="391"/>
      <c r="H201" s="389" t="s">
        <v>1955</v>
      </c>
      <c r="I201" s="389" t="s">
        <v>1644</v>
      </c>
      <c r="J201" s="389"/>
      <c r="K201" s="389" t="s">
        <v>44</v>
      </c>
    </row>
    <row r="202" spans="1:11" ht="15.75" hidden="1">
      <c r="A202" s="388">
        <v>44288</v>
      </c>
      <c r="B202" s="389" t="s">
        <v>1952</v>
      </c>
      <c r="C202" s="389" t="s">
        <v>2170</v>
      </c>
      <c r="D202" s="389" t="s">
        <v>1957</v>
      </c>
      <c r="E202" s="390">
        <v>260000000</v>
      </c>
      <c r="F202" s="391" t="s">
        <v>2003</v>
      </c>
      <c r="G202" s="391"/>
      <c r="H202" s="389" t="s">
        <v>1955</v>
      </c>
      <c r="I202" s="389" t="s">
        <v>1644</v>
      </c>
      <c r="J202" s="389"/>
      <c r="K202" s="389" t="s">
        <v>91</v>
      </c>
    </row>
    <row r="203" spans="1:11" ht="15.75" hidden="1">
      <c r="A203" s="388">
        <v>44288</v>
      </c>
      <c r="B203" s="389" t="s">
        <v>1952</v>
      </c>
      <c r="C203" s="389" t="s">
        <v>2171</v>
      </c>
      <c r="D203" s="389" t="s">
        <v>1957</v>
      </c>
      <c r="E203" s="390">
        <v>255000000</v>
      </c>
      <c r="F203" s="391" t="s">
        <v>2172</v>
      </c>
      <c r="G203" s="391"/>
      <c r="H203" s="389" t="s">
        <v>1955</v>
      </c>
      <c r="I203" s="389" t="s">
        <v>1644</v>
      </c>
      <c r="J203" s="389"/>
      <c r="K203" s="389" t="s">
        <v>91</v>
      </c>
    </row>
    <row r="204" spans="1:11" ht="15.75" hidden="1">
      <c r="A204" s="392"/>
      <c r="B204" s="385"/>
      <c r="C204" s="385"/>
      <c r="D204" s="385"/>
      <c r="E204" s="386"/>
      <c r="F204" s="387"/>
      <c r="G204" s="387"/>
      <c r="H204" s="385"/>
      <c r="I204" s="385"/>
      <c r="J204" s="385"/>
      <c r="K204" s="385"/>
    </row>
    <row r="205" spans="1:11" ht="15.75" hidden="1">
      <c r="A205" s="393"/>
      <c r="B205" s="381"/>
      <c r="C205" s="381"/>
      <c r="D205" s="381"/>
      <c r="E205" s="382"/>
      <c r="F205" s="383"/>
      <c r="G205" s="383"/>
      <c r="H205" s="381"/>
      <c r="I205" s="381"/>
      <c r="J205" s="381">
        <f>SUM(J173:J204)</f>
        <v>28</v>
      </c>
      <c r="K205" s="381"/>
    </row>
    <row r="206" spans="1:11" ht="15.75" hidden="1">
      <c r="A206" s="394"/>
      <c r="B206" s="395"/>
      <c r="C206" s="395"/>
      <c r="D206" s="395"/>
      <c r="E206" s="396"/>
      <c r="F206" s="397"/>
      <c r="G206" s="397"/>
      <c r="H206" s="395"/>
      <c r="I206" s="395"/>
      <c r="J206" s="395"/>
      <c r="K206" s="395"/>
    </row>
    <row r="207" spans="1:11" ht="15.75" hidden="1">
      <c r="A207" s="1678" t="s">
        <v>2173</v>
      </c>
      <c r="B207" s="1678"/>
      <c r="C207" s="1678"/>
      <c r="D207" s="1678"/>
      <c r="E207" s="1678"/>
      <c r="F207" s="1678"/>
      <c r="G207" s="1678"/>
      <c r="H207" s="1678"/>
      <c r="I207" s="1678"/>
      <c r="J207" s="1678"/>
      <c r="K207" s="1678"/>
    </row>
    <row r="208" spans="1:11" ht="31.5" hidden="1">
      <c r="A208" s="375" t="s">
        <v>1941</v>
      </c>
      <c r="B208" s="376" t="s">
        <v>1942</v>
      </c>
      <c r="C208" s="376" t="s">
        <v>1943</v>
      </c>
      <c r="D208" s="376" t="s">
        <v>1944</v>
      </c>
      <c r="E208" s="377" t="s">
        <v>1945</v>
      </c>
      <c r="F208" s="378" t="s">
        <v>1946</v>
      </c>
      <c r="G208" s="378"/>
      <c r="H208" s="376" t="s">
        <v>1947</v>
      </c>
      <c r="I208" s="376" t="s">
        <v>1948</v>
      </c>
      <c r="J208" s="379" t="s">
        <v>1949</v>
      </c>
      <c r="K208" s="376" t="s">
        <v>1950</v>
      </c>
    </row>
    <row r="209" spans="1:11" ht="15.75" hidden="1">
      <c r="A209" s="393">
        <v>44198</v>
      </c>
      <c r="B209" s="381" t="s">
        <v>1966</v>
      </c>
      <c r="C209" s="381" t="s">
        <v>2174</v>
      </c>
      <c r="D209" s="381" t="s">
        <v>1957</v>
      </c>
      <c r="E209" s="382">
        <v>2550000</v>
      </c>
      <c r="F209" s="383" t="s">
        <v>1968</v>
      </c>
      <c r="G209" s="383"/>
      <c r="H209" s="381" t="s">
        <v>1955</v>
      </c>
      <c r="I209" s="381" t="s">
        <v>1644</v>
      </c>
      <c r="J209" s="381">
        <v>1</v>
      </c>
      <c r="K209" s="381" t="s">
        <v>44</v>
      </c>
    </row>
    <row r="210" spans="1:11" ht="15.75" hidden="1">
      <c r="A210" s="393">
        <v>44229</v>
      </c>
      <c r="B210" s="381" t="s">
        <v>1952</v>
      </c>
      <c r="C210" s="381" t="s">
        <v>2175</v>
      </c>
      <c r="D210" s="381" t="s">
        <v>1957</v>
      </c>
      <c r="E210" s="382">
        <v>780000</v>
      </c>
      <c r="F210" s="383" t="s">
        <v>1968</v>
      </c>
      <c r="G210" s="383"/>
      <c r="H210" s="381" t="s">
        <v>1955</v>
      </c>
      <c r="I210" s="381" t="s">
        <v>1644</v>
      </c>
      <c r="J210" s="381">
        <v>1</v>
      </c>
      <c r="K210" s="381" t="s">
        <v>44</v>
      </c>
    </row>
    <row r="211" spans="1:11" ht="15.75" hidden="1">
      <c r="A211" s="393">
        <v>44229</v>
      </c>
      <c r="B211" s="381" t="s">
        <v>1952</v>
      </c>
      <c r="C211" s="381" t="s">
        <v>2176</v>
      </c>
      <c r="D211" s="381" t="s">
        <v>1957</v>
      </c>
      <c r="E211" s="382">
        <v>1050000</v>
      </c>
      <c r="F211" s="383" t="s">
        <v>2043</v>
      </c>
      <c r="G211" s="383"/>
      <c r="H211" s="381" t="s">
        <v>1644</v>
      </c>
      <c r="I211" s="381" t="s">
        <v>1644</v>
      </c>
      <c r="J211" s="381">
        <v>1</v>
      </c>
      <c r="K211" s="381" t="s">
        <v>44</v>
      </c>
    </row>
    <row r="212" spans="1:11" ht="15.75" hidden="1">
      <c r="A212" s="393">
        <v>44440</v>
      </c>
      <c r="B212" s="381" t="s">
        <v>1952</v>
      </c>
      <c r="C212" s="381" t="s">
        <v>2177</v>
      </c>
      <c r="D212" s="381" t="s">
        <v>1957</v>
      </c>
      <c r="E212" s="382">
        <v>1300000</v>
      </c>
      <c r="F212" s="383" t="s">
        <v>1968</v>
      </c>
      <c r="G212" s="383"/>
      <c r="H212" s="381" t="s">
        <v>1955</v>
      </c>
      <c r="I212" s="381" t="s">
        <v>1644</v>
      </c>
      <c r="J212" s="381">
        <v>1</v>
      </c>
      <c r="K212" s="381" t="s">
        <v>44</v>
      </c>
    </row>
    <row r="213" spans="1:11" ht="15.75" hidden="1">
      <c r="A213" s="384">
        <v>44471</v>
      </c>
      <c r="B213" s="385" t="s">
        <v>1952</v>
      </c>
      <c r="C213" s="385" t="s">
        <v>2178</v>
      </c>
      <c r="D213" s="385" t="s">
        <v>1957</v>
      </c>
      <c r="E213" s="386">
        <v>1150000</v>
      </c>
      <c r="F213" s="387" t="s">
        <v>1968</v>
      </c>
      <c r="G213" s="387"/>
      <c r="H213" s="385" t="s">
        <v>2161</v>
      </c>
      <c r="I213" s="385" t="s">
        <v>1644</v>
      </c>
      <c r="J213" s="385">
        <v>1</v>
      </c>
      <c r="K213" s="385" t="s">
        <v>44</v>
      </c>
    </row>
    <row r="214" spans="1:11" ht="15.75" hidden="1">
      <c r="A214" s="392" t="s">
        <v>2139</v>
      </c>
      <c r="B214" s="385" t="s">
        <v>1952</v>
      </c>
      <c r="C214" s="385" t="s">
        <v>2179</v>
      </c>
      <c r="D214" s="385" t="s">
        <v>76</v>
      </c>
      <c r="E214" s="386">
        <v>1200000</v>
      </c>
      <c r="F214" s="387" t="s">
        <v>1968</v>
      </c>
      <c r="G214" s="387"/>
      <c r="H214" s="385" t="s">
        <v>1644</v>
      </c>
      <c r="I214" s="385" t="s">
        <v>1644</v>
      </c>
      <c r="J214" s="385">
        <v>1</v>
      </c>
      <c r="K214" s="385" t="s">
        <v>44</v>
      </c>
    </row>
    <row r="215" spans="1:11" ht="15.75" hidden="1">
      <c r="A215" s="384">
        <v>44288</v>
      </c>
      <c r="B215" s="385" t="s">
        <v>1952</v>
      </c>
      <c r="C215" s="385" t="s">
        <v>2180</v>
      </c>
      <c r="D215" s="385" t="s">
        <v>76</v>
      </c>
      <c r="E215" s="386">
        <v>1150000</v>
      </c>
      <c r="F215" s="387" t="s">
        <v>2028</v>
      </c>
      <c r="G215" s="387"/>
      <c r="H215" s="385" t="s">
        <v>1955</v>
      </c>
      <c r="I215" s="385" t="s">
        <v>1644</v>
      </c>
      <c r="J215" s="385">
        <v>1</v>
      </c>
      <c r="K215" s="385" t="s">
        <v>44</v>
      </c>
    </row>
    <row r="216" spans="1:11" ht="15.75" hidden="1">
      <c r="A216" s="384" t="s">
        <v>2181</v>
      </c>
      <c r="B216" s="385" t="s">
        <v>2182</v>
      </c>
      <c r="C216" s="385" t="s">
        <v>2183</v>
      </c>
      <c r="D216" s="385" t="s">
        <v>76</v>
      </c>
      <c r="E216" s="386">
        <v>1300000</v>
      </c>
      <c r="F216" s="387" t="s">
        <v>2184</v>
      </c>
      <c r="G216" s="387"/>
      <c r="H216" s="385" t="s">
        <v>1644</v>
      </c>
      <c r="I216" s="385" t="s">
        <v>1644</v>
      </c>
      <c r="J216" s="385">
        <v>1</v>
      </c>
      <c r="K216" s="385" t="s">
        <v>234</v>
      </c>
    </row>
    <row r="217" spans="1:11" ht="15.75" hidden="1">
      <c r="A217" s="384" t="s">
        <v>2185</v>
      </c>
      <c r="B217" s="385" t="s">
        <v>2060</v>
      </c>
      <c r="C217" s="385" t="s">
        <v>2186</v>
      </c>
      <c r="D217" s="385" t="s">
        <v>76</v>
      </c>
      <c r="E217" s="386">
        <v>1000000</v>
      </c>
      <c r="F217" s="387" t="s">
        <v>2187</v>
      </c>
      <c r="G217" s="387"/>
      <c r="H217" s="385" t="s">
        <v>1644</v>
      </c>
      <c r="I217" s="385" t="s">
        <v>1644</v>
      </c>
      <c r="J217" s="385">
        <v>1</v>
      </c>
      <c r="K217" s="385" t="s">
        <v>234</v>
      </c>
    </row>
    <row r="218" spans="1:11" ht="15.75" hidden="1">
      <c r="A218" s="384" t="s">
        <v>2188</v>
      </c>
      <c r="B218" s="385" t="s">
        <v>1952</v>
      </c>
      <c r="C218" s="385" t="s">
        <v>165</v>
      </c>
      <c r="D218" s="385" t="s">
        <v>76</v>
      </c>
      <c r="E218" s="386">
        <v>1150000</v>
      </c>
      <c r="F218" s="387" t="s">
        <v>2189</v>
      </c>
      <c r="G218" s="387"/>
      <c r="H218" s="385" t="s">
        <v>1644</v>
      </c>
      <c r="I218" s="385" t="s">
        <v>1644</v>
      </c>
      <c r="J218" s="385">
        <v>1</v>
      </c>
      <c r="K218" s="385" t="s">
        <v>100</v>
      </c>
    </row>
    <row r="219" spans="1:11" ht="15.75" hidden="1">
      <c r="A219" s="384" t="s">
        <v>2165</v>
      </c>
      <c r="B219" s="385" t="s">
        <v>1952</v>
      </c>
      <c r="C219" s="385" t="s">
        <v>2190</v>
      </c>
      <c r="D219" s="385" t="s">
        <v>76</v>
      </c>
      <c r="E219" s="386">
        <v>950000</v>
      </c>
      <c r="F219" s="387" t="s">
        <v>2191</v>
      </c>
      <c r="G219" s="387"/>
      <c r="H219" s="385" t="s">
        <v>2161</v>
      </c>
      <c r="I219" s="385" t="s">
        <v>1644</v>
      </c>
      <c r="J219" s="385">
        <v>1</v>
      </c>
      <c r="K219" s="385" t="s">
        <v>100</v>
      </c>
    </row>
    <row r="220" spans="1:11" ht="15.75" hidden="1">
      <c r="A220" s="384">
        <v>44229</v>
      </c>
      <c r="B220" s="385" t="s">
        <v>1952</v>
      </c>
      <c r="C220" s="385" t="s">
        <v>2192</v>
      </c>
      <c r="D220" s="385" t="s">
        <v>2062</v>
      </c>
      <c r="E220" s="386">
        <v>1300000</v>
      </c>
      <c r="F220" s="387" t="s">
        <v>1968</v>
      </c>
      <c r="G220" s="387"/>
      <c r="H220" s="385" t="s">
        <v>1955</v>
      </c>
      <c r="I220" s="385" t="s">
        <v>1644</v>
      </c>
      <c r="J220" s="385">
        <v>1</v>
      </c>
      <c r="K220" s="385" t="s">
        <v>18</v>
      </c>
    </row>
    <row r="221" spans="1:11" ht="15.75" hidden="1">
      <c r="A221" s="384">
        <v>44441</v>
      </c>
      <c r="B221" s="385" t="s">
        <v>1952</v>
      </c>
      <c r="C221" s="385" t="s">
        <v>2193</v>
      </c>
      <c r="D221" s="385" t="s">
        <v>75</v>
      </c>
      <c r="E221" s="386">
        <v>1350000</v>
      </c>
      <c r="F221" s="387" t="s">
        <v>2194</v>
      </c>
      <c r="G221" s="387"/>
      <c r="H221" s="385" t="s">
        <v>1644</v>
      </c>
      <c r="I221" s="385" t="s">
        <v>1644</v>
      </c>
      <c r="J221" s="385">
        <v>1</v>
      </c>
      <c r="K221" s="385" t="s">
        <v>44</v>
      </c>
    </row>
    <row r="222" spans="1:11" ht="15.75" hidden="1">
      <c r="A222" s="384">
        <v>44440</v>
      </c>
      <c r="B222" s="385" t="s">
        <v>1952</v>
      </c>
      <c r="C222" s="385" t="s">
        <v>2195</v>
      </c>
      <c r="D222" s="385" t="s">
        <v>75</v>
      </c>
      <c r="E222" s="386">
        <v>1500000</v>
      </c>
      <c r="F222" s="387" t="s">
        <v>1968</v>
      </c>
      <c r="G222" s="387"/>
      <c r="H222" s="385" t="s">
        <v>1955</v>
      </c>
      <c r="I222" s="385" t="s">
        <v>1644</v>
      </c>
      <c r="J222" s="385">
        <v>1</v>
      </c>
      <c r="K222" s="385" t="s">
        <v>44</v>
      </c>
    </row>
    <row r="223" spans="1:11" ht="15.75" hidden="1">
      <c r="A223" s="384">
        <v>44471</v>
      </c>
      <c r="B223" s="385" t="s">
        <v>1952</v>
      </c>
      <c r="C223" s="385" t="s">
        <v>2196</v>
      </c>
      <c r="D223" s="385" t="s">
        <v>75</v>
      </c>
      <c r="E223" s="386">
        <v>1350000</v>
      </c>
      <c r="F223" s="387" t="s">
        <v>2008</v>
      </c>
      <c r="G223" s="387"/>
      <c r="H223" s="385" t="s">
        <v>1644</v>
      </c>
      <c r="I223" s="385" t="s">
        <v>1644</v>
      </c>
      <c r="J223" s="385">
        <v>1</v>
      </c>
      <c r="K223" s="385" t="s">
        <v>44</v>
      </c>
    </row>
    <row r="224" spans="1:11" ht="15.75" hidden="1">
      <c r="A224" s="384">
        <v>44502</v>
      </c>
      <c r="B224" s="385" t="s">
        <v>1952</v>
      </c>
      <c r="C224" s="385" t="s">
        <v>2197</v>
      </c>
      <c r="D224" s="385" t="s">
        <v>75</v>
      </c>
      <c r="E224" s="386">
        <v>1400000</v>
      </c>
      <c r="F224" s="387" t="s">
        <v>2198</v>
      </c>
      <c r="G224" s="387"/>
      <c r="H224" s="385" t="s">
        <v>1644</v>
      </c>
      <c r="I224" s="385" t="s">
        <v>1644</v>
      </c>
      <c r="J224" s="385">
        <v>1</v>
      </c>
      <c r="K224" s="385" t="s">
        <v>100</v>
      </c>
    </row>
    <row r="225" spans="1:11" ht="15.75" hidden="1">
      <c r="A225" s="384" t="s">
        <v>2199</v>
      </c>
      <c r="B225" s="385" t="s">
        <v>2182</v>
      </c>
      <c r="C225" s="385" t="s">
        <v>2200</v>
      </c>
      <c r="D225" s="385" t="s">
        <v>75</v>
      </c>
      <c r="E225" s="386">
        <v>1450000</v>
      </c>
      <c r="F225" s="387" t="s">
        <v>2201</v>
      </c>
      <c r="G225" s="387"/>
      <c r="H225" s="385" t="s">
        <v>2161</v>
      </c>
      <c r="I225" s="385" t="s">
        <v>1644</v>
      </c>
      <c r="J225" s="385">
        <v>1</v>
      </c>
      <c r="K225" s="385" t="s">
        <v>100</v>
      </c>
    </row>
    <row r="226" spans="1:11" ht="15.75" hidden="1">
      <c r="A226" s="384" t="s">
        <v>2202</v>
      </c>
      <c r="B226" s="385" t="s">
        <v>2182</v>
      </c>
      <c r="C226" s="385" t="s">
        <v>2203</v>
      </c>
      <c r="D226" s="385" t="s">
        <v>75</v>
      </c>
      <c r="E226" s="386">
        <v>2200000</v>
      </c>
      <c r="F226" s="387" t="s">
        <v>2204</v>
      </c>
      <c r="G226" s="387"/>
      <c r="H226" s="385" t="s">
        <v>1644</v>
      </c>
      <c r="I226" s="385" t="s">
        <v>1644</v>
      </c>
      <c r="J226" s="385">
        <v>1</v>
      </c>
      <c r="K226" s="385" t="s">
        <v>100</v>
      </c>
    </row>
    <row r="227" spans="1:11" ht="15.75" hidden="1">
      <c r="A227" s="384" t="s">
        <v>2185</v>
      </c>
      <c r="B227" s="385" t="s">
        <v>2182</v>
      </c>
      <c r="C227" s="385" t="s">
        <v>2205</v>
      </c>
      <c r="D227" s="385" t="s">
        <v>76</v>
      </c>
      <c r="E227" s="386">
        <v>1300000</v>
      </c>
      <c r="F227" s="387" t="s">
        <v>2206</v>
      </c>
      <c r="G227" s="387"/>
      <c r="H227" s="385" t="s">
        <v>1644</v>
      </c>
      <c r="I227" s="385" t="s">
        <v>1644</v>
      </c>
      <c r="J227" s="385">
        <v>1</v>
      </c>
      <c r="K227" s="385" t="s">
        <v>100</v>
      </c>
    </row>
    <row r="228" spans="1:11" ht="15.75" hidden="1">
      <c r="A228" s="384" t="s">
        <v>2207</v>
      </c>
      <c r="B228" s="385" t="s">
        <v>2182</v>
      </c>
      <c r="C228" s="385" t="s">
        <v>2208</v>
      </c>
      <c r="D228" s="385" t="s">
        <v>76</v>
      </c>
      <c r="E228" s="386">
        <v>13500000</v>
      </c>
      <c r="F228" s="387" t="s">
        <v>2209</v>
      </c>
      <c r="G228" s="387"/>
      <c r="H228" s="385" t="s">
        <v>1644</v>
      </c>
      <c r="I228" s="385" t="s">
        <v>1644</v>
      </c>
      <c r="J228" s="385">
        <v>1</v>
      </c>
      <c r="K228" s="385" t="s">
        <v>100</v>
      </c>
    </row>
    <row r="229" spans="1:11" ht="15.75" hidden="1">
      <c r="A229" s="384"/>
      <c r="B229" s="385"/>
      <c r="C229" s="385"/>
      <c r="D229" s="385"/>
      <c r="E229" s="386"/>
      <c r="F229" s="387"/>
      <c r="G229" s="387"/>
      <c r="H229" s="385"/>
      <c r="I229" s="385"/>
      <c r="J229" s="385"/>
      <c r="K229" s="385"/>
    </row>
    <row r="230" spans="1:11" ht="15.75" hidden="1">
      <c r="A230" s="398" t="s">
        <v>1994</v>
      </c>
      <c r="B230" s="389" t="s">
        <v>1952</v>
      </c>
      <c r="C230" s="389" t="s">
        <v>2180</v>
      </c>
      <c r="D230" s="389" t="s">
        <v>1957</v>
      </c>
      <c r="E230" s="390">
        <v>215000000</v>
      </c>
      <c r="F230" s="391" t="s">
        <v>1968</v>
      </c>
      <c r="G230" s="391"/>
      <c r="H230" s="389" t="s">
        <v>1955</v>
      </c>
      <c r="I230" s="389" t="s">
        <v>1644</v>
      </c>
      <c r="J230" s="389"/>
      <c r="K230" s="389" t="s">
        <v>2210</v>
      </c>
    </row>
    <row r="231" spans="1:11" ht="15.75" hidden="1">
      <c r="A231" s="398" t="s">
        <v>2211</v>
      </c>
      <c r="B231" s="389" t="s">
        <v>2182</v>
      </c>
      <c r="C231" s="389" t="s">
        <v>2212</v>
      </c>
      <c r="D231" s="389" t="s">
        <v>76</v>
      </c>
      <c r="E231" s="390">
        <v>291000000</v>
      </c>
      <c r="F231" s="391" t="s">
        <v>2213</v>
      </c>
      <c r="G231" s="391"/>
      <c r="H231" s="389" t="s">
        <v>2161</v>
      </c>
      <c r="I231" s="389" t="s">
        <v>1644</v>
      </c>
      <c r="J231" s="389"/>
      <c r="K231" s="389" t="s">
        <v>2210</v>
      </c>
    </row>
    <row r="232" spans="1:11" ht="15.75" hidden="1">
      <c r="A232" s="398" t="s">
        <v>2211</v>
      </c>
      <c r="B232" s="389" t="s">
        <v>2182</v>
      </c>
      <c r="C232" s="389" t="s">
        <v>2214</v>
      </c>
      <c r="D232" s="389" t="s">
        <v>76</v>
      </c>
      <c r="E232" s="390">
        <v>320000000</v>
      </c>
      <c r="F232" s="391" t="s">
        <v>2028</v>
      </c>
      <c r="G232" s="391"/>
      <c r="H232" s="389" t="s">
        <v>2161</v>
      </c>
      <c r="I232" s="389" t="s">
        <v>1644</v>
      </c>
      <c r="J232" s="389"/>
      <c r="K232" s="389" t="s">
        <v>2210</v>
      </c>
    </row>
    <row r="233" spans="1:11" ht="15.75" hidden="1">
      <c r="A233" s="398"/>
      <c r="B233" s="389"/>
      <c r="C233" s="389"/>
      <c r="D233" s="389"/>
      <c r="E233" s="390"/>
      <c r="F233" s="391"/>
      <c r="G233" s="391"/>
      <c r="H233" s="389"/>
      <c r="I233" s="389"/>
      <c r="J233" s="389"/>
      <c r="K233" s="389"/>
    </row>
    <row r="234" spans="1:11" ht="15.75" hidden="1">
      <c r="A234" s="392"/>
      <c r="B234" s="385"/>
      <c r="C234" s="385"/>
      <c r="D234" s="385"/>
      <c r="E234" s="386"/>
      <c r="F234" s="387"/>
      <c r="G234" s="387"/>
      <c r="H234" s="385"/>
      <c r="I234" s="385"/>
      <c r="J234" s="385"/>
      <c r="K234" s="385"/>
    </row>
    <row r="235" spans="1:11" ht="15.75" hidden="1">
      <c r="A235" s="393"/>
      <c r="B235" s="381"/>
      <c r="C235" s="381"/>
      <c r="D235" s="381"/>
      <c r="E235" s="382"/>
      <c r="F235" s="383"/>
      <c r="G235" s="383"/>
      <c r="H235" s="381"/>
      <c r="I235" s="381"/>
      <c r="J235" s="381">
        <f>SUM(J209:J234)</f>
        <v>20</v>
      </c>
      <c r="K235" s="381"/>
    </row>
    <row r="236" spans="1:11" ht="15.75" hidden="1">
      <c r="A236" s="394"/>
      <c r="B236" s="395"/>
      <c r="C236" s="395"/>
      <c r="D236" s="395"/>
      <c r="E236" s="396"/>
      <c r="F236" s="397"/>
      <c r="G236" s="397"/>
      <c r="H236" s="395"/>
      <c r="I236" s="395"/>
      <c r="J236" s="395"/>
      <c r="K236" s="395"/>
    </row>
    <row r="237" spans="1:11" ht="15.75" hidden="1">
      <c r="A237" s="1678" t="s">
        <v>2215</v>
      </c>
      <c r="B237" s="1678"/>
      <c r="C237" s="1678"/>
      <c r="D237" s="1678"/>
      <c r="E237" s="1678"/>
      <c r="F237" s="1678"/>
      <c r="G237" s="1678"/>
      <c r="H237" s="1678"/>
      <c r="I237" s="1678"/>
      <c r="J237" s="1678"/>
      <c r="K237" s="1678"/>
    </row>
    <row r="238" spans="1:11" ht="31.5" hidden="1">
      <c r="A238" s="375" t="s">
        <v>1941</v>
      </c>
      <c r="B238" s="376" t="s">
        <v>1942</v>
      </c>
      <c r="C238" s="376" t="s">
        <v>1943</v>
      </c>
      <c r="D238" s="376" t="s">
        <v>1944</v>
      </c>
      <c r="E238" s="377" t="s">
        <v>1945</v>
      </c>
      <c r="F238" s="378" t="s">
        <v>1946</v>
      </c>
      <c r="G238" s="378"/>
      <c r="H238" s="376" t="s">
        <v>1947</v>
      </c>
      <c r="I238" s="376" t="s">
        <v>1948</v>
      </c>
      <c r="J238" s="379" t="s">
        <v>1949</v>
      </c>
      <c r="K238" s="376" t="s">
        <v>1950</v>
      </c>
    </row>
    <row r="239" spans="1:11" ht="15.75" hidden="1">
      <c r="A239" s="380" t="s">
        <v>2143</v>
      </c>
      <c r="B239" s="381" t="s">
        <v>1952</v>
      </c>
      <c r="C239" s="381" t="s">
        <v>2216</v>
      </c>
      <c r="D239" s="381" t="s">
        <v>75</v>
      </c>
      <c r="E239" s="382">
        <v>1300000</v>
      </c>
      <c r="F239" s="383" t="s">
        <v>1968</v>
      </c>
      <c r="G239" s="383"/>
      <c r="H239" s="381" t="s">
        <v>1644</v>
      </c>
      <c r="I239" s="381" t="s">
        <v>1644</v>
      </c>
      <c r="J239" s="381">
        <v>1</v>
      </c>
      <c r="K239" s="381" t="s">
        <v>44</v>
      </c>
    </row>
    <row r="240" spans="1:11" ht="15.75" hidden="1">
      <c r="A240" s="380" t="s">
        <v>2143</v>
      </c>
      <c r="B240" s="381" t="s">
        <v>1952</v>
      </c>
      <c r="C240" s="381" t="s">
        <v>2217</v>
      </c>
      <c r="D240" s="381" t="s">
        <v>74</v>
      </c>
      <c r="E240" s="382">
        <v>950000</v>
      </c>
      <c r="F240" s="383" t="s">
        <v>1968</v>
      </c>
      <c r="G240" s="383"/>
      <c r="H240" s="381" t="s">
        <v>1644</v>
      </c>
      <c r="I240" s="381" t="s">
        <v>1644</v>
      </c>
      <c r="J240" s="381">
        <v>1</v>
      </c>
      <c r="K240" s="381" t="s">
        <v>18</v>
      </c>
    </row>
    <row r="241" spans="1:11" ht="15.75" hidden="1">
      <c r="A241" s="380" t="s">
        <v>2143</v>
      </c>
      <c r="B241" s="385" t="s">
        <v>1966</v>
      </c>
      <c r="C241" s="385" t="s">
        <v>2218</v>
      </c>
      <c r="D241" s="385" t="s">
        <v>74</v>
      </c>
      <c r="E241" s="386">
        <v>1800000</v>
      </c>
      <c r="F241" s="387" t="s">
        <v>1968</v>
      </c>
      <c r="G241" s="387"/>
      <c r="H241" s="385" t="s">
        <v>1644</v>
      </c>
      <c r="I241" s="385" t="s">
        <v>1644</v>
      </c>
      <c r="J241" s="385">
        <v>1</v>
      </c>
      <c r="K241" s="385" t="s">
        <v>91</v>
      </c>
    </row>
    <row r="242" spans="1:11" ht="15.75" hidden="1">
      <c r="A242" s="384" t="s">
        <v>2219</v>
      </c>
      <c r="B242" s="385" t="s">
        <v>1952</v>
      </c>
      <c r="C242" s="385" t="s">
        <v>2220</v>
      </c>
      <c r="D242" s="385" t="s">
        <v>74</v>
      </c>
      <c r="E242" s="386">
        <v>1200000</v>
      </c>
      <c r="F242" s="387" t="s">
        <v>2221</v>
      </c>
      <c r="G242" s="387"/>
      <c r="H242" s="385" t="s">
        <v>1644</v>
      </c>
      <c r="I242" s="385" t="s">
        <v>1644</v>
      </c>
      <c r="J242" s="385">
        <v>1</v>
      </c>
      <c r="K242" s="385" t="s">
        <v>100</v>
      </c>
    </row>
    <row r="243" spans="1:11" ht="15.75" hidden="1">
      <c r="A243" s="384" t="s">
        <v>2219</v>
      </c>
      <c r="B243" s="385" t="s">
        <v>1952</v>
      </c>
      <c r="C243" s="385" t="s">
        <v>2222</v>
      </c>
      <c r="D243" s="385" t="s">
        <v>74</v>
      </c>
      <c r="E243" s="386">
        <v>1200000</v>
      </c>
      <c r="F243" s="387" t="s">
        <v>2223</v>
      </c>
      <c r="G243" s="387"/>
      <c r="H243" s="385" t="s">
        <v>2161</v>
      </c>
      <c r="I243" s="385" t="s">
        <v>1644</v>
      </c>
      <c r="J243" s="385">
        <v>1</v>
      </c>
      <c r="K243" s="385" t="s">
        <v>100</v>
      </c>
    </row>
    <row r="244" spans="1:11" ht="15.75" hidden="1">
      <c r="A244" s="384" t="s">
        <v>2188</v>
      </c>
      <c r="B244" s="385" t="s">
        <v>1952</v>
      </c>
      <c r="C244" s="385" t="s">
        <v>941</v>
      </c>
      <c r="D244" s="385" t="s">
        <v>2072</v>
      </c>
      <c r="E244" s="386">
        <v>1050000</v>
      </c>
      <c r="F244" s="387" t="s">
        <v>2224</v>
      </c>
      <c r="G244" s="387"/>
      <c r="H244" s="385" t="s">
        <v>2161</v>
      </c>
      <c r="I244" s="385" t="s">
        <v>1644</v>
      </c>
      <c r="J244" s="385">
        <v>1</v>
      </c>
      <c r="K244" s="385" t="s">
        <v>100</v>
      </c>
    </row>
    <row r="245" spans="1:11" ht="15.75" hidden="1">
      <c r="A245" s="384" t="s">
        <v>2165</v>
      </c>
      <c r="B245" s="385" t="s">
        <v>2060</v>
      </c>
      <c r="C245" s="385" t="s">
        <v>2225</v>
      </c>
      <c r="D245" s="385" t="s">
        <v>2072</v>
      </c>
      <c r="E245" s="386">
        <v>3000000</v>
      </c>
      <c r="F245" s="387" t="s">
        <v>2213</v>
      </c>
      <c r="G245" s="387"/>
      <c r="H245" s="385" t="s">
        <v>2161</v>
      </c>
      <c r="I245" s="385" t="s">
        <v>1644</v>
      </c>
      <c r="J245" s="385">
        <v>1</v>
      </c>
      <c r="K245" s="385" t="s">
        <v>100</v>
      </c>
    </row>
    <row r="246" spans="1:11" ht="15.75" hidden="1">
      <c r="A246" s="384" t="s">
        <v>2226</v>
      </c>
      <c r="B246" s="385" t="s">
        <v>2060</v>
      </c>
      <c r="C246" s="385" t="s">
        <v>2227</v>
      </c>
      <c r="D246" s="385" t="s">
        <v>2072</v>
      </c>
      <c r="E246" s="386">
        <v>3500000</v>
      </c>
      <c r="F246" s="387" t="s">
        <v>2213</v>
      </c>
      <c r="G246" s="387"/>
      <c r="H246" s="385" t="s">
        <v>2161</v>
      </c>
      <c r="I246" s="385" t="s">
        <v>1644</v>
      </c>
      <c r="J246" s="385">
        <v>1</v>
      </c>
      <c r="K246" s="385" t="s">
        <v>100</v>
      </c>
    </row>
    <row r="247" spans="1:11" ht="15.75" hidden="1">
      <c r="A247" s="384" t="s">
        <v>2228</v>
      </c>
      <c r="B247" s="385" t="s">
        <v>2182</v>
      </c>
      <c r="C247" s="385" t="s">
        <v>2229</v>
      </c>
      <c r="D247" s="385" t="s">
        <v>2072</v>
      </c>
      <c r="E247" s="386">
        <v>1000000</v>
      </c>
      <c r="F247" s="387" t="s">
        <v>2213</v>
      </c>
      <c r="G247" s="387"/>
      <c r="H247" s="385" t="s">
        <v>2161</v>
      </c>
      <c r="I247" s="385" t="s">
        <v>1644</v>
      </c>
      <c r="J247" s="385">
        <v>1</v>
      </c>
      <c r="K247" s="385" t="s">
        <v>100</v>
      </c>
    </row>
    <row r="248" spans="1:11" ht="15.75" hidden="1">
      <c r="A248" s="384" t="s">
        <v>2181</v>
      </c>
      <c r="B248" s="385" t="s">
        <v>2182</v>
      </c>
      <c r="C248" s="385" t="s">
        <v>2230</v>
      </c>
      <c r="D248" s="385" t="s">
        <v>2072</v>
      </c>
      <c r="E248" s="386">
        <v>1250000</v>
      </c>
      <c r="F248" s="387" t="s">
        <v>2213</v>
      </c>
      <c r="G248" s="387"/>
      <c r="H248" s="385" t="s">
        <v>1644</v>
      </c>
      <c r="I248" s="385" t="s">
        <v>1644</v>
      </c>
      <c r="J248" s="385">
        <v>1</v>
      </c>
      <c r="K248" s="385" t="s">
        <v>234</v>
      </c>
    </row>
    <row r="249" spans="1:11" ht="15.75" hidden="1">
      <c r="A249" s="384" t="s">
        <v>2181</v>
      </c>
      <c r="B249" s="385" t="s">
        <v>2182</v>
      </c>
      <c r="C249" s="385" t="s">
        <v>2231</v>
      </c>
      <c r="D249" s="385" t="s">
        <v>2072</v>
      </c>
      <c r="E249" s="386">
        <v>1300000</v>
      </c>
      <c r="F249" s="387" t="s">
        <v>2213</v>
      </c>
      <c r="G249" s="387"/>
      <c r="H249" s="385" t="s">
        <v>1644</v>
      </c>
      <c r="I249" s="385" t="s">
        <v>1644</v>
      </c>
      <c r="J249" s="385">
        <v>1</v>
      </c>
      <c r="K249" s="385" t="s">
        <v>234</v>
      </c>
    </row>
    <row r="250" spans="1:11" ht="15.75" hidden="1">
      <c r="A250" s="384" t="s">
        <v>2181</v>
      </c>
      <c r="B250" s="385" t="s">
        <v>2182</v>
      </c>
      <c r="C250" s="385" t="s">
        <v>2232</v>
      </c>
      <c r="D250" s="385" t="s">
        <v>2072</v>
      </c>
      <c r="E250" s="386">
        <v>15000000</v>
      </c>
      <c r="F250" s="387" t="s">
        <v>2213</v>
      </c>
      <c r="G250" s="387"/>
      <c r="H250" s="385" t="s">
        <v>1644</v>
      </c>
      <c r="I250" s="385" t="s">
        <v>1644</v>
      </c>
      <c r="J250" s="385">
        <v>1</v>
      </c>
      <c r="K250" s="385" t="s">
        <v>100</v>
      </c>
    </row>
    <row r="251" spans="1:11" ht="15.75" hidden="1">
      <c r="A251" s="384" t="s">
        <v>2181</v>
      </c>
      <c r="B251" s="385" t="s">
        <v>2182</v>
      </c>
      <c r="C251" s="385" t="s">
        <v>2233</v>
      </c>
      <c r="D251" s="385" t="s">
        <v>2072</v>
      </c>
      <c r="E251" s="386">
        <v>10000000</v>
      </c>
      <c r="F251" s="387" t="s">
        <v>2213</v>
      </c>
      <c r="G251" s="387"/>
      <c r="H251" s="385" t="s">
        <v>1644</v>
      </c>
      <c r="I251" s="385" t="s">
        <v>1644</v>
      </c>
      <c r="J251" s="385">
        <v>1</v>
      </c>
      <c r="K251" s="385" t="s">
        <v>100</v>
      </c>
    </row>
    <row r="252" spans="1:11" ht="15.75" hidden="1">
      <c r="A252" s="384" t="s">
        <v>2181</v>
      </c>
      <c r="B252" s="385" t="s">
        <v>2182</v>
      </c>
      <c r="C252" s="385" t="s">
        <v>2234</v>
      </c>
      <c r="D252" s="385" t="s">
        <v>2072</v>
      </c>
      <c r="E252" s="386">
        <v>8000000</v>
      </c>
      <c r="F252" s="387" t="s">
        <v>2235</v>
      </c>
      <c r="G252" s="387"/>
      <c r="H252" s="385" t="s">
        <v>1644</v>
      </c>
      <c r="I252" s="385" t="s">
        <v>1644</v>
      </c>
      <c r="J252" s="385">
        <v>1</v>
      </c>
      <c r="K252" s="385" t="s">
        <v>100</v>
      </c>
    </row>
    <row r="253" spans="1:11" ht="15.75" hidden="1">
      <c r="A253" s="384" t="s">
        <v>1981</v>
      </c>
      <c r="B253" s="385" t="s">
        <v>2182</v>
      </c>
      <c r="C253" s="385" t="s">
        <v>2236</v>
      </c>
      <c r="D253" s="385" t="s">
        <v>2237</v>
      </c>
      <c r="E253" s="386">
        <v>1030000</v>
      </c>
      <c r="F253" s="387" t="s">
        <v>2213</v>
      </c>
      <c r="G253" s="387"/>
      <c r="H253" s="385" t="s">
        <v>1644</v>
      </c>
      <c r="I253" s="385" t="s">
        <v>1644</v>
      </c>
      <c r="J253" s="385">
        <v>1</v>
      </c>
      <c r="K253" s="385" t="s">
        <v>100</v>
      </c>
    </row>
    <row r="254" spans="1:11" ht="15.75" hidden="1">
      <c r="A254" s="384" t="s">
        <v>2238</v>
      </c>
      <c r="B254" s="385" t="s">
        <v>2182</v>
      </c>
      <c r="C254" s="385" t="s">
        <v>2239</v>
      </c>
      <c r="D254" s="385" t="s">
        <v>2240</v>
      </c>
      <c r="E254" s="386">
        <v>980000</v>
      </c>
      <c r="F254" s="387" t="s">
        <v>2213</v>
      </c>
      <c r="G254" s="387"/>
      <c r="H254" s="385" t="s">
        <v>2161</v>
      </c>
      <c r="I254" s="385" t="s">
        <v>1644</v>
      </c>
      <c r="J254" s="385">
        <v>1</v>
      </c>
      <c r="K254" s="385" t="s">
        <v>100</v>
      </c>
    </row>
    <row r="255" spans="1:11" ht="15.75" hidden="1">
      <c r="A255" s="384" t="s">
        <v>1981</v>
      </c>
      <c r="B255" s="385" t="s">
        <v>2060</v>
      </c>
      <c r="C255" s="385" t="s">
        <v>2241</v>
      </c>
      <c r="D255" s="385" t="s">
        <v>2242</v>
      </c>
      <c r="E255" s="386">
        <v>2600000</v>
      </c>
      <c r="F255" s="387" t="s">
        <v>2213</v>
      </c>
      <c r="G255" s="387"/>
      <c r="H255" s="385" t="s">
        <v>2161</v>
      </c>
      <c r="I255" s="385" t="s">
        <v>1644</v>
      </c>
      <c r="J255" s="385">
        <v>1</v>
      </c>
      <c r="K255" s="385" t="s">
        <v>100</v>
      </c>
    </row>
    <row r="256" spans="1:11" ht="15.75" hidden="1">
      <c r="A256" s="384" t="s">
        <v>1981</v>
      </c>
      <c r="B256" s="385" t="s">
        <v>1966</v>
      </c>
      <c r="C256" s="385" t="s">
        <v>2243</v>
      </c>
      <c r="D256" s="385" t="s">
        <v>2242</v>
      </c>
      <c r="E256" s="386">
        <v>1600000</v>
      </c>
      <c r="F256" s="387" t="s">
        <v>2213</v>
      </c>
      <c r="G256" s="387"/>
      <c r="H256" s="385" t="s">
        <v>2161</v>
      </c>
      <c r="I256" s="385" t="s">
        <v>1644</v>
      </c>
      <c r="J256" s="385">
        <v>1</v>
      </c>
      <c r="K256" s="385" t="s">
        <v>100</v>
      </c>
    </row>
    <row r="257" spans="1:11" ht="15.75" hidden="1">
      <c r="A257" s="384" t="s">
        <v>2188</v>
      </c>
      <c r="B257" s="385" t="s">
        <v>2182</v>
      </c>
      <c r="C257" s="385" t="s">
        <v>2244</v>
      </c>
      <c r="D257" s="385" t="s">
        <v>2032</v>
      </c>
      <c r="E257" s="386">
        <v>650000</v>
      </c>
      <c r="F257" s="387" t="s">
        <v>100</v>
      </c>
      <c r="G257" s="387"/>
      <c r="H257" s="385" t="s">
        <v>2161</v>
      </c>
      <c r="I257" s="385" t="s">
        <v>1644</v>
      </c>
      <c r="J257" s="385">
        <v>1</v>
      </c>
      <c r="K257" s="385" t="s">
        <v>100</v>
      </c>
    </row>
    <row r="258" spans="1:11" ht="15.75" hidden="1">
      <c r="A258" s="384" t="s">
        <v>2185</v>
      </c>
      <c r="B258" s="385" t="s">
        <v>2182</v>
      </c>
      <c r="C258" s="399" t="s">
        <v>2245</v>
      </c>
      <c r="D258" s="385" t="s">
        <v>76</v>
      </c>
      <c r="E258" s="386">
        <v>1300000</v>
      </c>
      <c r="F258" s="387" t="s">
        <v>2235</v>
      </c>
      <c r="G258" s="387"/>
      <c r="H258" s="385" t="s">
        <v>2161</v>
      </c>
      <c r="I258" s="385" t="s">
        <v>1644</v>
      </c>
      <c r="J258" s="385">
        <v>1</v>
      </c>
      <c r="K258" s="385" t="s">
        <v>234</v>
      </c>
    </row>
    <row r="259" spans="1:11" ht="15.75" hidden="1">
      <c r="A259" s="380"/>
      <c r="B259" s="381"/>
      <c r="C259" s="400"/>
      <c r="D259" s="381"/>
      <c r="E259" s="382"/>
      <c r="F259" s="383"/>
      <c r="G259" s="383"/>
      <c r="H259" s="381"/>
      <c r="I259" s="381"/>
      <c r="J259" s="381"/>
      <c r="K259" s="381"/>
    </row>
    <row r="260" spans="1:11" ht="15.75" hidden="1">
      <c r="A260" s="401">
        <v>44532</v>
      </c>
      <c r="B260" s="402" t="s">
        <v>1966</v>
      </c>
      <c r="C260" s="402" t="s">
        <v>2218</v>
      </c>
      <c r="D260" s="402" t="s">
        <v>74</v>
      </c>
      <c r="E260" s="403">
        <v>480000000</v>
      </c>
      <c r="F260" s="404" t="s">
        <v>1968</v>
      </c>
      <c r="G260" s="404"/>
      <c r="H260" s="402" t="s">
        <v>1644</v>
      </c>
      <c r="I260" s="402" t="s">
        <v>1644</v>
      </c>
      <c r="J260" s="402"/>
      <c r="K260" s="402" t="s">
        <v>2246</v>
      </c>
    </row>
    <row r="261" spans="1:11" ht="15.75" hidden="1">
      <c r="A261" s="401">
        <v>44532</v>
      </c>
      <c r="B261" s="402" t="s">
        <v>2182</v>
      </c>
      <c r="C261" s="402" t="s">
        <v>2247</v>
      </c>
      <c r="D261" s="402" t="s">
        <v>2072</v>
      </c>
      <c r="E261" s="403">
        <v>290000000</v>
      </c>
      <c r="F261" s="404" t="s">
        <v>2213</v>
      </c>
      <c r="G261" s="404"/>
      <c r="H261" s="402" t="s">
        <v>1644</v>
      </c>
      <c r="I261" s="402" t="s">
        <v>1644</v>
      </c>
      <c r="J261" s="402"/>
      <c r="K261" s="402" t="s">
        <v>2246</v>
      </c>
    </row>
    <row r="262" spans="1:11" ht="15.75" hidden="1">
      <c r="A262" s="401">
        <v>44532</v>
      </c>
      <c r="B262" s="402" t="s">
        <v>2182</v>
      </c>
      <c r="C262" s="402" t="s">
        <v>2248</v>
      </c>
      <c r="D262" s="402" t="s">
        <v>2072</v>
      </c>
      <c r="E262" s="403">
        <v>240000000</v>
      </c>
      <c r="F262" s="404" t="s">
        <v>2213</v>
      </c>
      <c r="G262" s="404"/>
      <c r="H262" s="402" t="s">
        <v>2161</v>
      </c>
      <c r="I262" s="402" t="s">
        <v>1644</v>
      </c>
      <c r="J262" s="402"/>
      <c r="K262" s="402" t="s">
        <v>2246</v>
      </c>
    </row>
    <row r="263" spans="1:11" ht="15.75" hidden="1">
      <c r="A263" s="380"/>
      <c r="B263" s="381"/>
      <c r="C263" s="381"/>
      <c r="D263" s="381"/>
      <c r="E263" s="382"/>
      <c r="F263" s="383"/>
      <c r="G263" s="383"/>
      <c r="H263" s="381"/>
      <c r="I263" s="381"/>
      <c r="J263" s="381"/>
      <c r="K263" s="381"/>
    </row>
    <row r="264" spans="1:11" ht="15.75" hidden="1">
      <c r="A264" s="405"/>
      <c r="B264" s="406"/>
      <c r="C264" s="406"/>
      <c r="D264" s="406"/>
      <c r="E264" s="407"/>
      <c r="F264" s="408"/>
      <c r="G264" s="408"/>
      <c r="H264" s="406"/>
      <c r="I264" s="406"/>
      <c r="J264" s="406">
        <f>SUM(J239:J259)</f>
        <v>20</v>
      </c>
      <c r="K264" s="406"/>
    </row>
    <row r="265" spans="1:11" ht="15.75" hidden="1">
      <c r="A265" s="394"/>
      <c r="B265" s="395"/>
      <c r="C265" s="395"/>
      <c r="D265" s="395"/>
      <c r="E265" s="396"/>
      <c r="F265" s="397"/>
      <c r="G265" s="397"/>
      <c r="H265" s="395"/>
      <c r="I265" s="395"/>
      <c r="J265" s="395"/>
      <c r="K265" s="395"/>
    </row>
    <row r="266" spans="1:11" ht="15.75" hidden="1">
      <c r="A266" s="1678" t="s">
        <v>2249</v>
      </c>
      <c r="B266" s="1678"/>
      <c r="C266" s="1678"/>
      <c r="D266" s="1678"/>
      <c r="E266" s="1678"/>
      <c r="F266" s="1678"/>
      <c r="G266" s="1678"/>
      <c r="H266" s="1678"/>
      <c r="I266" s="1678"/>
      <c r="J266" s="1678"/>
      <c r="K266" s="1678"/>
    </row>
    <row r="267" spans="1:11" ht="31.5" hidden="1">
      <c r="A267" s="375" t="s">
        <v>1941</v>
      </c>
      <c r="B267" s="376" t="s">
        <v>1942</v>
      </c>
      <c r="C267" s="376" t="s">
        <v>1943</v>
      </c>
      <c r="D267" s="376" t="s">
        <v>1944</v>
      </c>
      <c r="E267" s="377" t="s">
        <v>1945</v>
      </c>
      <c r="F267" s="378" t="s">
        <v>1946</v>
      </c>
      <c r="G267" s="378"/>
      <c r="H267" s="376" t="s">
        <v>1947</v>
      </c>
      <c r="I267" s="376" t="s">
        <v>1948</v>
      </c>
      <c r="J267" s="379" t="s">
        <v>1949</v>
      </c>
      <c r="K267" s="376" t="s">
        <v>1950</v>
      </c>
    </row>
    <row r="268" spans="1:11" ht="15.75" hidden="1">
      <c r="A268" s="380" t="s">
        <v>2139</v>
      </c>
      <c r="B268" s="381" t="s">
        <v>1952</v>
      </c>
      <c r="C268" s="381" t="s">
        <v>2250</v>
      </c>
      <c r="D268" s="381" t="s">
        <v>74</v>
      </c>
      <c r="E268" s="382">
        <v>1200000</v>
      </c>
      <c r="F268" s="383" t="s">
        <v>2251</v>
      </c>
      <c r="G268" s="383"/>
      <c r="H268" s="381" t="s">
        <v>1644</v>
      </c>
      <c r="I268" s="381" t="s">
        <v>1644</v>
      </c>
      <c r="J268" s="381">
        <v>1</v>
      </c>
      <c r="K268" s="381" t="s">
        <v>18</v>
      </c>
    </row>
    <row r="269" spans="1:11" ht="15.75" hidden="1">
      <c r="A269" s="393" t="s">
        <v>2188</v>
      </c>
      <c r="B269" s="381" t="s">
        <v>2182</v>
      </c>
      <c r="C269" s="381" t="s">
        <v>2252</v>
      </c>
      <c r="D269" s="381" t="s">
        <v>2253</v>
      </c>
      <c r="E269" s="382">
        <v>500000</v>
      </c>
      <c r="F269" s="383" t="s">
        <v>2213</v>
      </c>
      <c r="G269" s="383"/>
      <c r="H269" s="381" t="s">
        <v>1644</v>
      </c>
      <c r="I269" s="381" t="s">
        <v>1644</v>
      </c>
      <c r="J269" s="381">
        <v>1</v>
      </c>
      <c r="K269" s="381" t="s">
        <v>100</v>
      </c>
    </row>
    <row r="270" spans="1:11" ht="15.75" hidden="1">
      <c r="A270" s="393">
        <v>44288</v>
      </c>
      <c r="B270" s="381" t="s">
        <v>1952</v>
      </c>
      <c r="C270" s="381" t="s">
        <v>2254</v>
      </c>
      <c r="D270" s="381" t="s">
        <v>74</v>
      </c>
      <c r="E270" s="382">
        <v>1250000</v>
      </c>
      <c r="F270" s="383" t="s">
        <v>2255</v>
      </c>
      <c r="G270" s="383"/>
      <c r="H270" s="381" t="s">
        <v>1644</v>
      </c>
      <c r="I270" s="381" t="s">
        <v>1644</v>
      </c>
      <c r="J270" s="381">
        <v>1</v>
      </c>
      <c r="K270" s="381" t="s">
        <v>91</v>
      </c>
    </row>
    <row r="271" spans="1:11" ht="15.75" hidden="1">
      <c r="A271" s="393">
        <v>44532</v>
      </c>
      <c r="B271" s="381" t="s">
        <v>1952</v>
      </c>
      <c r="C271" s="381" t="s">
        <v>2256</v>
      </c>
      <c r="D271" s="381" t="s">
        <v>74</v>
      </c>
      <c r="E271" s="382">
        <v>1450000</v>
      </c>
      <c r="F271" s="383" t="s">
        <v>2100</v>
      </c>
      <c r="G271" s="383"/>
      <c r="H271" s="381" t="s">
        <v>1644</v>
      </c>
      <c r="I271" s="381" t="s">
        <v>1644</v>
      </c>
      <c r="J271" s="381">
        <v>1</v>
      </c>
      <c r="K271" s="381" t="s">
        <v>91</v>
      </c>
    </row>
    <row r="272" spans="1:11" ht="15.75" hidden="1">
      <c r="A272" s="393" t="s">
        <v>2219</v>
      </c>
      <c r="B272" s="381" t="s">
        <v>1952</v>
      </c>
      <c r="C272" s="381" t="s">
        <v>2257</v>
      </c>
      <c r="D272" s="381" t="s">
        <v>74</v>
      </c>
      <c r="E272" s="382">
        <v>1300000</v>
      </c>
      <c r="F272" s="383" t="s">
        <v>2258</v>
      </c>
      <c r="G272" s="383"/>
      <c r="H272" s="381" t="s">
        <v>2161</v>
      </c>
      <c r="I272" s="381" t="s">
        <v>1644</v>
      </c>
      <c r="J272" s="381">
        <v>1</v>
      </c>
      <c r="K272" s="381" t="s">
        <v>100</v>
      </c>
    </row>
    <row r="273" spans="1:11" ht="15.75" hidden="1">
      <c r="A273" s="384" t="s">
        <v>2238</v>
      </c>
      <c r="B273" s="385" t="s">
        <v>2182</v>
      </c>
      <c r="C273" s="385" t="s">
        <v>2259</v>
      </c>
      <c r="D273" s="385" t="s">
        <v>2072</v>
      </c>
      <c r="E273" s="386">
        <v>1300000</v>
      </c>
      <c r="F273" s="387" t="s">
        <v>2260</v>
      </c>
      <c r="G273" s="387"/>
      <c r="H273" s="385" t="s">
        <v>1644</v>
      </c>
      <c r="I273" s="385" t="s">
        <v>1644</v>
      </c>
      <c r="J273" s="385">
        <v>1</v>
      </c>
      <c r="K273" s="385" t="s">
        <v>100</v>
      </c>
    </row>
    <row r="274" spans="1:11" ht="15.75" hidden="1">
      <c r="A274" s="384" t="s">
        <v>2261</v>
      </c>
      <c r="B274" s="385" t="s">
        <v>2182</v>
      </c>
      <c r="C274" s="385" t="s">
        <v>304</v>
      </c>
      <c r="D274" s="385" t="s">
        <v>2072</v>
      </c>
      <c r="E274" s="386">
        <v>1250000</v>
      </c>
      <c r="F274" s="387" t="s">
        <v>2251</v>
      </c>
      <c r="G274" s="387"/>
      <c r="H274" s="385" t="s">
        <v>1644</v>
      </c>
      <c r="I274" s="385" t="s">
        <v>1644</v>
      </c>
      <c r="J274" s="385">
        <v>1</v>
      </c>
      <c r="K274" s="385" t="s">
        <v>100</v>
      </c>
    </row>
    <row r="275" spans="1:11" ht="15.75" hidden="1">
      <c r="A275" s="384" t="s">
        <v>2165</v>
      </c>
      <c r="B275" s="385" t="s">
        <v>2182</v>
      </c>
      <c r="C275" s="385" t="s">
        <v>2262</v>
      </c>
      <c r="D275" s="385" t="s">
        <v>2072</v>
      </c>
      <c r="E275" s="386">
        <v>3500000</v>
      </c>
      <c r="F275" s="387" t="s">
        <v>49</v>
      </c>
      <c r="G275" s="387"/>
      <c r="H275" s="385" t="s">
        <v>2161</v>
      </c>
      <c r="I275" s="385" t="s">
        <v>1644</v>
      </c>
      <c r="J275" s="385">
        <v>1</v>
      </c>
      <c r="K275" s="385" t="s">
        <v>100</v>
      </c>
    </row>
    <row r="276" spans="1:11" ht="15.75" hidden="1">
      <c r="A276" s="384" t="s">
        <v>2165</v>
      </c>
      <c r="B276" s="385" t="s">
        <v>2182</v>
      </c>
      <c r="C276" s="385" t="s">
        <v>2263</v>
      </c>
      <c r="D276" s="385" t="s">
        <v>2072</v>
      </c>
      <c r="E276" s="386">
        <v>1200000</v>
      </c>
      <c r="F276" s="387" t="s">
        <v>2213</v>
      </c>
      <c r="G276" s="387"/>
      <c r="H276" s="385" t="s">
        <v>1644</v>
      </c>
      <c r="I276" s="385" t="s">
        <v>1644</v>
      </c>
      <c r="J276" s="385">
        <v>1</v>
      </c>
      <c r="K276" s="385" t="s">
        <v>100</v>
      </c>
    </row>
    <row r="277" spans="1:11" ht="15.75" hidden="1">
      <c r="A277" s="384" t="s">
        <v>2188</v>
      </c>
      <c r="B277" s="385" t="s">
        <v>2182</v>
      </c>
      <c r="C277" s="385" t="s">
        <v>2264</v>
      </c>
      <c r="D277" s="385" t="s">
        <v>2072</v>
      </c>
      <c r="E277" s="386">
        <v>1300000</v>
      </c>
      <c r="F277" s="387" t="s">
        <v>2265</v>
      </c>
      <c r="G277" s="387"/>
      <c r="H277" s="385" t="s">
        <v>1644</v>
      </c>
      <c r="I277" s="385" t="s">
        <v>1644</v>
      </c>
      <c r="J277" s="385">
        <v>1</v>
      </c>
      <c r="K277" s="385" t="s">
        <v>100</v>
      </c>
    </row>
    <row r="278" spans="1:11" ht="15.75" hidden="1">
      <c r="A278" s="384" t="s">
        <v>2188</v>
      </c>
      <c r="B278" s="385" t="s">
        <v>2182</v>
      </c>
      <c r="C278" s="385" t="s">
        <v>2266</v>
      </c>
      <c r="D278" s="385" t="s">
        <v>2072</v>
      </c>
      <c r="E278" s="386">
        <v>950000</v>
      </c>
      <c r="F278" s="387" t="s">
        <v>2267</v>
      </c>
      <c r="G278" s="387"/>
      <c r="H278" s="385" t="s">
        <v>1644</v>
      </c>
      <c r="I278" s="385" t="s">
        <v>1644</v>
      </c>
      <c r="J278" s="385">
        <v>1</v>
      </c>
      <c r="K278" s="385" t="s">
        <v>100</v>
      </c>
    </row>
    <row r="279" spans="1:11" ht="15.75" hidden="1">
      <c r="A279" s="384">
        <v>44288</v>
      </c>
      <c r="B279" s="385" t="s">
        <v>1952</v>
      </c>
      <c r="C279" s="385" t="s">
        <v>2268</v>
      </c>
      <c r="D279" s="385" t="s">
        <v>1957</v>
      </c>
      <c r="E279" s="386">
        <v>1100000</v>
      </c>
      <c r="F279" s="387" t="s">
        <v>1968</v>
      </c>
      <c r="G279" s="387"/>
      <c r="H279" s="385" t="s">
        <v>1644</v>
      </c>
      <c r="I279" s="385" t="s">
        <v>1644</v>
      </c>
      <c r="J279" s="385">
        <v>1</v>
      </c>
      <c r="K279" s="385" t="s">
        <v>91</v>
      </c>
    </row>
    <row r="280" spans="1:11" ht="15.75" hidden="1">
      <c r="A280" s="384">
        <v>44471</v>
      </c>
      <c r="B280" s="385" t="s">
        <v>1952</v>
      </c>
      <c r="C280" s="385" t="s">
        <v>2269</v>
      </c>
      <c r="D280" s="385" t="s">
        <v>1957</v>
      </c>
      <c r="E280" s="386">
        <v>1000000</v>
      </c>
      <c r="F280" s="387" t="s">
        <v>1968</v>
      </c>
      <c r="G280" s="387"/>
      <c r="H280" s="385" t="s">
        <v>1955</v>
      </c>
      <c r="I280" s="385" t="s">
        <v>1644</v>
      </c>
      <c r="J280" s="385">
        <v>1</v>
      </c>
      <c r="K280" s="385" t="s">
        <v>91</v>
      </c>
    </row>
    <row r="281" spans="1:11" ht="15.75" hidden="1">
      <c r="A281" s="384">
        <v>44471</v>
      </c>
      <c r="B281" s="385" t="s">
        <v>1952</v>
      </c>
      <c r="C281" s="385" t="s">
        <v>2270</v>
      </c>
      <c r="D281" s="385" t="s">
        <v>1957</v>
      </c>
      <c r="E281" s="386">
        <v>1200000</v>
      </c>
      <c r="F281" s="387" t="s">
        <v>1968</v>
      </c>
      <c r="G281" s="387"/>
      <c r="H281" s="385" t="s">
        <v>1644</v>
      </c>
      <c r="I281" s="385" t="s">
        <v>1644</v>
      </c>
      <c r="J281" s="385">
        <v>1</v>
      </c>
      <c r="K281" s="385" t="s">
        <v>100</v>
      </c>
    </row>
    <row r="282" spans="1:11" ht="15.75" hidden="1">
      <c r="A282" s="384" t="s">
        <v>2181</v>
      </c>
      <c r="B282" s="385" t="s">
        <v>2182</v>
      </c>
      <c r="C282" s="385" t="s">
        <v>211</v>
      </c>
      <c r="D282" s="385" t="s">
        <v>2271</v>
      </c>
      <c r="E282" s="386">
        <v>1200000</v>
      </c>
      <c r="F282" s="387" t="s">
        <v>2213</v>
      </c>
      <c r="G282" s="387"/>
      <c r="H282" s="385" t="s">
        <v>1644</v>
      </c>
      <c r="I282" s="385" t="s">
        <v>1644</v>
      </c>
      <c r="J282" s="385">
        <v>1</v>
      </c>
      <c r="K282" s="385" t="s">
        <v>128</v>
      </c>
    </row>
    <row r="283" spans="1:11" ht="15.75" hidden="1">
      <c r="A283" s="384">
        <v>44288</v>
      </c>
      <c r="B283" s="385" t="s">
        <v>1952</v>
      </c>
      <c r="C283" s="385" t="s">
        <v>2272</v>
      </c>
      <c r="D283" s="385" t="s">
        <v>2062</v>
      </c>
      <c r="E283" s="386">
        <v>1000000</v>
      </c>
      <c r="F283" s="387" t="s">
        <v>1968</v>
      </c>
      <c r="G283" s="387"/>
      <c r="H283" s="385" t="s">
        <v>1955</v>
      </c>
      <c r="I283" s="385" t="s">
        <v>1644</v>
      </c>
      <c r="J283" s="385">
        <v>1</v>
      </c>
      <c r="K283" s="385" t="s">
        <v>44</v>
      </c>
    </row>
    <row r="284" spans="1:11" ht="15.75" hidden="1">
      <c r="A284" s="384" t="s">
        <v>2219</v>
      </c>
      <c r="B284" s="385" t="s">
        <v>2182</v>
      </c>
      <c r="C284" s="385" t="s">
        <v>2273</v>
      </c>
      <c r="D284" s="385" t="s">
        <v>1489</v>
      </c>
      <c r="E284" s="386">
        <v>2000000</v>
      </c>
      <c r="F284" s="387" t="s">
        <v>2213</v>
      </c>
      <c r="G284" s="387"/>
      <c r="H284" s="385" t="s">
        <v>1644</v>
      </c>
      <c r="I284" s="385" t="s">
        <v>1644</v>
      </c>
      <c r="J284" s="385">
        <v>1</v>
      </c>
      <c r="K284" s="385" t="s">
        <v>100</v>
      </c>
    </row>
    <row r="285" spans="1:11" ht="15.75" hidden="1">
      <c r="A285" s="384">
        <v>44441</v>
      </c>
      <c r="B285" s="385" t="s">
        <v>1952</v>
      </c>
      <c r="C285" s="385" t="s">
        <v>2274</v>
      </c>
      <c r="D285" s="385" t="s">
        <v>2032</v>
      </c>
      <c r="E285" s="386">
        <v>770000</v>
      </c>
      <c r="F285" s="387" t="s">
        <v>1968</v>
      </c>
      <c r="G285" s="387"/>
      <c r="H285" s="385" t="s">
        <v>1955</v>
      </c>
      <c r="I285" s="385" t="s">
        <v>1644</v>
      </c>
      <c r="J285" s="385">
        <v>1</v>
      </c>
      <c r="K285" s="385" t="s">
        <v>44</v>
      </c>
    </row>
    <row r="286" spans="1:11" ht="15.75" hidden="1">
      <c r="A286" s="384" t="s">
        <v>2188</v>
      </c>
      <c r="B286" s="385" t="s">
        <v>2182</v>
      </c>
      <c r="C286" s="385" t="s">
        <v>2275</v>
      </c>
      <c r="D286" s="385" t="s">
        <v>2032</v>
      </c>
      <c r="E286" s="386">
        <v>400000</v>
      </c>
      <c r="F286" s="387" t="s">
        <v>2213</v>
      </c>
      <c r="G286" s="387"/>
      <c r="H286" s="385" t="s">
        <v>1644</v>
      </c>
      <c r="I286" s="385" t="s">
        <v>1644</v>
      </c>
      <c r="J286" s="385">
        <v>1</v>
      </c>
      <c r="K286" s="385" t="s">
        <v>100</v>
      </c>
    </row>
    <row r="287" spans="1:11" ht="15.75" hidden="1">
      <c r="A287" s="384" t="s">
        <v>2181</v>
      </c>
      <c r="B287" s="385" t="s">
        <v>2182</v>
      </c>
      <c r="C287" s="385" t="s">
        <v>2276</v>
      </c>
      <c r="D287" s="385" t="s">
        <v>2032</v>
      </c>
      <c r="E287" s="386">
        <v>650000</v>
      </c>
      <c r="F287" s="387" t="s">
        <v>2213</v>
      </c>
      <c r="G287" s="387"/>
      <c r="H287" s="385" t="s">
        <v>1644</v>
      </c>
      <c r="I287" s="385" t="s">
        <v>1644</v>
      </c>
      <c r="J287" s="385">
        <v>1</v>
      </c>
      <c r="K287" s="385" t="s">
        <v>128</v>
      </c>
    </row>
    <row r="288" spans="1:11" ht="15.75" hidden="1">
      <c r="A288" s="384" t="s">
        <v>2165</v>
      </c>
      <c r="B288" s="385" t="s">
        <v>2182</v>
      </c>
      <c r="C288" s="385" t="s">
        <v>2277</v>
      </c>
      <c r="D288" s="385" t="s">
        <v>75</v>
      </c>
      <c r="E288" s="386">
        <v>1350000</v>
      </c>
      <c r="F288" s="387" t="s">
        <v>2278</v>
      </c>
      <c r="G288" s="387"/>
      <c r="H288" s="385" t="s">
        <v>1644</v>
      </c>
      <c r="I288" s="385" t="s">
        <v>1644</v>
      </c>
      <c r="J288" s="385">
        <v>1</v>
      </c>
      <c r="K288" s="385" t="s">
        <v>100</v>
      </c>
    </row>
    <row r="289" spans="1:11" ht="15.75" hidden="1">
      <c r="A289" s="384"/>
      <c r="B289" s="385"/>
      <c r="C289" s="385"/>
      <c r="D289" s="385"/>
      <c r="E289" s="386"/>
      <c r="F289" s="387"/>
      <c r="G289" s="387"/>
      <c r="H289" s="385"/>
      <c r="I289" s="385"/>
      <c r="J289" s="385"/>
      <c r="K289" s="385"/>
    </row>
    <row r="290" spans="1:11" ht="15.75" hidden="1">
      <c r="A290" s="393"/>
      <c r="B290" s="381"/>
      <c r="C290" s="381"/>
      <c r="D290" s="381"/>
      <c r="E290" s="382"/>
      <c r="F290" s="383"/>
      <c r="G290" s="383"/>
      <c r="H290" s="381"/>
      <c r="I290" s="381"/>
      <c r="J290" s="381"/>
      <c r="K290" s="381"/>
    </row>
    <row r="291" spans="1:11" ht="15.75" hidden="1">
      <c r="A291" s="398" t="s">
        <v>2136</v>
      </c>
      <c r="B291" s="389" t="s">
        <v>1952</v>
      </c>
      <c r="C291" s="389" t="s">
        <v>2266</v>
      </c>
      <c r="D291" s="389" t="s">
        <v>74</v>
      </c>
      <c r="E291" s="390">
        <v>150000000</v>
      </c>
      <c r="F291" s="391" t="s">
        <v>2255</v>
      </c>
      <c r="G291" s="391"/>
      <c r="H291" s="389" t="s">
        <v>1625</v>
      </c>
      <c r="I291" s="389" t="s">
        <v>1625</v>
      </c>
      <c r="J291" s="389"/>
      <c r="K291" s="389" t="s">
        <v>18</v>
      </c>
    </row>
    <row r="292" spans="1:11" ht="15.75" hidden="1">
      <c r="A292" s="398" t="s">
        <v>2279</v>
      </c>
      <c r="B292" s="389" t="s">
        <v>1952</v>
      </c>
      <c r="C292" s="389" t="s">
        <v>2280</v>
      </c>
      <c r="D292" s="389" t="s">
        <v>74</v>
      </c>
      <c r="E292" s="390">
        <v>190000000</v>
      </c>
      <c r="F292" s="391" t="s">
        <v>2281</v>
      </c>
      <c r="G292" s="391"/>
      <c r="H292" s="389" t="s">
        <v>1644</v>
      </c>
      <c r="I292" s="389" t="s">
        <v>1644</v>
      </c>
      <c r="J292" s="389"/>
      <c r="K292" s="389" t="s">
        <v>18</v>
      </c>
    </row>
    <row r="293" spans="1:11" ht="15.75" hidden="1">
      <c r="A293" s="388">
        <v>44471</v>
      </c>
      <c r="B293" s="389" t="s">
        <v>1952</v>
      </c>
      <c r="C293" s="389" t="s">
        <v>2282</v>
      </c>
      <c r="D293" s="389" t="s">
        <v>1957</v>
      </c>
      <c r="E293" s="390">
        <v>250000000</v>
      </c>
      <c r="F293" s="391" t="s">
        <v>2075</v>
      </c>
      <c r="G293" s="391"/>
      <c r="H293" s="389" t="s">
        <v>1955</v>
      </c>
      <c r="I293" s="389" t="s">
        <v>1644</v>
      </c>
      <c r="J293" s="389"/>
      <c r="K293" s="389" t="s">
        <v>2246</v>
      </c>
    </row>
    <row r="294" spans="1:11" ht="15.75" hidden="1">
      <c r="A294" s="388">
        <v>44471</v>
      </c>
      <c r="B294" s="389" t="s">
        <v>1952</v>
      </c>
      <c r="C294" s="389" t="s">
        <v>2269</v>
      </c>
      <c r="D294" s="389" t="s">
        <v>1957</v>
      </c>
      <c r="E294" s="390">
        <v>235000000</v>
      </c>
      <c r="F294" s="391" t="s">
        <v>1968</v>
      </c>
      <c r="G294" s="391"/>
      <c r="H294" s="389" t="s">
        <v>1955</v>
      </c>
      <c r="I294" s="389" t="s">
        <v>1644</v>
      </c>
      <c r="J294" s="389"/>
      <c r="K294" s="389" t="s">
        <v>2246</v>
      </c>
    </row>
    <row r="295" spans="1:11" ht="15.75" hidden="1">
      <c r="A295" s="388">
        <v>43923</v>
      </c>
      <c r="B295" s="409" t="s">
        <v>2182</v>
      </c>
      <c r="C295" s="409" t="s">
        <v>2268</v>
      </c>
      <c r="D295" s="409" t="s">
        <v>1957</v>
      </c>
      <c r="E295" s="390">
        <v>235000000</v>
      </c>
      <c r="F295" s="410" t="s">
        <v>2213</v>
      </c>
      <c r="G295" s="410"/>
      <c r="H295" s="409" t="s">
        <v>2161</v>
      </c>
      <c r="I295" s="409" t="s">
        <v>1644</v>
      </c>
      <c r="J295" s="409"/>
      <c r="K295" s="409" t="s">
        <v>2246</v>
      </c>
    </row>
    <row r="296" spans="1:11" ht="15.75" hidden="1">
      <c r="A296" s="388" t="s">
        <v>2219</v>
      </c>
      <c r="B296" s="409" t="s">
        <v>2182</v>
      </c>
      <c r="C296" s="409" t="s">
        <v>2257</v>
      </c>
      <c r="D296" s="409" t="s">
        <v>74</v>
      </c>
      <c r="E296" s="390">
        <v>285000000</v>
      </c>
      <c r="F296" s="410" t="s">
        <v>2251</v>
      </c>
      <c r="G296" s="410"/>
      <c r="H296" s="409" t="s">
        <v>2161</v>
      </c>
      <c r="I296" s="409" t="s">
        <v>1644</v>
      </c>
      <c r="J296" s="409"/>
      <c r="K296" s="409" t="s">
        <v>2246</v>
      </c>
    </row>
    <row r="297" spans="1:11" ht="15.75" hidden="1">
      <c r="A297" s="393"/>
      <c r="B297" s="381"/>
      <c r="C297" s="381"/>
      <c r="D297" s="381"/>
      <c r="E297" s="382"/>
      <c r="F297" s="383"/>
      <c r="G297" s="383"/>
      <c r="H297" s="381"/>
      <c r="I297" s="381"/>
      <c r="J297" s="381">
        <f>SUM(J268:J296)</f>
        <v>21</v>
      </c>
      <c r="K297" s="381"/>
    </row>
    <row r="298" spans="1:11" ht="15.75" hidden="1">
      <c r="A298" s="394"/>
      <c r="B298" s="395"/>
      <c r="C298" s="395"/>
      <c r="D298" s="395"/>
      <c r="E298" s="396"/>
      <c r="F298" s="397"/>
      <c r="G298" s="397"/>
      <c r="H298" s="395"/>
      <c r="I298" s="395"/>
      <c r="J298" s="395"/>
      <c r="K298" s="395"/>
    </row>
    <row r="299" spans="1:11" ht="15.75" hidden="1">
      <c r="A299" s="1678" t="s">
        <v>2283</v>
      </c>
      <c r="B299" s="1678"/>
      <c r="C299" s="1678"/>
      <c r="D299" s="1678"/>
      <c r="E299" s="1678"/>
      <c r="F299" s="1678"/>
      <c r="G299" s="1678"/>
      <c r="H299" s="1678"/>
      <c r="I299" s="1678"/>
      <c r="J299" s="1678"/>
      <c r="K299" s="1678"/>
    </row>
    <row r="300" spans="1:11" ht="31.5" hidden="1">
      <c r="A300" s="375" t="s">
        <v>1941</v>
      </c>
      <c r="B300" s="376" t="s">
        <v>1942</v>
      </c>
      <c r="C300" s="376" t="s">
        <v>1943</v>
      </c>
      <c r="D300" s="376" t="s">
        <v>1944</v>
      </c>
      <c r="E300" s="377" t="s">
        <v>1945</v>
      </c>
      <c r="F300" s="378" t="s">
        <v>1946</v>
      </c>
      <c r="G300" s="378"/>
      <c r="H300" s="376" t="s">
        <v>1947</v>
      </c>
      <c r="I300" s="376" t="s">
        <v>1948</v>
      </c>
      <c r="J300" s="379" t="s">
        <v>1949</v>
      </c>
      <c r="K300" s="376" t="s">
        <v>1950</v>
      </c>
    </row>
    <row r="301" spans="1:11" ht="15.75" hidden="1">
      <c r="A301" s="380"/>
      <c r="B301" s="381"/>
      <c r="C301" s="381"/>
      <c r="D301" s="381"/>
      <c r="E301" s="382"/>
      <c r="F301" s="383"/>
      <c r="G301" s="383"/>
      <c r="H301" s="381"/>
      <c r="I301" s="381"/>
      <c r="J301" s="381"/>
      <c r="K301" s="381"/>
    </row>
    <row r="302" spans="1:11" ht="15.75" hidden="1">
      <c r="A302" s="380"/>
      <c r="B302" s="381"/>
      <c r="C302" s="381"/>
      <c r="D302" s="381"/>
      <c r="E302" s="382"/>
      <c r="F302" s="383"/>
      <c r="G302" s="383"/>
      <c r="H302" s="381"/>
      <c r="I302" s="381"/>
      <c r="J302" s="381"/>
      <c r="K302" s="381"/>
    </row>
    <row r="303" spans="1:11" ht="15.75" hidden="1">
      <c r="A303" s="392"/>
      <c r="B303" s="385"/>
      <c r="C303" s="385"/>
      <c r="D303" s="385"/>
      <c r="E303" s="386"/>
      <c r="F303" s="387"/>
      <c r="G303" s="387"/>
      <c r="H303" s="385"/>
      <c r="I303" s="385"/>
      <c r="J303" s="385"/>
      <c r="K303" s="385"/>
    </row>
    <row r="304" spans="1:11" ht="15.75" hidden="1">
      <c r="A304" s="393"/>
      <c r="B304" s="381"/>
      <c r="C304" s="381"/>
      <c r="D304" s="381"/>
      <c r="E304" s="382"/>
      <c r="F304" s="383"/>
      <c r="G304" s="383"/>
      <c r="H304" s="381"/>
      <c r="I304" s="381"/>
      <c r="J304" s="381">
        <f>SUM(J301:J303)</f>
        <v>0</v>
      </c>
      <c r="K304" s="381"/>
    </row>
    <row r="305" spans="1:11" ht="15.75" hidden="1">
      <c r="A305" s="394"/>
      <c r="B305" s="395"/>
      <c r="C305" s="395"/>
      <c r="D305" s="395"/>
      <c r="E305" s="396"/>
      <c r="F305" s="397"/>
      <c r="G305" s="397"/>
      <c r="H305" s="395"/>
      <c r="I305" s="395"/>
      <c r="J305" s="395"/>
      <c r="K305" s="395"/>
    </row>
    <row r="306" spans="1:11" ht="15" customHeight="1">
      <c r="A306" s="394"/>
      <c r="B306" s="395"/>
      <c r="C306" s="395"/>
      <c r="D306" s="395"/>
      <c r="E306" s="396"/>
      <c r="F306" s="397"/>
      <c r="G306" s="397"/>
      <c r="H306" s="395"/>
      <c r="I306" s="395"/>
      <c r="J306" s="395"/>
      <c r="K306" s="395"/>
    </row>
    <row r="307" spans="1:11">
      <c r="A307" s="1665" t="s">
        <v>2284</v>
      </c>
      <c r="B307" s="1665"/>
      <c r="C307" s="1665"/>
      <c r="D307" s="1665"/>
      <c r="E307" s="1665"/>
      <c r="F307" s="1665"/>
      <c r="G307" s="1665"/>
      <c r="H307" s="1665"/>
      <c r="I307" s="1665"/>
      <c r="J307" s="1665"/>
      <c r="K307" s="1665"/>
    </row>
    <row r="308" spans="1:11">
      <c r="A308" s="1665"/>
      <c r="B308" s="1665"/>
      <c r="C308" s="1665"/>
      <c r="D308" s="1665"/>
      <c r="E308" s="1665"/>
      <c r="F308" s="1665"/>
      <c r="G308" s="1665"/>
      <c r="H308" s="1665"/>
      <c r="I308" s="1665"/>
      <c r="J308" s="1665"/>
      <c r="K308" s="1665"/>
    </row>
    <row r="309" spans="1:11" ht="15.75" hidden="1">
      <c r="A309" s="1678" t="s">
        <v>2285</v>
      </c>
      <c r="B309" s="1678"/>
      <c r="C309" s="1678"/>
      <c r="D309" s="1678"/>
      <c r="E309" s="1678"/>
      <c r="F309" s="1678"/>
      <c r="G309" s="1678"/>
      <c r="H309" s="1678"/>
      <c r="I309" s="1678"/>
      <c r="J309" s="1678"/>
      <c r="K309" s="1678"/>
    </row>
    <row r="310" spans="1:11" ht="31.5" hidden="1">
      <c r="A310" s="375" t="s">
        <v>1941</v>
      </c>
      <c r="B310" s="376" t="s">
        <v>1942</v>
      </c>
      <c r="C310" s="376" t="s">
        <v>1943</v>
      </c>
      <c r="D310" s="376" t="s">
        <v>1944</v>
      </c>
      <c r="E310" s="377" t="s">
        <v>1945</v>
      </c>
      <c r="F310" s="378" t="s">
        <v>1946</v>
      </c>
      <c r="G310" s="378"/>
      <c r="H310" s="376" t="s">
        <v>1947</v>
      </c>
      <c r="I310" s="376" t="s">
        <v>1948</v>
      </c>
      <c r="J310" s="379" t="s">
        <v>1949</v>
      </c>
      <c r="K310" s="376" t="s">
        <v>1950</v>
      </c>
    </row>
    <row r="311" spans="1:11" ht="15.75" hidden="1">
      <c r="A311" s="380" t="s">
        <v>2286</v>
      </c>
      <c r="B311" s="381" t="s">
        <v>2182</v>
      </c>
      <c r="C311" s="381" t="s">
        <v>2287</v>
      </c>
      <c r="D311" s="381" t="s">
        <v>2288</v>
      </c>
      <c r="E311" s="382">
        <v>1050000</v>
      </c>
      <c r="F311" s="383" t="s">
        <v>2235</v>
      </c>
      <c r="G311" s="383"/>
      <c r="H311" s="381" t="s">
        <v>2161</v>
      </c>
      <c r="I311" s="381" t="s">
        <v>1644</v>
      </c>
      <c r="J311" s="381">
        <v>1</v>
      </c>
      <c r="K311" s="381" t="s">
        <v>234</v>
      </c>
    </row>
    <row r="312" spans="1:11" ht="15.75" hidden="1">
      <c r="A312" s="392" t="s">
        <v>2286</v>
      </c>
      <c r="B312" s="381" t="s">
        <v>2182</v>
      </c>
      <c r="C312" s="381" t="s">
        <v>2289</v>
      </c>
      <c r="D312" s="381" t="s">
        <v>1957</v>
      </c>
      <c r="E312" s="382">
        <v>1050000</v>
      </c>
      <c r="F312" s="383" t="s">
        <v>2290</v>
      </c>
      <c r="G312" s="383"/>
      <c r="H312" s="381" t="s">
        <v>2161</v>
      </c>
      <c r="I312" s="381" t="s">
        <v>1644</v>
      </c>
      <c r="J312" s="381">
        <v>1</v>
      </c>
      <c r="K312" s="381" t="s">
        <v>234</v>
      </c>
    </row>
    <row r="313" spans="1:11" ht="15.75" hidden="1">
      <c r="A313" s="393">
        <v>44230</v>
      </c>
      <c r="B313" s="411" t="s">
        <v>2182</v>
      </c>
      <c r="C313" s="381" t="s">
        <v>2291</v>
      </c>
      <c r="D313" s="381" t="s">
        <v>1957</v>
      </c>
      <c r="E313" s="382">
        <v>1350000</v>
      </c>
      <c r="F313" s="383" t="s">
        <v>2292</v>
      </c>
      <c r="G313" s="383"/>
      <c r="H313" s="381" t="s">
        <v>1644</v>
      </c>
      <c r="I313" s="381" t="s">
        <v>1644</v>
      </c>
      <c r="J313" s="381">
        <v>1</v>
      </c>
      <c r="K313" s="381" t="s">
        <v>234</v>
      </c>
    </row>
    <row r="314" spans="1:11" ht="15.75" hidden="1">
      <c r="A314" s="412">
        <v>44199</v>
      </c>
      <c r="B314" s="411" t="s">
        <v>2182</v>
      </c>
      <c r="C314" s="381" t="s">
        <v>2293</v>
      </c>
      <c r="D314" s="381" t="s">
        <v>1957</v>
      </c>
      <c r="E314" s="382">
        <v>1200000</v>
      </c>
      <c r="F314" s="383" t="s">
        <v>2292</v>
      </c>
      <c r="G314" s="383"/>
      <c r="H314" s="381" t="s">
        <v>2161</v>
      </c>
      <c r="I314" s="381" t="s">
        <v>1644</v>
      </c>
      <c r="J314" s="381">
        <v>1</v>
      </c>
      <c r="K314" s="381" t="s">
        <v>234</v>
      </c>
    </row>
    <row r="315" spans="1:11" ht="15.75" hidden="1">
      <c r="A315" s="412">
        <v>44199</v>
      </c>
      <c r="B315" s="411" t="s">
        <v>2182</v>
      </c>
      <c r="C315" s="381" t="s">
        <v>2294</v>
      </c>
      <c r="D315" s="381" t="s">
        <v>1957</v>
      </c>
      <c r="E315" s="382">
        <v>1300000</v>
      </c>
      <c r="F315" s="383" t="s">
        <v>2292</v>
      </c>
      <c r="G315" s="383"/>
      <c r="H315" s="381" t="s">
        <v>2161</v>
      </c>
      <c r="I315" s="381" t="s">
        <v>1644</v>
      </c>
      <c r="J315" s="381">
        <v>1</v>
      </c>
      <c r="K315" s="381" t="s">
        <v>234</v>
      </c>
    </row>
    <row r="316" spans="1:11" ht="15.75" hidden="1">
      <c r="A316" s="412">
        <v>44199</v>
      </c>
      <c r="B316" s="411" t="s">
        <v>2182</v>
      </c>
      <c r="C316" s="381" t="s">
        <v>2295</v>
      </c>
      <c r="D316" s="381" t="s">
        <v>1957</v>
      </c>
      <c r="E316" s="382">
        <v>950000</v>
      </c>
      <c r="F316" s="383" t="s">
        <v>2292</v>
      </c>
      <c r="G316" s="383"/>
      <c r="H316" s="381" t="s">
        <v>2161</v>
      </c>
      <c r="I316" s="381" t="s">
        <v>1644</v>
      </c>
      <c r="J316" s="381">
        <v>1</v>
      </c>
      <c r="K316" s="381" t="s">
        <v>234</v>
      </c>
    </row>
    <row r="317" spans="1:11" ht="15.75" hidden="1">
      <c r="A317" s="412">
        <v>44411</v>
      </c>
      <c r="B317" s="411" t="s">
        <v>2182</v>
      </c>
      <c r="C317" s="381" t="s">
        <v>178</v>
      </c>
      <c r="D317" s="381" t="s">
        <v>1957</v>
      </c>
      <c r="E317" s="382">
        <v>1000000</v>
      </c>
      <c r="F317" s="383" t="s">
        <v>1970</v>
      </c>
      <c r="G317" s="504"/>
      <c r="H317" s="413" t="s">
        <v>1644</v>
      </c>
      <c r="I317" s="381" t="s">
        <v>1644</v>
      </c>
      <c r="J317" s="381">
        <v>1</v>
      </c>
      <c r="K317" s="381" t="s">
        <v>234</v>
      </c>
    </row>
    <row r="318" spans="1:11" ht="15.75" hidden="1">
      <c r="A318" s="412">
        <v>44503</v>
      </c>
      <c r="B318" s="411" t="s">
        <v>2182</v>
      </c>
      <c r="C318" s="381" t="s">
        <v>2296</v>
      </c>
      <c r="D318" s="381" t="s">
        <v>1957</v>
      </c>
      <c r="E318" s="382">
        <v>1100000</v>
      </c>
      <c r="F318" s="383" t="s">
        <v>1970</v>
      </c>
      <c r="G318" s="383"/>
      <c r="H318" s="381" t="s">
        <v>2161</v>
      </c>
      <c r="I318" s="381" t="s">
        <v>1644</v>
      </c>
      <c r="J318" s="381">
        <v>1</v>
      </c>
      <c r="K318" s="381" t="s">
        <v>234</v>
      </c>
    </row>
    <row r="319" spans="1:11" ht="15.75" hidden="1">
      <c r="A319" s="412">
        <v>44503</v>
      </c>
      <c r="B319" s="411" t="s">
        <v>2182</v>
      </c>
      <c r="C319" s="381" t="s">
        <v>2297</v>
      </c>
      <c r="D319" s="381" t="s">
        <v>75</v>
      </c>
      <c r="E319" s="382">
        <v>950000</v>
      </c>
      <c r="F319" s="383" t="s">
        <v>2298</v>
      </c>
      <c r="G319" s="383"/>
      <c r="H319" s="381" t="s">
        <v>1644</v>
      </c>
      <c r="I319" s="381" t="s">
        <v>1644</v>
      </c>
      <c r="J319" s="381">
        <v>1</v>
      </c>
      <c r="K319" s="381" t="s">
        <v>234</v>
      </c>
    </row>
    <row r="320" spans="1:11" ht="15.75" hidden="1">
      <c r="A320" s="412">
        <v>44533</v>
      </c>
      <c r="B320" s="411" t="s">
        <v>2182</v>
      </c>
      <c r="C320" s="381" t="s">
        <v>176</v>
      </c>
      <c r="D320" s="381" t="s">
        <v>1957</v>
      </c>
      <c r="E320" s="382">
        <v>1350000</v>
      </c>
      <c r="F320" s="383" t="s">
        <v>2255</v>
      </c>
      <c r="G320" s="383"/>
      <c r="H320" s="381" t="s">
        <v>1644</v>
      </c>
      <c r="I320" s="381" t="s">
        <v>1625</v>
      </c>
      <c r="J320" s="381">
        <v>1</v>
      </c>
      <c r="K320" s="381" t="s">
        <v>234</v>
      </c>
    </row>
    <row r="321" spans="1:11" ht="15.75" hidden="1">
      <c r="A321" s="412">
        <v>44533</v>
      </c>
      <c r="B321" s="411" t="s">
        <v>2182</v>
      </c>
      <c r="C321" s="381" t="s">
        <v>2299</v>
      </c>
      <c r="D321" s="381" t="s">
        <v>1957</v>
      </c>
      <c r="E321" s="382">
        <v>1350000</v>
      </c>
      <c r="F321" s="383" t="s">
        <v>2235</v>
      </c>
      <c r="G321" s="383"/>
      <c r="H321" s="381" t="s">
        <v>1644</v>
      </c>
      <c r="I321" s="381" t="s">
        <v>1644</v>
      </c>
      <c r="J321" s="381">
        <v>1</v>
      </c>
      <c r="K321" s="381" t="s">
        <v>100</v>
      </c>
    </row>
    <row r="322" spans="1:11" ht="15.75" hidden="1">
      <c r="A322" s="380" t="s">
        <v>2300</v>
      </c>
      <c r="B322" s="381" t="s">
        <v>2182</v>
      </c>
      <c r="C322" s="381" t="s">
        <v>2301</v>
      </c>
      <c r="D322" s="381" t="s">
        <v>2037</v>
      </c>
      <c r="E322" s="382">
        <v>1150000</v>
      </c>
      <c r="F322" s="383" t="s">
        <v>1968</v>
      </c>
      <c r="G322" s="383"/>
      <c r="H322" s="381" t="s">
        <v>2161</v>
      </c>
      <c r="I322" s="381" t="s">
        <v>1644</v>
      </c>
      <c r="J322" s="381">
        <v>1</v>
      </c>
      <c r="K322" s="381" t="s">
        <v>100</v>
      </c>
    </row>
    <row r="323" spans="1:11" ht="15.75" hidden="1">
      <c r="A323" s="380" t="s">
        <v>2300</v>
      </c>
      <c r="B323" s="381" t="s">
        <v>2182</v>
      </c>
      <c r="C323" s="381" t="s">
        <v>2302</v>
      </c>
      <c r="D323" s="381" t="s">
        <v>2303</v>
      </c>
      <c r="E323" s="382">
        <v>4300000</v>
      </c>
      <c r="F323" s="383" t="s">
        <v>2235</v>
      </c>
      <c r="G323" s="383"/>
      <c r="H323" s="381" t="s">
        <v>2161</v>
      </c>
      <c r="I323" s="381" t="s">
        <v>1644</v>
      </c>
      <c r="J323" s="381">
        <v>1</v>
      </c>
      <c r="K323" s="381" t="s">
        <v>234</v>
      </c>
    </row>
    <row r="324" spans="1:11" ht="15.75" hidden="1">
      <c r="A324" s="380" t="s">
        <v>2304</v>
      </c>
      <c r="B324" s="381" t="s">
        <v>2182</v>
      </c>
      <c r="C324" s="385" t="s">
        <v>2305</v>
      </c>
      <c r="D324" s="385" t="s">
        <v>76</v>
      </c>
      <c r="E324" s="386">
        <v>950000</v>
      </c>
      <c r="F324" s="387" t="s">
        <v>2306</v>
      </c>
      <c r="G324" s="387"/>
      <c r="H324" s="385" t="s">
        <v>1644</v>
      </c>
      <c r="I324" s="385" t="s">
        <v>1644</v>
      </c>
      <c r="J324" s="385">
        <v>1</v>
      </c>
      <c r="K324" s="385" t="s">
        <v>100</v>
      </c>
    </row>
    <row r="325" spans="1:11" ht="15.75" hidden="1">
      <c r="A325" s="380" t="s">
        <v>2304</v>
      </c>
      <c r="B325" s="381" t="s">
        <v>2182</v>
      </c>
      <c r="C325" s="385" t="s">
        <v>2307</v>
      </c>
      <c r="D325" s="385" t="s">
        <v>75</v>
      </c>
      <c r="E325" s="386">
        <v>1600000</v>
      </c>
      <c r="F325" s="387" t="s">
        <v>2292</v>
      </c>
      <c r="G325" s="387"/>
      <c r="H325" s="385" t="s">
        <v>1644</v>
      </c>
      <c r="I325" s="385" t="s">
        <v>1644</v>
      </c>
      <c r="J325" s="385">
        <v>1</v>
      </c>
      <c r="K325" s="385" t="s">
        <v>100</v>
      </c>
    </row>
    <row r="326" spans="1:11" ht="15.75" hidden="1">
      <c r="A326" s="384">
        <v>44503</v>
      </c>
      <c r="B326" s="385" t="s">
        <v>2182</v>
      </c>
      <c r="C326" s="381" t="s">
        <v>2308</v>
      </c>
      <c r="D326" s="385" t="s">
        <v>1957</v>
      </c>
      <c r="E326" s="386">
        <v>1500000</v>
      </c>
      <c r="F326" s="387" t="s">
        <v>2309</v>
      </c>
      <c r="G326" s="387"/>
      <c r="H326" s="385" t="s">
        <v>1644</v>
      </c>
      <c r="I326" s="385" t="s">
        <v>1644</v>
      </c>
      <c r="J326" s="385">
        <v>1</v>
      </c>
      <c r="K326" s="385" t="s">
        <v>234</v>
      </c>
    </row>
    <row r="327" spans="1:11" ht="15.75" hidden="1">
      <c r="A327" s="392" t="s">
        <v>2310</v>
      </c>
      <c r="B327" s="385" t="s">
        <v>2182</v>
      </c>
      <c r="C327" s="385" t="s">
        <v>2311</v>
      </c>
      <c r="D327" s="385" t="s">
        <v>76</v>
      </c>
      <c r="E327" s="386">
        <v>950000</v>
      </c>
      <c r="F327" s="387" t="s">
        <v>2292</v>
      </c>
      <c r="G327" s="387"/>
      <c r="H327" s="385" t="s">
        <v>2161</v>
      </c>
      <c r="I327" s="385" t="s">
        <v>1644</v>
      </c>
      <c r="J327" s="385">
        <v>1</v>
      </c>
      <c r="K327" s="385" t="s">
        <v>100</v>
      </c>
    </row>
    <row r="328" spans="1:11" ht="15.75" hidden="1">
      <c r="A328" s="392" t="s">
        <v>2310</v>
      </c>
      <c r="B328" s="385" t="s">
        <v>2182</v>
      </c>
      <c r="C328" s="385" t="s">
        <v>2312</v>
      </c>
      <c r="D328" s="385" t="s">
        <v>1957</v>
      </c>
      <c r="E328" s="386">
        <v>800000</v>
      </c>
      <c r="F328" s="387" t="s">
        <v>2292</v>
      </c>
      <c r="G328" s="387"/>
      <c r="H328" s="385" t="s">
        <v>2161</v>
      </c>
      <c r="I328" s="385" t="s">
        <v>1644</v>
      </c>
      <c r="J328" s="385">
        <v>1</v>
      </c>
      <c r="K328" s="385" t="s">
        <v>234</v>
      </c>
    </row>
    <row r="329" spans="1:11" ht="15.75" hidden="1">
      <c r="A329" s="392" t="s">
        <v>2313</v>
      </c>
      <c r="B329" s="385" t="s">
        <v>2182</v>
      </c>
      <c r="C329" s="385" t="s">
        <v>2314</v>
      </c>
      <c r="D329" s="385" t="s">
        <v>1957</v>
      </c>
      <c r="E329" s="386">
        <v>1200000</v>
      </c>
      <c r="F329" s="387" t="s">
        <v>1968</v>
      </c>
      <c r="G329" s="387"/>
      <c r="H329" s="385" t="s">
        <v>1644</v>
      </c>
      <c r="I329" s="385" t="s">
        <v>1644</v>
      </c>
      <c r="J329" s="385">
        <v>1</v>
      </c>
      <c r="K329" s="385" t="s">
        <v>234</v>
      </c>
    </row>
    <row r="330" spans="1:11" ht="15.75" hidden="1">
      <c r="A330" s="392" t="s">
        <v>2313</v>
      </c>
      <c r="B330" s="385" t="s">
        <v>2182</v>
      </c>
      <c r="C330" s="385" t="s">
        <v>2315</v>
      </c>
      <c r="D330" s="385" t="s">
        <v>76</v>
      </c>
      <c r="E330" s="386">
        <v>850000</v>
      </c>
      <c r="F330" s="387" t="s">
        <v>2316</v>
      </c>
      <c r="G330" s="387"/>
      <c r="H330" s="385" t="s">
        <v>1644</v>
      </c>
      <c r="I330" s="385" t="s">
        <v>1644</v>
      </c>
      <c r="J330" s="385">
        <v>1</v>
      </c>
      <c r="K330" s="385" t="s">
        <v>234</v>
      </c>
    </row>
    <row r="331" spans="1:11" ht="15.75" hidden="1">
      <c r="A331" s="414">
        <v>44503</v>
      </c>
      <c r="B331" s="402" t="s">
        <v>2182</v>
      </c>
      <c r="C331" s="402" t="s">
        <v>2295</v>
      </c>
      <c r="D331" s="402" t="s">
        <v>76</v>
      </c>
      <c r="E331" s="403">
        <v>200000000</v>
      </c>
      <c r="F331" s="404" t="s">
        <v>2292</v>
      </c>
      <c r="G331" s="404"/>
      <c r="H331" s="402" t="s">
        <v>2161</v>
      </c>
      <c r="I331" s="402" t="s">
        <v>1644</v>
      </c>
      <c r="J331" s="402"/>
      <c r="K331" s="402" t="s">
        <v>2246</v>
      </c>
    </row>
    <row r="332" spans="1:11" ht="15.75" hidden="1">
      <c r="A332" s="414">
        <v>44503</v>
      </c>
      <c r="B332" s="402" t="s">
        <v>2182</v>
      </c>
      <c r="C332" s="402" t="s">
        <v>2308</v>
      </c>
      <c r="D332" s="402" t="s">
        <v>2317</v>
      </c>
      <c r="E332" s="403">
        <v>340000000</v>
      </c>
      <c r="F332" s="404" t="s">
        <v>2292</v>
      </c>
      <c r="G332" s="404"/>
      <c r="H332" s="402" t="s">
        <v>1644</v>
      </c>
      <c r="I332" s="402" t="s">
        <v>1644</v>
      </c>
      <c r="J332" s="402"/>
      <c r="K332" s="402" t="s">
        <v>2246</v>
      </c>
    </row>
    <row r="333" spans="1:11" ht="15.75" hidden="1">
      <c r="A333" s="414">
        <v>44503</v>
      </c>
      <c r="B333" s="402" t="s">
        <v>2182</v>
      </c>
      <c r="C333" s="402" t="s">
        <v>2297</v>
      </c>
      <c r="D333" s="402" t="s">
        <v>76</v>
      </c>
      <c r="E333" s="403">
        <v>150000000</v>
      </c>
      <c r="F333" s="404" t="s">
        <v>2292</v>
      </c>
      <c r="G333" s="404"/>
      <c r="H333" s="402" t="s">
        <v>1644</v>
      </c>
      <c r="I333" s="402" t="s">
        <v>1644</v>
      </c>
      <c r="J333" s="402"/>
      <c r="K333" s="402" t="s">
        <v>2246</v>
      </c>
    </row>
    <row r="334" spans="1:11" ht="15.75" hidden="1">
      <c r="A334" s="415" t="s">
        <v>2310</v>
      </c>
      <c r="B334" s="416" t="s">
        <v>2182</v>
      </c>
      <c r="C334" s="416" t="s">
        <v>2318</v>
      </c>
      <c r="D334" s="416" t="s">
        <v>1957</v>
      </c>
      <c r="E334" s="417">
        <v>450000000</v>
      </c>
      <c r="F334" s="418" t="s">
        <v>2292</v>
      </c>
      <c r="G334" s="418"/>
      <c r="H334" s="416" t="s">
        <v>1644</v>
      </c>
      <c r="I334" s="416" t="s">
        <v>1644</v>
      </c>
      <c r="J334" s="416"/>
      <c r="K334" s="416" t="s">
        <v>2246</v>
      </c>
    </row>
    <row r="335" spans="1:11" ht="15.75" hidden="1">
      <c r="A335" s="415" t="s">
        <v>2319</v>
      </c>
      <c r="B335" s="416" t="s">
        <v>2182</v>
      </c>
      <c r="C335" s="416" t="s">
        <v>334</v>
      </c>
      <c r="D335" s="416" t="s">
        <v>76</v>
      </c>
      <c r="E335" s="417">
        <v>23000000</v>
      </c>
      <c r="F335" s="418" t="s">
        <v>2292</v>
      </c>
      <c r="G335" s="418"/>
      <c r="H335" s="416" t="s">
        <v>2161</v>
      </c>
      <c r="I335" s="416" t="s">
        <v>1644</v>
      </c>
      <c r="J335" s="416"/>
      <c r="K335" s="416" t="s">
        <v>2246</v>
      </c>
    </row>
    <row r="336" spans="1:11" ht="15.75" hidden="1">
      <c r="A336" s="419"/>
      <c r="B336" s="420"/>
      <c r="C336" s="420"/>
      <c r="D336" s="420"/>
      <c r="E336" s="421"/>
      <c r="F336" s="422"/>
      <c r="G336" s="422"/>
      <c r="H336" s="420"/>
      <c r="I336" s="420"/>
      <c r="J336" s="420">
        <f>SUM(J311:J331)</f>
        <v>20</v>
      </c>
      <c r="K336" s="420"/>
    </row>
    <row r="337" spans="1:11" ht="15.75" hidden="1">
      <c r="A337" s="394"/>
      <c r="B337" s="395"/>
      <c r="C337" s="395"/>
      <c r="D337" s="395"/>
      <c r="E337" s="396"/>
      <c r="F337" s="397"/>
      <c r="G337" s="397"/>
      <c r="H337" s="395"/>
      <c r="I337" s="395"/>
      <c r="J337" s="395"/>
      <c r="K337" s="395"/>
    </row>
    <row r="338" spans="1:11" ht="15.75" hidden="1">
      <c r="A338" s="1678" t="s">
        <v>2320</v>
      </c>
      <c r="B338" s="1678"/>
      <c r="C338" s="1678"/>
      <c r="D338" s="1678"/>
      <c r="E338" s="1678"/>
      <c r="F338" s="1678"/>
      <c r="G338" s="1678"/>
      <c r="H338" s="1678"/>
      <c r="I338" s="1678"/>
      <c r="J338" s="1678"/>
      <c r="K338" s="1678"/>
    </row>
    <row r="339" spans="1:11" ht="31.5" hidden="1">
      <c r="A339" s="375" t="s">
        <v>1941</v>
      </c>
      <c r="B339" s="376" t="s">
        <v>1942</v>
      </c>
      <c r="C339" s="376" t="s">
        <v>1943</v>
      </c>
      <c r="D339" s="376" t="s">
        <v>1944</v>
      </c>
      <c r="E339" s="377" t="s">
        <v>1945</v>
      </c>
      <c r="F339" s="378" t="s">
        <v>1946</v>
      </c>
      <c r="G339" s="378"/>
      <c r="H339" s="376" t="s">
        <v>1947</v>
      </c>
      <c r="I339" s="376" t="s">
        <v>1948</v>
      </c>
      <c r="J339" s="379" t="s">
        <v>1949</v>
      </c>
      <c r="K339" s="376" t="s">
        <v>1950</v>
      </c>
    </row>
    <row r="340" spans="1:11" ht="15.75" hidden="1">
      <c r="A340" s="393">
        <v>44230</v>
      </c>
      <c r="B340" s="381" t="s">
        <v>2182</v>
      </c>
      <c r="C340" s="381" t="s">
        <v>2321</v>
      </c>
      <c r="D340" s="381" t="s">
        <v>1957</v>
      </c>
      <c r="E340" s="382">
        <v>1350000</v>
      </c>
      <c r="F340" s="383" t="s">
        <v>2292</v>
      </c>
      <c r="G340" s="383"/>
      <c r="H340" s="381" t="s">
        <v>1644</v>
      </c>
      <c r="I340" s="381" t="s">
        <v>1644</v>
      </c>
      <c r="J340" s="381">
        <v>1</v>
      </c>
      <c r="K340" s="381" t="s">
        <v>100</v>
      </c>
    </row>
    <row r="341" spans="1:11" ht="15.75" hidden="1">
      <c r="A341" s="393">
        <v>44230</v>
      </c>
      <c r="B341" s="381" t="s">
        <v>2182</v>
      </c>
      <c r="C341" s="381" t="s">
        <v>2322</v>
      </c>
      <c r="D341" s="381" t="s">
        <v>1957</v>
      </c>
      <c r="E341" s="382">
        <v>1100000</v>
      </c>
      <c r="F341" s="383" t="s">
        <v>2292</v>
      </c>
      <c r="G341" s="383"/>
      <c r="H341" s="381" t="s">
        <v>1644</v>
      </c>
      <c r="I341" s="381" t="s">
        <v>1644</v>
      </c>
      <c r="J341" s="381">
        <v>1</v>
      </c>
      <c r="K341" s="381" t="s">
        <v>234</v>
      </c>
    </row>
    <row r="342" spans="1:11" ht="15.75" hidden="1">
      <c r="A342" s="393">
        <v>44289</v>
      </c>
      <c r="B342" s="381" t="s">
        <v>2182</v>
      </c>
      <c r="C342" s="381" t="s">
        <v>2323</v>
      </c>
      <c r="D342" s="381" t="s">
        <v>76</v>
      </c>
      <c r="E342" s="382">
        <v>1300000</v>
      </c>
      <c r="F342" s="383" t="s">
        <v>2292</v>
      </c>
      <c r="G342" s="383"/>
      <c r="H342" s="381" t="s">
        <v>1644</v>
      </c>
      <c r="I342" s="381" t="s">
        <v>1644</v>
      </c>
      <c r="J342" s="381">
        <v>1</v>
      </c>
      <c r="K342" s="381" t="s">
        <v>234</v>
      </c>
    </row>
    <row r="343" spans="1:11" ht="15.75" hidden="1">
      <c r="A343" s="393">
        <v>44289</v>
      </c>
      <c r="B343" s="381" t="s">
        <v>2182</v>
      </c>
      <c r="C343" s="381" t="s">
        <v>2324</v>
      </c>
      <c r="D343" s="381" t="s">
        <v>76</v>
      </c>
      <c r="E343" s="382">
        <v>1450000</v>
      </c>
      <c r="F343" s="383" t="s">
        <v>2292</v>
      </c>
      <c r="G343" s="383"/>
      <c r="H343" s="381" t="s">
        <v>1644</v>
      </c>
      <c r="I343" s="381" t="s">
        <v>1644</v>
      </c>
      <c r="J343" s="381">
        <v>1</v>
      </c>
      <c r="K343" s="381" t="s">
        <v>234</v>
      </c>
    </row>
    <row r="344" spans="1:11" ht="15.75" hidden="1">
      <c r="A344" s="393">
        <v>44350</v>
      </c>
      <c r="B344" s="381" t="s">
        <v>2182</v>
      </c>
      <c r="C344" s="381" t="s">
        <v>2325</v>
      </c>
      <c r="D344" s="381" t="s">
        <v>2326</v>
      </c>
      <c r="E344" s="382">
        <v>920000</v>
      </c>
      <c r="F344" s="383" t="s">
        <v>2235</v>
      </c>
      <c r="G344" s="383"/>
      <c r="H344" s="381" t="s">
        <v>1644</v>
      </c>
      <c r="I344" s="381" t="s">
        <v>1644</v>
      </c>
      <c r="J344" s="381">
        <v>1</v>
      </c>
      <c r="K344" s="381" t="s">
        <v>234</v>
      </c>
    </row>
    <row r="345" spans="1:11" ht="15.75" hidden="1">
      <c r="A345" s="393">
        <v>44442</v>
      </c>
      <c r="B345" s="381" t="s">
        <v>2182</v>
      </c>
      <c r="C345" s="381" t="s">
        <v>2327</v>
      </c>
      <c r="D345" s="381" t="s">
        <v>2072</v>
      </c>
      <c r="E345" s="382">
        <v>1200000</v>
      </c>
      <c r="F345" s="383" t="s">
        <v>2235</v>
      </c>
      <c r="G345" s="383"/>
      <c r="H345" s="381" t="s">
        <v>2161</v>
      </c>
      <c r="I345" s="381" t="s">
        <v>1644</v>
      </c>
      <c r="J345" s="381">
        <v>1</v>
      </c>
      <c r="K345" s="381" t="s">
        <v>234</v>
      </c>
    </row>
    <row r="346" spans="1:11" ht="15.75" hidden="1">
      <c r="A346" s="393">
        <v>44442</v>
      </c>
      <c r="B346" s="381" t="s">
        <v>2182</v>
      </c>
      <c r="C346" s="381" t="s">
        <v>2328</v>
      </c>
      <c r="D346" s="381" t="s">
        <v>76</v>
      </c>
      <c r="E346" s="382">
        <v>1300000</v>
      </c>
      <c r="F346" s="383" t="s">
        <v>2292</v>
      </c>
      <c r="G346" s="383"/>
      <c r="H346" s="381" t="s">
        <v>2161</v>
      </c>
      <c r="I346" s="381" t="s">
        <v>1644</v>
      </c>
      <c r="J346" s="381">
        <v>1</v>
      </c>
      <c r="K346" s="381" t="s">
        <v>234</v>
      </c>
    </row>
    <row r="347" spans="1:11" ht="15.75" hidden="1">
      <c r="A347" s="393">
        <v>44472</v>
      </c>
      <c r="B347" s="381" t="s">
        <v>2182</v>
      </c>
      <c r="C347" s="381" t="s">
        <v>2329</v>
      </c>
      <c r="D347" s="381" t="s">
        <v>1957</v>
      </c>
      <c r="E347" s="382">
        <v>1400000</v>
      </c>
      <c r="F347" s="383" t="s">
        <v>2235</v>
      </c>
      <c r="G347" s="383"/>
      <c r="H347" s="381" t="s">
        <v>1644</v>
      </c>
      <c r="I347" s="381" t="s">
        <v>1644</v>
      </c>
      <c r="J347" s="381">
        <v>1</v>
      </c>
      <c r="K347" s="381" t="s">
        <v>234</v>
      </c>
    </row>
    <row r="348" spans="1:11" ht="15.75" hidden="1">
      <c r="A348" s="393">
        <v>44472</v>
      </c>
      <c r="B348" s="381" t="s">
        <v>2182</v>
      </c>
      <c r="C348" s="381" t="s">
        <v>2330</v>
      </c>
      <c r="D348" s="381" t="s">
        <v>76</v>
      </c>
      <c r="E348" s="382">
        <v>1400000</v>
      </c>
      <c r="F348" s="383" t="s">
        <v>2235</v>
      </c>
      <c r="G348" s="383"/>
      <c r="H348" s="381" t="s">
        <v>1644</v>
      </c>
      <c r="I348" s="381" t="s">
        <v>1644</v>
      </c>
      <c r="J348" s="381">
        <v>1</v>
      </c>
      <c r="K348" s="381" t="s">
        <v>100</v>
      </c>
    </row>
    <row r="349" spans="1:11" ht="15.75" hidden="1">
      <c r="A349" s="380" t="s">
        <v>2331</v>
      </c>
      <c r="B349" s="381" t="s">
        <v>1966</v>
      </c>
      <c r="C349" s="381" t="s">
        <v>2332</v>
      </c>
      <c r="D349" s="381" t="s">
        <v>1957</v>
      </c>
      <c r="E349" s="382">
        <v>2000000</v>
      </c>
      <c r="F349" s="383" t="s">
        <v>2292</v>
      </c>
      <c r="G349" s="383"/>
      <c r="H349" s="381" t="s">
        <v>2161</v>
      </c>
      <c r="I349" s="381" t="s">
        <v>1644</v>
      </c>
      <c r="J349" s="381">
        <v>1</v>
      </c>
      <c r="K349" s="381" t="s">
        <v>100</v>
      </c>
    </row>
    <row r="350" spans="1:11" ht="15.75" hidden="1">
      <c r="A350" s="380" t="s">
        <v>2331</v>
      </c>
      <c r="B350" s="381" t="s">
        <v>2182</v>
      </c>
      <c r="C350" s="381" t="s">
        <v>2333</v>
      </c>
      <c r="D350" s="381" t="s">
        <v>1957</v>
      </c>
      <c r="E350" s="382">
        <v>1700000</v>
      </c>
      <c r="F350" s="383" t="s">
        <v>2292</v>
      </c>
      <c r="G350" s="383"/>
      <c r="H350" s="381" t="s">
        <v>2161</v>
      </c>
      <c r="I350" s="381" t="s">
        <v>1644</v>
      </c>
      <c r="J350" s="381">
        <v>1</v>
      </c>
      <c r="K350" s="381" t="s">
        <v>234</v>
      </c>
    </row>
    <row r="351" spans="1:11" ht="15.75" hidden="1">
      <c r="A351" s="380" t="s">
        <v>2331</v>
      </c>
      <c r="B351" s="381" t="s">
        <v>2182</v>
      </c>
      <c r="C351" s="381" t="s">
        <v>129</v>
      </c>
      <c r="D351" s="381" t="s">
        <v>1957</v>
      </c>
      <c r="E351" s="382">
        <v>1500000</v>
      </c>
      <c r="F351" s="383" t="s">
        <v>2292</v>
      </c>
      <c r="G351" s="383"/>
      <c r="H351" s="381" t="s">
        <v>1644</v>
      </c>
      <c r="I351" s="381" t="s">
        <v>1644</v>
      </c>
      <c r="J351" s="381">
        <v>1</v>
      </c>
      <c r="K351" s="381" t="s">
        <v>234</v>
      </c>
    </row>
    <row r="352" spans="1:11" ht="15.75" hidden="1">
      <c r="A352" s="380" t="s">
        <v>2304</v>
      </c>
      <c r="B352" s="385" t="s">
        <v>2182</v>
      </c>
      <c r="C352" s="385" t="s">
        <v>2334</v>
      </c>
      <c r="D352" s="381" t="s">
        <v>76</v>
      </c>
      <c r="E352" s="382">
        <v>1200000</v>
      </c>
      <c r="F352" s="383" t="s">
        <v>2292</v>
      </c>
      <c r="G352" s="383"/>
      <c r="H352" s="381" t="s">
        <v>1644</v>
      </c>
      <c r="I352" s="381" t="s">
        <v>1625</v>
      </c>
      <c r="J352" s="381">
        <v>1</v>
      </c>
      <c r="K352" s="381" t="s">
        <v>234</v>
      </c>
    </row>
    <row r="353" spans="1:11" ht="15.75" hidden="1">
      <c r="A353" s="423" t="s">
        <v>2335</v>
      </c>
      <c r="B353" s="381" t="s">
        <v>2182</v>
      </c>
      <c r="C353" s="381" t="s">
        <v>2336</v>
      </c>
      <c r="D353" s="411" t="s">
        <v>76</v>
      </c>
      <c r="E353" s="382">
        <v>1350000</v>
      </c>
      <c r="F353" s="383" t="s">
        <v>2337</v>
      </c>
      <c r="G353" s="383"/>
      <c r="H353" s="381" t="s">
        <v>1644</v>
      </c>
      <c r="I353" s="381" t="s">
        <v>1644</v>
      </c>
      <c r="J353" s="381">
        <v>1</v>
      </c>
      <c r="K353" s="381" t="s">
        <v>100</v>
      </c>
    </row>
    <row r="354" spans="1:11" ht="15.75" hidden="1">
      <c r="A354" s="424" t="s">
        <v>2335</v>
      </c>
      <c r="B354" s="381" t="s">
        <v>2182</v>
      </c>
      <c r="C354" s="381" t="s">
        <v>2338</v>
      </c>
      <c r="D354" s="411" t="s">
        <v>76</v>
      </c>
      <c r="E354" s="382">
        <v>1500000</v>
      </c>
      <c r="F354" s="383" t="s">
        <v>2339</v>
      </c>
      <c r="G354" s="383"/>
      <c r="H354" s="381" t="s">
        <v>1644</v>
      </c>
      <c r="I354" s="381" t="s">
        <v>1644</v>
      </c>
      <c r="J354" s="381">
        <v>1</v>
      </c>
      <c r="K354" s="381" t="s">
        <v>234</v>
      </c>
    </row>
    <row r="355" spans="1:11" ht="15.75" hidden="1">
      <c r="A355" s="425" t="s">
        <v>2340</v>
      </c>
      <c r="B355" s="385" t="s">
        <v>2182</v>
      </c>
      <c r="C355" s="385" t="s">
        <v>2341</v>
      </c>
      <c r="D355" s="426" t="s">
        <v>1044</v>
      </c>
      <c r="E355" s="386">
        <v>1300000</v>
      </c>
      <c r="F355" s="387" t="s">
        <v>2235</v>
      </c>
      <c r="G355" s="387"/>
      <c r="H355" s="385" t="s">
        <v>2161</v>
      </c>
      <c r="I355" s="385" t="s">
        <v>1644</v>
      </c>
      <c r="J355" s="385">
        <v>1</v>
      </c>
      <c r="K355" s="385" t="s">
        <v>100</v>
      </c>
    </row>
    <row r="356" spans="1:11" ht="15.75" hidden="1">
      <c r="A356" s="425" t="s">
        <v>2340</v>
      </c>
      <c r="B356" s="385" t="s">
        <v>2182</v>
      </c>
      <c r="C356" s="381" t="s">
        <v>306</v>
      </c>
      <c r="D356" s="426" t="s">
        <v>1957</v>
      </c>
      <c r="E356" s="386">
        <v>1300000</v>
      </c>
      <c r="F356" s="387" t="s">
        <v>2292</v>
      </c>
      <c r="G356" s="387"/>
      <c r="H356" s="385" t="s">
        <v>2161</v>
      </c>
      <c r="I356" s="385" t="s">
        <v>1644</v>
      </c>
      <c r="J356" s="385">
        <v>1</v>
      </c>
      <c r="K356" s="385" t="s">
        <v>234</v>
      </c>
    </row>
    <row r="357" spans="1:11" ht="15.75" hidden="1">
      <c r="A357" s="425" t="s">
        <v>2340</v>
      </c>
      <c r="B357" s="385" t="s">
        <v>2182</v>
      </c>
      <c r="C357" s="381" t="s">
        <v>2342</v>
      </c>
      <c r="D357" s="426" t="s">
        <v>76</v>
      </c>
      <c r="E357" s="386">
        <v>1500000</v>
      </c>
      <c r="F357" s="387" t="s">
        <v>2306</v>
      </c>
      <c r="G357" s="387"/>
      <c r="H357" s="385" t="s">
        <v>1644</v>
      </c>
      <c r="I357" s="385" t="s">
        <v>1644</v>
      </c>
      <c r="J357" s="385">
        <v>1</v>
      </c>
      <c r="K357" s="385" t="s">
        <v>234</v>
      </c>
    </row>
    <row r="358" spans="1:11" ht="15.75" hidden="1">
      <c r="A358" s="425" t="s">
        <v>2340</v>
      </c>
      <c r="B358" s="385" t="s">
        <v>2182</v>
      </c>
      <c r="C358" s="381" t="s">
        <v>2343</v>
      </c>
      <c r="D358" s="426" t="s">
        <v>76</v>
      </c>
      <c r="E358" s="386">
        <v>1600000</v>
      </c>
      <c r="F358" s="387" t="s">
        <v>2292</v>
      </c>
      <c r="G358" s="387"/>
      <c r="H358" s="385" t="s">
        <v>1644</v>
      </c>
      <c r="I358" s="385" t="s">
        <v>1644</v>
      </c>
      <c r="J358" s="385">
        <v>1</v>
      </c>
      <c r="K358" s="385" t="s">
        <v>234</v>
      </c>
    </row>
    <row r="359" spans="1:11" ht="15.75" hidden="1">
      <c r="A359" s="425" t="s">
        <v>2340</v>
      </c>
      <c r="B359" s="385" t="s">
        <v>2182</v>
      </c>
      <c r="C359" s="381" t="s">
        <v>2344</v>
      </c>
      <c r="D359" s="426" t="s">
        <v>76</v>
      </c>
      <c r="E359" s="386">
        <v>1100000</v>
      </c>
      <c r="F359" s="387" t="s">
        <v>2306</v>
      </c>
      <c r="G359" s="387"/>
      <c r="H359" s="385" t="s">
        <v>2161</v>
      </c>
      <c r="I359" s="385" t="s">
        <v>1644</v>
      </c>
      <c r="J359" s="385">
        <v>1</v>
      </c>
      <c r="K359" s="385" t="s">
        <v>234</v>
      </c>
    </row>
    <row r="360" spans="1:11" ht="15.75" hidden="1">
      <c r="A360" s="427" t="s">
        <v>2331</v>
      </c>
      <c r="B360" s="428" t="s">
        <v>2182</v>
      </c>
      <c r="C360" s="428" t="s">
        <v>2332</v>
      </c>
      <c r="D360" s="389" t="s">
        <v>76</v>
      </c>
      <c r="E360" s="390">
        <v>400000000</v>
      </c>
      <c r="F360" s="391" t="s">
        <v>2292</v>
      </c>
      <c r="G360" s="391"/>
      <c r="H360" s="389" t="s">
        <v>2161</v>
      </c>
      <c r="I360" s="389" t="s">
        <v>1644</v>
      </c>
      <c r="J360" s="389"/>
      <c r="K360" s="389" t="s">
        <v>2246</v>
      </c>
    </row>
    <row r="361" spans="1:11" ht="15.75" hidden="1">
      <c r="A361" s="398" t="s">
        <v>2331</v>
      </c>
      <c r="B361" s="389" t="s">
        <v>2182</v>
      </c>
      <c r="C361" s="389" t="s">
        <v>177</v>
      </c>
      <c r="D361" s="389" t="s">
        <v>76</v>
      </c>
      <c r="E361" s="390">
        <v>218000000</v>
      </c>
      <c r="F361" s="391" t="s">
        <v>2292</v>
      </c>
      <c r="G361" s="391"/>
      <c r="H361" s="389" t="s">
        <v>2161</v>
      </c>
      <c r="I361" s="389" t="s">
        <v>1644</v>
      </c>
      <c r="J361" s="389"/>
      <c r="K361" s="389" t="s">
        <v>2246</v>
      </c>
    </row>
    <row r="362" spans="1:11" ht="15.75" hidden="1">
      <c r="A362" s="398" t="s">
        <v>2340</v>
      </c>
      <c r="B362" s="389" t="s">
        <v>2182</v>
      </c>
      <c r="C362" s="389" t="s">
        <v>2345</v>
      </c>
      <c r="D362" s="389" t="s">
        <v>76</v>
      </c>
      <c r="E362" s="390">
        <v>380000000</v>
      </c>
      <c r="F362" s="391" t="s">
        <v>2292</v>
      </c>
      <c r="G362" s="391"/>
      <c r="H362" s="389" t="s">
        <v>2161</v>
      </c>
      <c r="I362" s="389" t="s">
        <v>1644</v>
      </c>
      <c r="J362" s="389"/>
      <c r="K362" s="389" t="s">
        <v>2246</v>
      </c>
    </row>
    <row r="363" spans="1:11" ht="15.75" hidden="1">
      <c r="A363" s="398"/>
      <c r="B363" s="389"/>
      <c r="C363" s="389"/>
      <c r="D363" s="389"/>
      <c r="E363" s="390"/>
      <c r="F363" s="391"/>
      <c r="G363" s="391"/>
      <c r="H363" s="389"/>
      <c r="I363" s="389"/>
      <c r="J363" s="389"/>
      <c r="K363" s="389"/>
    </row>
    <row r="364" spans="1:11" ht="15.75" hidden="1">
      <c r="A364" s="393"/>
      <c r="B364" s="381"/>
      <c r="C364" s="381"/>
      <c r="D364" s="381"/>
      <c r="E364" s="382"/>
      <c r="F364" s="383"/>
      <c r="G364" s="383"/>
      <c r="H364" s="381"/>
      <c r="I364" s="381"/>
      <c r="J364" s="381">
        <f>SUM(J340:J363)</f>
        <v>20</v>
      </c>
      <c r="K364" s="381"/>
    </row>
    <row r="365" spans="1:11" ht="15.75" hidden="1">
      <c r="A365" s="394"/>
      <c r="B365" s="395"/>
      <c r="C365" s="395"/>
      <c r="D365" s="395"/>
      <c r="E365" s="396"/>
      <c r="F365" s="397"/>
      <c r="G365" s="397"/>
      <c r="H365" s="395"/>
      <c r="I365" s="395"/>
      <c r="J365" s="395"/>
      <c r="K365" s="395"/>
    </row>
    <row r="366" spans="1:11" ht="15.75" hidden="1">
      <c r="A366" s="394"/>
      <c r="B366" s="395"/>
      <c r="C366" s="395"/>
      <c r="D366" s="395"/>
      <c r="E366" s="396"/>
      <c r="F366" s="397"/>
      <c r="G366" s="397"/>
      <c r="H366" s="395"/>
      <c r="I366" s="395"/>
      <c r="J366" s="395"/>
      <c r="K366" s="395"/>
    </row>
    <row r="367" spans="1:11" ht="15.75" hidden="1">
      <c r="A367" s="1678" t="s">
        <v>2346</v>
      </c>
      <c r="B367" s="1678"/>
      <c r="C367" s="1678"/>
      <c r="D367" s="1678"/>
      <c r="E367" s="1678"/>
      <c r="F367" s="1678"/>
      <c r="G367" s="1678"/>
      <c r="H367" s="1678"/>
      <c r="I367" s="1678"/>
      <c r="J367" s="1678"/>
      <c r="K367" s="1678"/>
    </row>
    <row r="368" spans="1:11" ht="31.5" hidden="1">
      <c r="A368" s="375" t="s">
        <v>1941</v>
      </c>
      <c r="B368" s="376" t="s">
        <v>1942</v>
      </c>
      <c r="C368" s="376" t="s">
        <v>1943</v>
      </c>
      <c r="D368" s="376" t="s">
        <v>1944</v>
      </c>
      <c r="E368" s="377" t="s">
        <v>1945</v>
      </c>
      <c r="F368" s="378" t="s">
        <v>1946</v>
      </c>
      <c r="G368" s="378"/>
      <c r="H368" s="376" t="s">
        <v>1947</v>
      </c>
      <c r="I368" s="376" t="s">
        <v>1948</v>
      </c>
      <c r="J368" s="379" t="s">
        <v>1949</v>
      </c>
      <c r="K368" s="376" t="s">
        <v>1950</v>
      </c>
    </row>
    <row r="369" spans="1:11" ht="15.75" hidden="1">
      <c r="A369" s="393">
        <v>44230</v>
      </c>
      <c r="B369" s="381" t="s">
        <v>2182</v>
      </c>
      <c r="C369" s="381" t="s">
        <v>1728</v>
      </c>
      <c r="D369" s="381" t="s">
        <v>2347</v>
      </c>
      <c r="E369" s="382">
        <v>1200000</v>
      </c>
      <c r="F369" s="383" t="s">
        <v>2111</v>
      </c>
      <c r="G369" s="383"/>
      <c r="H369" s="381" t="s">
        <v>2161</v>
      </c>
      <c r="I369" s="381" t="s">
        <v>1644</v>
      </c>
      <c r="J369" s="381">
        <v>1</v>
      </c>
      <c r="K369" s="381" t="s">
        <v>234</v>
      </c>
    </row>
    <row r="370" spans="1:11" ht="15.75" hidden="1">
      <c r="A370" s="393">
        <v>44230</v>
      </c>
      <c r="B370" s="381" t="s">
        <v>2182</v>
      </c>
      <c r="C370" s="381" t="s">
        <v>2348</v>
      </c>
      <c r="D370" s="381" t="s">
        <v>2072</v>
      </c>
      <c r="E370" s="382">
        <v>980000</v>
      </c>
      <c r="F370" s="383" t="s">
        <v>2235</v>
      </c>
      <c r="G370" s="383"/>
      <c r="H370" s="381" t="s">
        <v>1644</v>
      </c>
      <c r="I370" s="381" t="s">
        <v>1644</v>
      </c>
      <c r="J370" s="381">
        <v>1</v>
      </c>
      <c r="K370" s="381" t="s">
        <v>100</v>
      </c>
    </row>
    <row r="371" spans="1:11" ht="15.75" hidden="1">
      <c r="A371" s="393">
        <v>44199</v>
      </c>
      <c r="B371" s="381" t="s">
        <v>2182</v>
      </c>
      <c r="C371" s="381" t="s">
        <v>2349</v>
      </c>
      <c r="D371" s="381" t="s">
        <v>77</v>
      </c>
      <c r="E371" s="382">
        <v>700000</v>
      </c>
      <c r="F371" s="383" t="s">
        <v>2235</v>
      </c>
      <c r="G371" s="383"/>
      <c r="H371" s="381" t="s">
        <v>1644</v>
      </c>
      <c r="I371" s="381" t="s">
        <v>1644</v>
      </c>
      <c r="J371" s="381">
        <v>1</v>
      </c>
      <c r="K371" s="381" t="s">
        <v>100</v>
      </c>
    </row>
    <row r="372" spans="1:11" ht="15.75" hidden="1">
      <c r="A372" s="393">
        <v>44199</v>
      </c>
      <c r="B372" s="381" t="s">
        <v>2182</v>
      </c>
      <c r="C372" s="381" t="s">
        <v>2350</v>
      </c>
      <c r="D372" s="381" t="s">
        <v>2072</v>
      </c>
      <c r="E372" s="382">
        <v>1250000</v>
      </c>
      <c r="F372" s="383" t="s">
        <v>2235</v>
      </c>
      <c r="G372" s="383"/>
      <c r="H372" s="381" t="s">
        <v>1644</v>
      </c>
      <c r="I372" s="381" t="s">
        <v>1644</v>
      </c>
      <c r="J372" s="381">
        <v>1</v>
      </c>
      <c r="K372" s="381" t="s">
        <v>100</v>
      </c>
    </row>
    <row r="373" spans="1:11" ht="15.75" hidden="1">
      <c r="A373" s="393">
        <v>44199</v>
      </c>
      <c r="B373" s="381" t="s">
        <v>2182</v>
      </c>
      <c r="C373" s="381" t="s">
        <v>563</v>
      </c>
      <c r="D373" s="381" t="s">
        <v>77</v>
      </c>
      <c r="E373" s="382">
        <v>765000</v>
      </c>
      <c r="F373" s="383" t="s">
        <v>2292</v>
      </c>
      <c r="G373" s="383"/>
      <c r="H373" s="381" t="s">
        <v>1644</v>
      </c>
      <c r="I373" s="381" t="s">
        <v>1644</v>
      </c>
      <c r="J373" s="381">
        <v>1</v>
      </c>
      <c r="K373" s="381" t="s">
        <v>100</v>
      </c>
    </row>
    <row r="374" spans="1:11" ht="15.75" hidden="1">
      <c r="A374" s="393">
        <v>44289</v>
      </c>
      <c r="B374" s="381" t="s">
        <v>2182</v>
      </c>
      <c r="C374" s="381" t="s">
        <v>2351</v>
      </c>
      <c r="D374" s="381" t="s">
        <v>75</v>
      </c>
      <c r="E374" s="382">
        <v>1350000</v>
      </c>
      <c r="F374" s="383" t="s">
        <v>2292</v>
      </c>
      <c r="G374" s="383"/>
      <c r="H374" s="381" t="s">
        <v>1644</v>
      </c>
      <c r="I374" s="381" t="s">
        <v>1644</v>
      </c>
      <c r="J374" s="381">
        <v>1</v>
      </c>
      <c r="K374" s="381" t="s">
        <v>234</v>
      </c>
    </row>
    <row r="375" spans="1:11" ht="15.75" hidden="1">
      <c r="A375" s="393">
        <v>44289</v>
      </c>
      <c r="B375" s="381" t="s">
        <v>2182</v>
      </c>
      <c r="C375" s="381" t="s">
        <v>2352</v>
      </c>
      <c r="D375" s="381" t="s">
        <v>77</v>
      </c>
      <c r="E375" s="382">
        <v>700000</v>
      </c>
      <c r="F375" s="383" t="s">
        <v>2292</v>
      </c>
      <c r="G375" s="383"/>
      <c r="H375" s="381" t="s">
        <v>1644</v>
      </c>
      <c r="I375" s="381" t="s">
        <v>1644</v>
      </c>
      <c r="J375" s="381">
        <v>1</v>
      </c>
      <c r="K375" s="381" t="s">
        <v>234</v>
      </c>
    </row>
    <row r="376" spans="1:11" ht="15.75" hidden="1">
      <c r="A376" s="393">
        <v>44289</v>
      </c>
      <c r="B376" s="381" t="s">
        <v>2182</v>
      </c>
      <c r="C376" s="381" t="s">
        <v>2353</v>
      </c>
      <c r="D376" s="381" t="s">
        <v>2072</v>
      </c>
      <c r="E376" s="382">
        <v>1250000</v>
      </c>
      <c r="F376" s="383" t="s">
        <v>2292</v>
      </c>
      <c r="G376" s="383"/>
      <c r="H376" s="381" t="s">
        <v>1644</v>
      </c>
      <c r="I376" s="381" t="s">
        <v>1644</v>
      </c>
      <c r="J376" s="381">
        <v>1</v>
      </c>
      <c r="K376" s="381" t="s">
        <v>234</v>
      </c>
    </row>
    <row r="377" spans="1:11" ht="15.75" hidden="1">
      <c r="A377" s="393">
        <v>44350</v>
      </c>
      <c r="B377" s="381" t="s">
        <v>2182</v>
      </c>
      <c r="C377" s="381" t="s">
        <v>2354</v>
      </c>
      <c r="D377" s="381" t="s">
        <v>2072</v>
      </c>
      <c r="E377" s="382">
        <v>1150000</v>
      </c>
      <c r="F377" s="383" t="s">
        <v>2292</v>
      </c>
      <c r="G377" s="383"/>
      <c r="H377" s="381" t="s">
        <v>1644</v>
      </c>
      <c r="I377" s="381" t="s">
        <v>1644</v>
      </c>
      <c r="J377" s="381">
        <v>1</v>
      </c>
      <c r="K377" s="381" t="s">
        <v>234</v>
      </c>
    </row>
    <row r="378" spans="1:11" ht="15.75" hidden="1">
      <c r="A378" s="393">
        <v>44472</v>
      </c>
      <c r="B378" s="381" t="s">
        <v>2182</v>
      </c>
      <c r="C378" s="381" t="s">
        <v>2355</v>
      </c>
      <c r="D378" s="381" t="s">
        <v>2072</v>
      </c>
      <c r="E378" s="382">
        <v>1100000</v>
      </c>
      <c r="F378" s="383" t="s">
        <v>2235</v>
      </c>
      <c r="G378" s="383"/>
      <c r="H378" s="381" t="s">
        <v>1644</v>
      </c>
      <c r="I378" s="381" t="s">
        <v>1644</v>
      </c>
      <c r="J378" s="381">
        <v>1</v>
      </c>
      <c r="K378" s="381" t="s">
        <v>100</v>
      </c>
    </row>
    <row r="379" spans="1:11" ht="15.75" hidden="1">
      <c r="A379" s="380" t="s">
        <v>2356</v>
      </c>
      <c r="B379" s="381" t="s">
        <v>2182</v>
      </c>
      <c r="C379" s="381" t="s">
        <v>164</v>
      </c>
      <c r="D379" s="381" t="s">
        <v>2357</v>
      </c>
      <c r="E379" s="382">
        <v>1400000</v>
      </c>
      <c r="F379" s="383" t="s">
        <v>2235</v>
      </c>
      <c r="G379" s="383"/>
      <c r="H379" s="381" t="s">
        <v>2161</v>
      </c>
      <c r="I379" s="381" t="s">
        <v>1644</v>
      </c>
      <c r="J379" s="381">
        <v>1</v>
      </c>
      <c r="K379" s="381" t="s">
        <v>100</v>
      </c>
    </row>
    <row r="380" spans="1:11" ht="15.75" hidden="1">
      <c r="A380" s="380" t="s">
        <v>2358</v>
      </c>
      <c r="B380" s="381" t="s">
        <v>2182</v>
      </c>
      <c r="C380" s="381" t="s">
        <v>2359</v>
      </c>
      <c r="D380" s="381" t="s">
        <v>2072</v>
      </c>
      <c r="E380" s="382">
        <v>1300000</v>
      </c>
      <c r="F380" s="383" t="s">
        <v>2235</v>
      </c>
      <c r="G380" s="383"/>
      <c r="H380" s="381" t="s">
        <v>1644</v>
      </c>
      <c r="I380" s="381" t="s">
        <v>1644</v>
      </c>
      <c r="J380" s="381">
        <v>1</v>
      </c>
      <c r="K380" s="381" t="s">
        <v>100</v>
      </c>
    </row>
    <row r="381" spans="1:11" ht="15.75" hidden="1">
      <c r="A381" s="380" t="s">
        <v>2358</v>
      </c>
      <c r="B381" s="381" t="s">
        <v>2182</v>
      </c>
      <c r="C381" s="381" t="s">
        <v>2360</v>
      </c>
      <c r="D381" s="381" t="s">
        <v>76</v>
      </c>
      <c r="E381" s="382">
        <v>900000</v>
      </c>
      <c r="F381" s="383" t="s">
        <v>2306</v>
      </c>
      <c r="G381" s="383"/>
      <c r="H381" s="381" t="s">
        <v>1644</v>
      </c>
      <c r="I381" s="381" t="s">
        <v>1644</v>
      </c>
      <c r="J381" s="381">
        <v>1</v>
      </c>
      <c r="K381" s="381" t="s">
        <v>100</v>
      </c>
    </row>
    <row r="382" spans="1:11" ht="15.75" hidden="1">
      <c r="A382" s="392" t="s">
        <v>2331</v>
      </c>
      <c r="B382" s="385" t="s">
        <v>2182</v>
      </c>
      <c r="C382" s="385" t="s">
        <v>2361</v>
      </c>
      <c r="D382" s="385" t="s">
        <v>2072</v>
      </c>
      <c r="E382" s="386">
        <v>960000</v>
      </c>
      <c r="F382" s="387" t="s">
        <v>2292</v>
      </c>
      <c r="G382" s="387"/>
      <c r="H382" s="385" t="s">
        <v>2161</v>
      </c>
      <c r="I382" s="385" t="s">
        <v>1644</v>
      </c>
      <c r="J382" s="385">
        <v>1</v>
      </c>
      <c r="K382" s="385" t="s">
        <v>100</v>
      </c>
    </row>
    <row r="383" spans="1:11" ht="15.75" hidden="1">
      <c r="A383" s="392" t="s">
        <v>2331</v>
      </c>
      <c r="B383" s="385" t="s">
        <v>2182</v>
      </c>
      <c r="C383" s="385" t="s">
        <v>2362</v>
      </c>
      <c r="D383" s="385" t="s">
        <v>2072</v>
      </c>
      <c r="E383" s="386">
        <v>1200000</v>
      </c>
      <c r="F383" s="387" t="s">
        <v>1968</v>
      </c>
      <c r="G383" s="387"/>
      <c r="H383" s="385" t="s">
        <v>1644</v>
      </c>
      <c r="I383" s="385" t="s">
        <v>1644</v>
      </c>
      <c r="J383" s="385">
        <v>1</v>
      </c>
      <c r="K383" s="385" t="s">
        <v>100</v>
      </c>
    </row>
    <row r="384" spans="1:11" ht="15.75" hidden="1">
      <c r="A384" s="392" t="s">
        <v>2363</v>
      </c>
      <c r="B384" s="385" t="s">
        <v>2182</v>
      </c>
      <c r="C384" s="385" t="s">
        <v>2364</v>
      </c>
      <c r="D384" s="385" t="s">
        <v>2072</v>
      </c>
      <c r="E384" s="386">
        <v>1200000</v>
      </c>
      <c r="F384" s="387" t="s">
        <v>2365</v>
      </c>
      <c r="G384" s="387"/>
      <c r="H384" s="385" t="s">
        <v>1644</v>
      </c>
      <c r="I384" s="385" t="s">
        <v>1644</v>
      </c>
      <c r="J384" s="385">
        <v>1</v>
      </c>
      <c r="K384" s="385" t="s">
        <v>100</v>
      </c>
    </row>
    <row r="385" spans="1:11" ht="15.75" hidden="1">
      <c r="A385" s="392" t="s">
        <v>2335</v>
      </c>
      <c r="B385" s="385" t="s">
        <v>2182</v>
      </c>
      <c r="C385" s="385" t="s">
        <v>2366</v>
      </c>
      <c r="D385" s="385" t="s">
        <v>77</v>
      </c>
      <c r="E385" s="386">
        <v>800000</v>
      </c>
      <c r="F385" s="387" t="s">
        <v>2292</v>
      </c>
      <c r="G385" s="387"/>
      <c r="H385" s="385" t="s">
        <v>1644</v>
      </c>
      <c r="I385" s="385" t="s">
        <v>1644</v>
      </c>
      <c r="J385" s="385">
        <v>1</v>
      </c>
      <c r="K385" s="385" t="s">
        <v>234</v>
      </c>
    </row>
    <row r="386" spans="1:11" ht="15.75" hidden="1">
      <c r="A386" s="425" t="s">
        <v>2340</v>
      </c>
      <c r="B386" s="385" t="s">
        <v>2182</v>
      </c>
      <c r="C386" s="385" t="s">
        <v>2367</v>
      </c>
      <c r="D386" s="385" t="s">
        <v>2072</v>
      </c>
      <c r="E386" s="386">
        <v>1100000</v>
      </c>
      <c r="F386" s="387" t="s">
        <v>2292</v>
      </c>
      <c r="G386" s="387"/>
      <c r="H386" s="385" t="s">
        <v>1644</v>
      </c>
      <c r="I386" s="385" t="s">
        <v>1644</v>
      </c>
      <c r="J386" s="385">
        <v>1</v>
      </c>
      <c r="K386" s="385" t="s">
        <v>100</v>
      </c>
    </row>
    <row r="387" spans="1:11" ht="15.75" hidden="1">
      <c r="A387" s="425" t="s">
        <v>2340</v>
      </c>
      <c r="B387" s="385" t="s">
        <v>2182</v>
      </c>
      <c r="C387" s="385" t="s">
        <v>372</v>
      </c>
      <c r="D387" s="385" t="s">
        <v>2072</v>
      </c>
      <c r="E387" s="386">
        <v>1200000</v>
      </c>
      <c r="F387" s="387" t="s">
        <v>2292</v>
      </c>
      <c r="G387" s="387"/>
      <c r="H387" s="385" t="s">
        <v>1644</v>
      </c>
      <c r="I387" s="385" t="s">
        <v>1644</v>
      </c>
      <c r="J387" s="385">
        <v>1</v>
      </c>
      <c r="K387" s="385" t="s">
        <v>100</v>
      </c>
    </row>
    <row r="388" spans="1:11" ht="15.75" hidden="1">
      <c r="A388" s="425" t="s">
        <v>2340</v>
      </c>
      <c r="B388" s="385" t="s">
        <v>2182</v>
      </c>
      <c r="C388" s="385" t="s">
        <v>2368</v>
      </c>
      <c r="D388" s="385" t="s">
        <v>2072</v>
      </c>
      <c r="E388" s="386">
        <v>1300000</v>
      </c>
      <c r="F388" s="387" t="s">
        <v>2235</v>
      </c>
      <c r="G388" s="387"/>
      <c r="H388" s="385" t="s">
        <v>1644</v>
      </c>
      <c r="I388" s="385" t="s">
        <v>1644</v>
      </c>
      <c r="J388" s="385">
        <v>1</v>
      </c>
      <c r="K388" s="385" t="s">
        <v>100</v>
      </c>
    </row>
    <row r="389" spans="1:11" ht="15.75" hidden="1">
      <c r="A389" s="425" t="s">
        <v>2340</v>
      </c>
      <c r="B389" s="385" t="s">
        <v>2182</v>
      </c>
      <c r="C389" s="385" t="s">
        <v>2369</v>
      </c>
      <c r="D389" s="385" t="s">
        <v>1957</v>
      </c>
      <c r="E389" s="386">
        <v>900000</v>
      </c>
      <c r="F389" s="387" t="s">
        <v>2306</v>
      </c>
      <c r="G389" s="387"/>
      <c r="H389" s="385" t="s">
        <v>1625</v>
      </c>
      <c r="I389" s="385" t="s">
        <v>1644</v>
      </c>
      <c r="J389" s="385">
        <v>1</v>
      </c>
      <c r="K389" s="385" t="s">
        <v>234</v>
      </c>
    </row>
    <row r="390" spans="1:11" ht="15.75" hidden="1">
      <c r="A390" s="429">
        <v>44319</v>
      </c>
      <c r="B390" s="430" t="s">
        <v>2182</v>
      </c>
      <c r="C390" s="430" t="s">
        <v>2370</v>
      </c>
      <c r="D390" s="430" t="s">
        <v>76</v>
      </c>
      <c r="E390" s="431">
        <v>1000000000</v>
      </c>
      <c r="F390" s="432" t="s">
        <v>2235</v>
      </c>
      <c r="G390" s="432"/>
      <c r="H390" s="430" t="s">
        <v>2161</v>
      </c>
      <c r="I390" s="430" t="s">
        <v>1644</v>
      </c>
      <c r="J390" s="430"/>
      <c r="K390" s="430" t="s">
        <v>2246</v>
      </c>
    </row>
    <row r="391" spans="1:11" ht="15.75" hidden="1">
      <c r="A391" s="429">
        <v>44319</v>
      </c>
      <c r="B391" s="430" t="s">
        <v>2182</v>
      </c>
      <c r="C391" s="430" t="s">
        <v>2371</v>
      </c>
      <c r="D391" s="430" t="s">
        <v>77</v>
      </c>
      <c r="E391" s="431">
        <v>103000000</v>
      </c>
      <c r="F391" s="432" t="s">
        <v>2235</v>
      </c>
      <c r="G391" s="432"/>
      <c r="H391" s="430" t="s">
        <v>1955</v>
      </c>
      <c r="I391" s="430" t="s">
        <v>1644</v>
      </c>
      <c r="J391" s="430"/>
      <c r="K391" s="430" t="s">
        <v>2246</v>
      </c>
    </row>
    <row r="392" spans="1:11" ht="15.75" hidden="1">
      <c r="A392" s="433" t="s">
        <v>2310</v>
      </c>
      <c r="B392" s="434" t="s">
        <v>2182</v>
      </c>
      <c r="C392" s="434" t="s">
        <v>2372</v>
      </c>
      <c r="D392" s="434" t="s">
        <v>1993</v>
      </c>
      <c r="E392" s="435">
        <v>780000000</v>
      </c>
      <c r="F392" s="436" t="s">
        <v>2235</v>
      </c>
      <c r="G392" s="436"/>
      <c r="H392" s="434" t="s">
        <v>2161</v>
      </c>
      <c r="I392" s="434" t="s">
        <v>1644</v>
      </c>
      <c r="J392" s="434"/>
      <c r="K392" s="434" t="s">
        <v>2246</v>
      </c>
    </row>
    <row r="393" spans="1:11" ht="15.75" hidden="1">
      <c r="A393" s="437" t="s">
        <v>2331</v>
      </c>
      <c r="B393" s="438" t="s">
        <v>2182</v>
      </c>
      <c r="C393" s="438" t="s">
        <v>2373</v>
      </c>
      <c r="D393" s="438" t="s">
        <v>2072</v>
      </c>
      <c r="E393" s="439">
        <v>225000000</v>
      </c>
      <c r="F393" s="440" t="s">
        <v>1968</v>
      </c>
      <c r="G393" s="440"/>
      <c r="H393" s="438" t="s">
        <v>1644</v>
      </c>
      <c r="I393" s="438" t="s">
        <v>1644</v>
      </c>
      <c r="J393" s="438"/>
      <c r="K393" s="438" t="s">
        <v>2246</v>
      </c>
    </row>
    <row r="394" spans="1:11" ht="15.75" hidden="1">
      <c r="A394" s="437" t="s">
        <v>2331</v>
      </c>
      <c r="B394" s="438" t="s">
        <v>2182</v>
      </c>
      <c r="C394" s="438" t="s">
        <v>2374</v>
      </c>
      <c r="D394" s="438" t="s">
        <v>2072</v>
      </c>
      <c r="E394" s="439">
        <v>220000000</v>
      </c>
      <c r="F394" s="440" t="s">
        <v>2235</v>
      </c>
      <c r="G394" s="440"/>
      <c r="H394" s="438" t="s">
        <v>2161</v>
      </c>
      <c r="I394" s="438" t="s">
        <v>1644</v>
      </c>
      <c r="J394" s="438"/>
      <c r="K394" s="438" t="s">
        <v>2246</v>
      </c>
    </row>
    <row r="395" spans="1:11" ht="15.75" hidden="1">
      <c r="A395" s="419"/>
      <c r="B395" s="420"/>
      <c r="C395" s="420"/>
      <c r="D395" s="420"/>
      <c r="E395" s="421"/>
      <c r="F395" s="422"/>
      <c r="G395" s="422"/>
      <c r="H395" s="420"/>
      <c r="I395" s="420"/>
      <c r="J395" s="420">
        <f>SUM(J369:J391)</f>
        <v>21</v>
      </c>
      <c r="K395" s="420"/>
    </row>
    <row r="396" spans="1:11" ht="15.75" hidden="1">
      <c r="A396" s="394"/>
      <c r="B396" s="395"/>
      <c r="C396" s="395"/>
      <c r="D396" s="395"/>
      <c r="E396" s="396"/>
      <c r="F396" s="397"/>
      <c r="G396" s="397"/>
      <c r="H396" s="395"/>
      <c r="I396" s="395"/>
      <c r="J396" s="395"/>
      <c r="K396" s="395"/>
    </row>
    <row r="397" spans="1:11" ht="15.75" hidden="1">
      <c r="A397" s="1678" t="s">
        <v>2375</v>
      </c>
      <c r="B397" s="1678"/>
      <c r="C397" s="1678"/>
      <c r="D397" s="1678"/>
      <c r="E397" s="1678"/>
      <c r="F397" s="1678"/>
      <c r="G397" s="1678"/>
      <c r="H397" s="1678"/>
      <c r="I397" s="1678"/>
      <c r="J397" s="1678"/>
      <c r="K397" s="1678"/>
    </row>
    <row r="398" spans="1:11" ht="31.5" hidden="1">
      <c r="A398" s="375"/>
      <c r="B398" s="376" t="s">
        <v>1942</v>
      </c>
      <c r="C398" s="376" t="s">
        <v>1943</v>
      </c>
      <c r="D398" s="376" t="s">
        <v>1944</v>
      </c>
      <c r="E398" s="377" t="s">
        <v>1945</v>
      </c>
      <c r="F398" s="378" t="s">
        <v>1946</v>
      </c>
      <c r="G398" s="378"/>
      <c r="H398" s="376" t="s">
        <v>1947</v>
      </c>
      <c r="I398" s="376" t="s">
        <v>1948</v>
      </c>
      <c r="J398" s="379" t="s">
        <v>1949</v>
      </c>
      <c r="K398" s="376" t="s">
        <v>1950</v>
      </c>
    </row>
    <row r="399" spans="1:11" ht="15.75" hidden="1">
      <c r="A399" s="393">
        <v>44289</v>
      </c>
      <c r="B399" s="381" t="s">
        <v>2060</v>
      </c>
      <c r="C399" s="381" t="s">
        <v>2376</v>
      </c>
      <c r="D399" s="381" t="s">
        <v>2072</v>
      </c>
      <c r="E399" s="382">
        <v>400000</v>
      </c>
      <c r="F399" s="383" t="s">
        <v>2235</v>
      </c>
      <c r="G399" s="383"/>
      <c r="H399" s="381" t="s">
        <v>1644</v>
      </c>
      <c r="I399" s="381" t="s">
        <v>1644</v>
      </c>
      <c r="J399" s="381">
        <v>1</v>
      </c>
      <c r="K399" s="381" t="s">
        <v>100</v>
      </c>
    </row>
    <row r="400" spans="1:11" ht="15.75" hidden="1">
      <c r="A400" s="393">
        <v>44289</v>
      </c>
      <c r="B400" s="381" t="s">
        <v>2182</v>
      </c>
      <c r="C400" s="381" t="s">
        <v>2377</v>
      </c>
      <c r="D400" s="381" t="s">
        <v>2072</v>
      </c>
      <c r="E400" s="382">
        <v>1250000</v>
      </c>
      <c r="F400" s="383" t="s">
        <v>2292</v>
      </c>
      <c r="G400" s="383"/>
      <c r="H400" s="381" t="s">
        <v>1644</v>
      </c>
      <c r="I400" s="381" t="s">
        <v>1644</v>
      </c>
      <c r="J400" s="381">
        <v>1</v>
      </c>
      <c r="K400" s="381" t="s">
        <v>234</v>
      </c>
    </row>
    <row r="401" spans="1:11" ht="15.75" hidden="1">
      <c r="A401" s="393">
        <v>44350</v>
      </c>
      <c r="B401" s="381" t="s">
        <v>2060</v>
      </c>
      <c r="C401" s="381" t="s">
        <v>2378</v>
      </c>
      <c r="D401" s="381" t="s">
        <v>2072</v>
      </c>
      <c r="E401" s="382">
        <v>800000</v>
      </c>
      <c r="F401" s="383" t="s">
        <v>2235</v>
      </c>
      <c r="G401" s="383"/>
      <c r="H401" s="381" t="s">
        <v>1644</v>
      </c>
      <c r="I401" s="381" t="s">
        <v>1644</v>
      </c>
      <c r="J401" s="381">
        <v>1</v>
      </c>
      <c r="K401" s="381" t="s">
        <v>100</v>
      </c>
    </row>
    <row r="402" spans="1:11" ht="15.75" hidden="1">
      <c r="A402" s="393">
        <v>44350</v>
      </c>
      <c r="B402" s="381" t="s">
        <v>2182</v>
      </c>
      <c r="C402" s="381" t="s">
        <v>2379</v>
      </c>
      <c r="D402" s="381" t="s">
        <v>2380</v>
      </c>
      <c r="E402" s="382">
        <v>650000</v>
      </c>
      <c r="F402" s="383" t="s">
        <v>2235</v>
      </c>
      <c r="G402" s="383"/>
      <c r="H402" s="381" t="s">
        <v>1644</v>
      </c>
      <c r="I402" s="381" t="s">
        <v>1644</v>
      </c>
      <c r="J402" s="381">
        <v>1</v>
      </c>
      <c r="K402" s="381" t="s">
        <v>100</v>
      </c>
    </row>
    <row r="403" spans="1:11" ht="15.75" hidden="1">
      <c r="A403" s="393">
        <v>44472</v>
      </c>
      <c r="B403" s="381" t="s">
        <v>2182</v>
      </c>
      <c r="C403" s="381" t="s">
        <v>2381</v>
      </c>
      <c r="D403" s="381" t="s">
        <v>2382</v>
      </c>
      <c r="E403" s="382">
        <v>700000</v>
      </c>
      <c r="F403" s="383" t="s">
        <v>2235</v>
      </c>
      <c r="G403" s="383"/>
      <c r="H403" s="381" t="s">
        <v>1644</v>
      </c>
      <c r="I403" s="381" t="s">
        <v>1644</v>
      </c>
      <c r="J403" s="381">
        <v>1</v>
      </c>
      <c r="K403" s="381" t="s">
        <v>100</v>
      </c>
    </row>
    <row r="404" spans="1:11" ht="15.75" hidden="1">
      <c r="A404" s="380" t="s">
        <v>2358</v>
      </c>
      <c r="B404" s="381" t="s">
        <v>2182</v>
      </c>
      <c r="C404" s="381" t="s">
        <v>2383</v>
      </c>
      <c r="D404" s="381" t="s">
        <v>76</v>
      </c>
      <c r="E404" s="382">
        <v>700000</v>
      </c>
      <c r="F404" s="383" t="s">
        <v>2292</v>
      </c>
      <c r="G404" s="383"/>
      <c r="H404" s="381" t="s">
        <v>1644</v>
      </c>
      <c r="I404" s="381" t="s">
        <v>1644</v>
      </c>
      <c r="J404" s="381">
        <v>1</v>
      </c>
      <c r="K404" s="381" t="s">
        <v>234</v>
      </c>
    </row>
    <row r="405" spans="1:11" ht="15.75" hidden="1">
      <c r="A405" s="380" t="s">
        <v>2358</v>
      </c>
      <c r="B405" s="381" t="s">
        <v>2182</v>
      </c>
      <c r="C405" s="381" t="s">
        <v>2384</v>
      </c>
      <c r="D405" s="381" t="s">
        <v>76</v>
      </c>
      <c r="E405" s="382">
        <v>700000</v>
      </c>
      <c r="F405" s="383" t="s">
        <v>2292</v>
      </c>
      <c r="G405" s="383"/>
      <c r="H405" s="381" t="s">
        <v>1644</v>
      </c>
      <c r="I405" s="381" t="s">
        <v>1644</v>
      </c>
      <c r="J405" s="381">
        <v>1</v>
      </c>
      <c r="K405" s="381" t="s">
        <v>100</v>
      </c>
    </row>
    <row r="406" spans="1:11" ht="15.75" hidden="1">
      <c r="A406" s="380"/>
      <c r="B406" s="381"/>
      <c r="C406" s="381"/>
      <c r="D406" s="381"/>
      <c r="E406" s="382"/>
      <c r="F406" s="383"/>
      <c r="G406" s="383"/>
      <c r="H406" s="381"/>
      <c r="I406" s="381"/>
      <c r="J406" s="381"/>
      <c r="K406" s="381"/>
    </row>
    <row r="407" spans="1:11" ht="15.75" hidden="1">
      <c r="A407" s="380"/>
      <c r="B407" s="381"/>
      <c r="C407" s="381"/>
      <c r="D407" s="381"/>
      <c r="E407" s="382"/>
      <c r="F407" s="383"/>
      <c r="G407" s="383"/>
      <c r="H407" s="381"/>
      <c r="I407" s="381"/>
      <c r="J407" s="381"/>
      <c r="K407" s="381"/>
    </row>
    <row r="408" spans="1:11" ht="15.75" hidden="1">
      <c r="A408" s="429">
        <v>44350</v>
      </c>
      <c r="B408" s="430" t="s">
        <v>2182</v>
      </c>
      <c r="C408" s="430" t="s">
        <v>2379</v>
      </c>
      <c r="D408" s="430" t="s">
        <v>2380</v>
      </c>
      <c r="E408" s="431">
        <v>95000000</v>
      </c>
      <c r="F408" s="432" t="s">
        <v>2235</v>
      </c>
      <c r="G408" s="432"/>
      <c r="H408" s="430" t="s">
        <v>1644</v>
      </c>
      <c r="I408" s="430" t="s">
        <v>1644</v>
      </c>
      <c r="J408" s="430"/>
      <c r="K408" s="430" t="s">
        <v>2246</v>
      </c>
    </row>
    <row r="409" spans="1:11" ht="15.75" hidden="1">
      <c r="A409" s="441" t="s">
        <v>2331</v>
      </c>
      <c r="B409" s="430" t="s">
        <v>2182</v>
      </c>
      <c r="C409" s="430" t="s">
        <v>2385</v>
      </c>
      <c r="D409" s="430" t="s">
        <v>75</v>
      </c>
      <c r="E409" s="431">
        <v>300000000</v>
      </c>
      <c r="F409" s="432" t="s">
        <v>1968</v>
      </c>
      <c r="G409" s="432"/>
      <c r="H409" s="430" t="s">
        <v>1625</v>
      </c>
      <c r="I409" s="430" t="s">
        <v>1644</v>
      </c>
      <c r="J409" s="430"/>
      <c r="K409" s="430" t="s">
        <v>2246</v>
      </c>
    </row>
    <row r="410" spans="1:11" ht="15.75" hidden="1">
      <c r="A410" s="442"/>
      <c r="B410" s="434"/>
      <c r="C410" s="434"/>
      <c r="D410" s="434"/>
      <c r="E410" s="435"/>
      <c r="F410" s="436"/>
      <c r="G410" s="436"/>
      <c r="H410" s="434"/>
      <c r="I410" s="434"/>
      <c r="J410" s="434"/>
      <c r="K410" s="434"/>
    </row>
    <row r="411" spans="1:11" ht="15.75" hidden="1">
      <c r="A411" s="393"/>
      <c r="B411" s="381"/>
      <c r="C411" s="381"/>
      <c r="D411" s="381"/>
      <c r="E411" s="382"/>
      <c r="F411" s="383"/>
      <c r="G411" s="383"/>
      <c r="H411" s="381"/>
      <c r="I411" s="381"/>
      <c r="J411" s="381">
        <f>SUM(J399:J410)</f>
        <v>7</v>
      </c>
      <c r="K411" s="381"/>
    </row>
    <row r="412" spans="1:11" ht="15.75" hidden="1">
      <c r="A412" s="394"/>
      <c r="B412" s="395"/>
      <c r="C412" s="395"/>
      <c r="D412" s="395"/>
      <c r="E412" s="396"/>
      <c r="F412" s="397"/>
      <c r="G412" s="397"/>
      <c r="H412" s="395"/>
      <c r="I412" s="395"/>
      <c r="J412" s="395"/>
      <c r="K412" s="395"/>
    </row>
    <row r="413" spans="1:11" ht="15.75" hidden="1">
      <c r="A413" s="1678" t="s">
        <v>2386</v>
      </c>
      <c r="B413" s="1678"/>
      <c r="C413" s="1678"/>
      <c r="D413" s="1678"/>
      <c r="E413" s="1678"/>
      <c r="F413" s="1678"/>
      <c r="G413" s="1678"/>
      <c r="H413" s="1678"/>
      <c r="I413" s="1678"/>
      <c r="J413" s="1678"/>
      <c r="K413" s="1678"/>
    </row>
    <row r="414" spans="1:11" ht="31.5" hidden="1">
      <c r="A414" s="375" t="s">
        <v>1941</v>
      </c>
      <c r="B414" s="376" t="s">
        <v>1942</v>
      </c>
      <c r="C414" s="376" t="s">
        <v>1943</v>
      </c>
      <c r="D414" s="376" t="s">
        <v>1944</v>
      </c>
      <c r="E414" s="377" t="s">
        <v>1945</v>
      </c>
      <c r="F414" s="378" t="s">
        <v>1946</v>
      </c>
      <c r="G414" s="378"/>
      <c r="H414" s="376" t="s">
        <v>1947</v>
      </c>
      <c r="I414" s="376" t="s">
        <v>1948</v>
      </c>
      <c r="J414" s="379" t="s">
        <v>1949</v>
      </c>
      <c r="K414" s="376" t="s">
        <v>1950</v>
      </c>
    </row>
    <row r="415" spans="1:11" ht="15.75" hidden="1">
      <c r="A415" s="380" t="s">
        <v>2358</v>
      </c>
      <c r="B415" s="381" t="s">
        <v>2182</v>
      </c>
      <c r="C415" s="381" t="s">
        <v>2387</v>
      </c>
      <c r="D415" s="381" t="s">
        <v>2237</v>
      </c>
      <c r="E415" s="382">
        <v>870000</v>
      </c>
      <c r="F415" s="383" t="s">
        <v>2235</v>
      </c>
      <c r="G415" s="383"/>
      <c r="H415" s="381" t="s">
        <v>1644</v>
      </c>
      <c r="I415" s="381" t="s">
        <v>1644</v>
      </c>
      <c r="J415" s="381">
        <v>1</v>
      </c>
      <c r="K415" s="381" t="s">
        <v>100</v>
      </c>
    </row>
    <row r="416" spans="1:11" ht="14.25" hidden="1" customHeight="1">
      <c r="A416" s="380"/>
      <c r="B416" s="381"/>
      <c r="C416" s="381"/>
      <c r="D416" s="381"/>
      <c r="E416" s="382"/>
      <c r="F416" s="383"/>
      <c r="G416" s="383"/>
      <c r="H416" s="381"/>
      <c r="I416" s="381"/>
      <c r="J416" s="381"/>
      <c r="K416" s="381" t="s">
        <v>2388</v>
      </c>
    </row>
    <row r="417" spans="1:11" ht="15.75" hidden="1">
      <c r="A417" s="393"/>
      <c r="B417" s="381"/>
      <c r="C417" s="381"/>
      <c r="D417" s="381"/>
      <c r="E417" s="382"/>
      <c r="F417" s="383"/>
      <c r="G417" s="383"/>
      <c r="H417" s="381"/>
      <c r="I417" s="381"/>
      <c r="J417" s="381">
        <f>SUM(J415:J416)</f>
        <v>1</v>
      </c>
      <c r="K417" s="381"/>
    </row>
    <row r="418" spans="1:11" ht="15.75">
      <c r="A418" s="394"/>
      <c r="B418" s="395"/>
      <c r="C418" s="395"/>
      <c r="D418" s="395"/>
      <c r="E418" s="396"/>
      <c r="F418" s="397"/>
      <c r="G418" s="397"/>
      <c r="H418" s="395"/>
      <c r="I418" s="395"/>
      <c r="J418" s="395"/>
      <c r="K418" s="395"/>
    </row>
    <row r="419" spans="1:11">
      <c r="A419" s="1665" t="s">
        <v>2389</v>
      </c>
      <c r="B419" s="1665"/>
      <c r="C419" s="1665"/>
      <c r="D419" s="1665"/>
      <c r="E419" s="1665"/>
      <c r="F419" s="1665"/>
      <c r="G419" s="1665"/>
      <c r="H419" s="1665"/>
      <c r="I419" s="1665"/>
      <c r="J419" s="1665"/>
      <c r="K419" s="1665"/>
    </row>
    <row r="420" spans="1:11">
      <c r="A420" s="1665"/>
      <c r="B420" s="1665"/>
      <c r="C420" s="1665"/>
      <c r="D420" s="1665"/>
      <c r="E420" s="1665"/>
      <c r="F420" s="1665"/>
      <c r="G420" s="1665"/>
      <c r="H420" s="1665"/>
      <c r="I420" s="1665"/>
      <c r="J420" s="1665"/>
      <c r="K420" s="1665"/>
    </row>
    <row r="421" spans="1:11" ht="32.25" hidden="1" customHeight="1">
      <c r="A421" s="1667" t="s">
        <v>2390</v>
      </c>
      <c r="B421" s="1667"/>
      <c r="C421" s="1667"/>
      <c r="D421" s="1667"/>
      <c r="E421" s="1667"/>
      <c r="F421" s="1667"/>
      <c r="G421" s="1667"/>
      <c r="H421" s="1667"/>
      <c r="I421" s="1667"/>
      <c r="J421" s="1667"/>
      <c r="K421" s="1667"/>
    </row>
    <row r="422" spans="1:11" ht="31.5" hidden="1">
      <c r="A422" s="375" t="s">
        <v>1941</v>
      </c>
      <c r="B422" s="376" t="s">
        <v>1942</v>
      </c>
      <c r="C422" s="376" t="s">
        <v>1943</v>
      </c>
      <c r="D422" s="376" t="s">
        <v>1944</v>
      </c>
      <c r="E422" s="377" t="s">
        <v>1945</v>
      </c>
      <c r="F422" s="378" t="s">
        <v>1946</v>
      </c>
      <c r="G422" s="378"/>
      <c r="H422" s="376" t="s">
        <v>1947</v>
      </c>
      <c r="I422" s="376" t="s">
        <v>1948</v>
      </c>
      <c r="J422" s="379" t="s">
        <v>1949</v>
      </c>
      <c r="K422" s="376" t="s">
        <v>1950</v>
      </c>
    </row>
    <row r="423" spans="1:11" ht="15.75" hidden="1">
      <c r="A423" s="425" t="s">
        <v>2340</v>
      </c>
      <c r="B423" s="385" t="s">
        <v>2182</v>
      </c>
      <c r="C423" s="385" t="s">
        <v>2391</v>
      </c>
      <c r="D423" s="385" t="s">
        <v>76</v>
      </c>
      <c r="E423" s="386">
        <v>1250000</v>
      </c>
      <c r="F423" s="387" t="s">
        <v>2235</v>
      </c>
      <c r="G423" s="387"/>
      <c r="H423" s="385" t="s">
        <v>1644</v>
      </c>
      <c r="I423" s="385" t="s">
        <v>1644</v>
      </c>
      <c r="J423" s="385">
        <v>1</v>
      </c>
      <c r="K423" s="385" t="s">
        <v>234</v>
      </c>
    </row>
    <row r="424" spans="1:11" ht="15.75" hidden="1">
      <c r="A424" s="443">
        <v>44320</v>
      </c>
      <c r="B424" s="381" t="s">
        <v>1966</v>
      </c>
      <c r="C424" s="381" t="s">
        <v>2392</v>
      </c>
      <c r="D424" s="381" t="s">
        <v>2072</v>
      </c>
      <c r="E424" s="382">
        <v>850000</v>
      </c>
      <c r="F424" s="383" t="s">
        <v>2235</v>
      </c>
      <c r="G424" s="383"/>
      <c r="H424" s="381" t="s">
        <v>1644</v>
      </c>
      <c r="I424" s="381" t="s">
        <v>1644</v>
      </c>
      <c r="J424" s="381">
        <v>1</v>
      </c>
      <c r="K424" s="381" t="s">
        <v>234</v>
      </c>
    </row>
    <row r="425" spans="1:11" ht="15.75" hidden="1">
      <c r="A425" s="412">
        <v>44351</v>
      </c>
      <c r="B425" s="411" t="s">
        <v>2182</v>
      </c>
      <c r="C425" s="381" t="s">
        <v>232</v>
      </c>
      <c r="D425" s="381" t="s">
        <v>2237</v>
      </c>
      <c r="E425" s="382">
        <v>700000</v>
      </c>
      <c r="F425" s="383" t="s">
        <v>2235</v>
      </c>
      <c r="G425" s="383"/>
      <c r="H425" s="381" t="s">
        <v>1644</v>
      </c>
      <c r="I425" s="381" t="s">
        <v>1644</v>
      </c>
      <c r="J425" s="381">
        <v>1</v>
      </c>
      <c r="K425" s="381" t="s">
        <v>234</v>
      </c>
    </row>
    <row r="426" spans="1:11" ht="15.75" hidden="1">
      <c r="A426" s="412">
        <v>44381</v>
      </c>
      <c r="B426" s="411" t="s">
        <v>2182</v>
      </c>
      <c r="C426" s="381" t="s">
        <v>2393</v>
      </c>
      <c r="D426" s="381" t="s">
        <v>2394</v>
      </c>
      <c r="E426" s="382">
        <v>950000</v>
      </c>
      <c r="F426" s="383" t="s">
        <v>2292</v>
      </c>
      <c r="G426" s="383"/>
      <c r="H426" s="381" t="s">
        <v>1644</v>
      </c>
      <c r="I426" s="381" t="s">
        <v>1644</v>
      </c>
      <c r="J426" s="381">
        <v>1</v>
      </c>
      <c r="K426" s="381" t="s">
        <v>100</v>
      </c>
    </row>
    <row r="427" spans="1:11" ht="15.75" hidden="1">
      <c r="A427" s="412">
        <v>44381</v>
      </c>
      <c r="B427" s="411" t="s">
        <v>2060</v>
      </c>
      <c r="C427" s="381" t="s">
        <v>2395</v>
      </c>
      <c r="D427" s="381" t="s">
        <v>74</v>
      </c>
      <c r="E427" s="382">
        <v>800000</v>
      </c>
      <c r="F427" s="383" t="s">
        <v>2235</v>
      </c>
      <c r="G427" s="383"/>
      <c r="H427" s="381" t="s">
        <v>2161</v>
      </c>
      <c r="I427" s="381" t="s">
        <v>1644</v>
      </c>
      <c r="J427" s="381">
        <v>1</v>
      </c>
      <c r="K427" s="381" t="s">
        <v>234</v>
      </c>
    </row>
    <row r="428" spans="1:11" ht="15.75" hidden="1">
      <c r="A428" s="412">
        <v>44381</v>
      </c>
      <c r="B428" s="411" t="s">
        <v>2182</v>
      </c>
      <c r="C428" s="381" t="s">
        <v>240</v>
      </c>
      <c r="D428" s="381" t="s">
        <v>76</v>
      </c>
      <c r="E428" s="382">
        <v>1100000</v>
      </c>
      <c r="F428" s="383" t="s">
        <v>2306</v>
      </c>
      <c r="G428" s="383"/>
      <c r="H428" s="381" t="s">
        <v>2161</v>
      </c>
      <c r="I428" s="381" t="s">
        <v>1644</v>
      </c>
      <c r="J428" s="381">
        <v>1</v>
      </c>
      <c r="K428" s="381" t="s">
        <v>100</v>
      </c>
    </row>
    <row r="429" spans="1:11" ht="15.75" hidden="1">
      <c r="A429" s="412">
        <v>44381</v>
      </c>
      <c r="B429" s="411" t="s">
        <v>2182</v>
      </c>
      <c r="C429" s="381" t="s">
        <v>2396</v>
      </c>
      <c r="D429" s="381" t="s">
        <v>76</v>
      </c>
      <c r="E429" s="382">
        <v>1400000</v>
      </c>
      <c r="F429" s="383" t="s">
        <v>2292</v>
      </c>
      <c r="G429" s="504"/>
      <c r="H429" s="413" t="s">
        <v>2161</v>
      </c>
      <c r="I429" s="381" t="s">
        <v>1644</v>
      </c>
      <c r="J429" s="381">
        <v>1</v>
      </c>
      <c r="K429" s="381" t="s">
        <v>234</v>
      </c>
    </row>
    <row r="430" spans="1:11" ht="15.75" hidden="1">
      <c r="A430" s="412" t="s">
        <v>2397</v>
      </c>
      <c r="B430" s="411" t="s">
        <v>2060</v>
      </c>
      <c r="C430" s="381" t="s">
        <v>2398</v>
      </c>
      <c r="D430" s="381" t="s">
        <v>2072</v>
      </c>
      <c r="E430" s="382">
        <v>2500000</v>
      </c>
      <c r="F430" s="383" t="s">
        <v>2235</v>
      </c>
      <c r="G430" s="383"/>
      <c r="H430" s="381" t="s">
        <v>2161</v>
      </c>
      <c r="I430" s="381" t="s">
        <v>1644</v>
      </c>
      <c r="J430" s="381">
        <v>1</v>
      </c>
      <c r="K430" s="381" t="s">
        <v>100</v>
      </c>
    </row>
    <row r="431" spans="1:11" ht="15.75" hidden="1">
      <c r="A431" s="412" t="s">
        <v>2397</v>
      </c>
      <c r="B431" s="411" t="s">
        <v>2182</v>
      </c>
      <c r="C431" s="381" t="s">
        <v>2399</v>
      </c>
      <c r="D431" s="381" t="s">
        <v>76</v>
      </c>
      <c r="E431" s="382">
        <v>1350000</v>
      </c>
      <c r="F431" s="383" t="s">
        <v>2292</v>
      </c>
      <c r="G431" s="383"/>
      <c r="H431" s="381" t="s">
        <v>1644</v>
      </c>
      <c r="I431" s="381" t="s">
        <v>1644</v>
      </c>
      <c r="J431" s="381">
        <v>1</v>
      </c>
      <c r="K431" s="381" t="s">
        <v>100</v>
      </c>
    </row>
    <row r="432" spans="1:11" ht="15.75" hidden="1">
      <c r="A432" s="412" t="s">
        <v>2397</v>
      </c>
      <c r="B432" s="411" t="s">
        <v>2182</v>
      </c>
      <c r="C432" s="381" t="s">
        <v>2400</v>
      </c>
      <c r="D432" s="381" t="s">
        <v>2401</v>
      </c>
      <c r="E432" s="382">
        <v>1200000</v>
      </c>
      <c r="F432" s="383" t="s">
        <v>2235</v>
      </c>
      <c r="G432" s="383"/>
      <c r="H432" s="381" t="s">
        <v>2161</v>
      </c>
      <c r="I432" s="381" t="s">
        <v>1644</v>
      </c>
      <c r="J432" s="381">
        <v>1</v>
      </c>
      <c r="K432" s="381" t="s">
        <v>100</v>
      </c>
    </row>
    <row r="433" spans="1:11" ht="15.75" hidden="1">
      <c r="A433" s="412" t="s">
        <v>2402</v>
      </c>
      <c r="B433" s="411" t="s">
        <v>2182</v>
      </c>
      <c r="C433" s="381" t="s">
        <v>2403</v>
      </c>
      <c r="D433" s="381" t="s">
        <v>76</v>
      </c>
      <c r="E433" s="382">
        <v>900000</v>
      </c>
      <c r="F433" s="383" t="s">
        <v>2292</v>
      </c>
      <c r="G433" s="383"/>
      <c r="H433" s="381" t="s">
        <v>2161</v>
      </c>
      <c r="I433" s="381" t="s">
        <v>1644</v>
      </c>
      <c r="J433" s="381">
        <v>1</v>
      </c>
      <c r="K433" s="381" t="s">
        <v>234</v>
      </c>
    </row>
    <row r="434" spans="1:11" ht="15.75" hidden="1">
      <c r="A434" s="380" t="s">
        <v>2402</v>
      </c>
      <c r="B434" s="381" t="s">
        <v>2182</v>
      </c>
      <c r="C434" s="381" t="s">
        <v>2404</v>
      </c>
      <c r="D434" s="381" t="s">
        <v>76</v>
      </c>
      <c r="E434" s="382">
        <v>1100000</v>
      </c>
      <c r="F434" s="383" t="s">
        <v>2292</v>
      </c>
      <c r="G434" s="383"/>
      <c r="H434" s="381" t="s">
        <v>1644</v>
      </c>
      <c r="I434" s="381" t="s">
        <v>1644</v>
      </c>
      <c r="J434" s="381">
        <v>1</v>
      </c>
      <c r="K434" s="381" t="s">
        <v>234</v>
      </c>
    </row>
    <row r="435" spans="1:11" ht="15.75" hidden="1">
      <c r="A435" s="380" t="s">
        <v>2402</v>
      </c>
      <c r="B435" s="381" t="s">
        <v>2182</v>
      </c>
      <c r="C435" s="381" t="s">
        <v>2405</v>
      </c>
      <c r="D435" s="381" t="s">
        <v>76</v>
      </c>
      <c r="E435" s="382">
        <v>1300000</v>
      </c>
      <c r="F435" s="383" t="s">
        <v>2235</v>
      </c>
      <c r="G435" s="383"/>
      <c r="H435" s="381" t="s">
        <v>1644</v>
      </c>
      <c r="I435" s="381" t="s">
        <v>1644</v>
      </c>
      <c r="J435" s="381">
        <v>1</v>
      </c>
      <c r="K435" s="381" t="s">
        <v>100</v>
      </c>
    </row>
    <row r="436" spans="1:11" ht="15.75" hidden="1">
      <c r="A436" s="380" t="s">
        <v>2406</v>
      </c>
      <c r="B436" s="381" t="s">
        <v>2182</v>
      </c>
      <c r="C436" s="385" t="s">
        <v>2407</v>
      </c>
      <c r="D436" s="385" t="s">
        <v>76</v>
      </c>
      <c r="E436" s="386">
        <v>5200000</v>
      </c>
      <c r="F436" s="387" t="s">
        <v>2235</v>
      </c>
      <c r="G436" s="387"/>
      <c r="H436" s="385" t="s">
        <v>2161</v>
      </c>
      <c r="I436" s="385" t="s">
        <v>1644</v>
      </c>
      <c r="J436" s="385">
        <v>1</v>
      </c>
      <c r="K436" s="385" t="s">
        <v>100</v>
      </c>
    </row>
    <row r="437" spans="1:11" ht="15.75" hidden="1">
      <c r="A437" s="380" t="s">
        <v>2408</v>
      </c>
      <c r="B437" s="381" t="s">
        <v>2182</v>
      </c>
      <c r="C437" s="385" t="s">
        <v>2409</v>
      </c>
      <c r="D437" s="385" t="s">
        <v>76</v>
      </c>
      <c r="E437" s="386">
        <v>950000</v>
      </c>
      <c r="F437" s="387" t="s">
        <v>2235</v>
      </c>
      <c r="G437" s="387"/>
      <c r="H437" s="385" t="s">
        <v>1644</v>
      </c>
      <c r="I437" s="385" t="s">
        <v>1644</v>
      </c>
      <c r="J437" s="385">
        <v>1</v>
      </c>
      <c r="K437" s="385" t="s">
        <v>100</v>
      </c>
    </row>
    <row r="438" spans="1:11" ht="15.75" hidden="1">
      <c r="A438" s="384" t="s">
        <v>2410</v>
      </c>
      <c r="B438" s="385" t="s">
        <v>2182</v>
      </c>
      <c r="C438" s="381" t="s">
        <v>2411</v>
      </c>
      <c r="D438" s="385" t="s">
        <v>76</v>
      </c>
      <c r="E438" s="386">
        <v>1100000</v>
      </c>
      <c r="F438" s="387" t="s">
        <v>2292</v>
      </c>
      <c r="G438" s="387"/>
      <c r="H438" s="385" t="s">
        <v>2161</v>
      </c>
      <c r="I438" s="385" t="s">
        <v>1644</v>
      </c>
      <c r="J438" s="385">
        <v>1</v>
      </c>
      <c r="K438" s="385" t="s">
        <v>100</v>
      </c>
    </row>
    <row r="439" spans="1:11" ht="15.75" hidden="1">
      <c r="A439" s="384" t="s">
        <v>2410</v>
      </c>
      <c r="B439" s="385" t="s">
        <v>2182</v>
      </c>
      <c r="C439" s="385" t="s">
        <v>2412</v>
      </c>
      <c r="D439" s="385" t="s">
        <v>76</v>
      </c>
      <c r="E439" s="386">
        <v>900000</v>
      </c>
      <c r="F439" s="387" t="s">
        <v>2292</v>
      </c>
      <c r="G439" s="387"/>
      <c r="H439" s="385" t="s">
        <v>1644</v>
      </c>
      <c r="I439" s="385" t="s">
        <v>1644</v>
      </c>
      <c r="J439" s="385">
        <v>1</v>
      </c>
      <c r="K439" s="385" t="s">
        <v>234</v>
      </c>
    </row>
    <row r="440" spans="1:11" ht="15.75" hidden="1">
      <c r="A440" s="384" t="s">
        <v>2410</v>
      </c>
      <c r="B440" s="385" t="s">
        <v>2182</v>
      </c>
      <c r="C440" s="385" t="s">
        <v>230</v>
      </c>
      <c r="D440" s="385" t="s">
        <v>76</v>
      </c>
      <c r="E440" s="386">
        <v>1200000</v>
      </c>
      <c r="F440" s="387" t="s">
        <v>2292</v>
      </c>
      <c r="G440" s="387"/>
      <c r="H440" s="385" t="s">
        <v>1644</v>
      </c>
      <c r="I440" s="385" t="s">
        <v>1644</v>
      </c>
      <c r="J440" s="385">
        <v>1</v>
      </c>
      <c r="K440" s="385" t="s">
        <v>100</v>
      </c>
    </row>
    <row r="441" spans="1:11" ht="15.75" hidden="1">
      <c r="A441" s="384" t="s">
        <v>2410</v>
      </c>
      <c r="B441" s="385" t="s">
        <v>2182</v>
      </c>
      <c r="C441" s="385" t="s">
        <v>2413</v>
      </c>
      <c r="D441" s="385" t="s">
        <v>2072</v>
      </c>
      <c r="E441" s="386">
        <v>900000</v>
      </c>
      <c r="F441" s="387" t="s">
        <v>1968</v>
      </c>
      <c r="G441" s="387"/>
      <c r="H441" s="385" t="s">
        <v>1644</v>
      </c>
      <c r="I441" s="385" t="s">
        <v>1644</v>
      </c>
      <c r="J441" s="385">
        <v>1</v>
      </c>
      <c r="K441" s="385" t="s">
        <v>234</v>
      </c>
    </row>
    <row r="442" spans="1:11" ht="15.75" hidden="1">
      <c r="A442" s="384" t="s">
        <v>2410</v>
      </c>
      <c r="B442" s="385" t="s">
        <v>2182</v>
      </c>
      <c r="C442" s="385" t="s">
        <v>2414</v>
      </c>
      <c r="D442" s="385" t="s">
        <v>76</v>
      </c>
      <c r="E442" s="386">
        <v>1250000</v>
      </c>
      <c r="F442" s="387" t="s">
        <v>2292</v>
      </c>
      <c r="G442" s="387"/>
      <c r="H442" s="385" t="s">
        <v>2161</v>
      </c>
      <c r="I442" s="385" t="s">
        <v>1644</v>
      </c>
      <c r="J442" s="385">
        <v>1</v>
      </c>
      <c r="K442" s="385" t="s">
        <v>100</v>
      </c>
    </row>
    <row r="443" spans="1:11" ht="15.75" hidden="1">
      <c r="A443" s="414" t="s">
        <v>2415</v>
      </c>
      <c r="B443" s="402" t="s">
        <v>2182</v>
      </c>
      <c r="C443" s="402" t="s">
        <v>2416</v>
      </c>
      <c r="D443" s="402" t="s">
        <v>75</v>
      </c>
      <c r="E443" s="444">
        <v>360000000</v>
      </c>
      <c r="F443" s="404" t="s">
        <v>2290</v>
      </c>
      <c r="G443" s="404"/>
      <c r="H443" s="402" t="s">
        <v>2161</v>
      </c>
      <c r="I443" s="402" t="s">
        <v>1644</v>
      </c>
      <c r="J443" s="402"/>
      <c r="K443" s="402" t="s">
        <v>2246</v>
      </c>
    </row>
    <row r="444" spans="1:11" ht="15.75" hidden="1">
      <c r="A444" s="414">
        <v>44351</v>
      </c>
      <c r="B444" s="402" t="s">
        <v>2182</v>
      </c>
      <c r="C444" s="402" t="s">
        <v>2417</v>
      </c>
      <c r="D444" s="402" t="s">
        <v>76</v>
      </c>
      <c r="E444" s="444">
        <v>240000000</v>
      </c>
      <c r="F444" s="404" t="s">
        <v>2292</v>
      </c>
      <c r="G444" s="404"/>
      <c r="H444" s="402" t="s">
        <v>2161</v>
      </c>
      <c r="I444" s="402" t="s">
        <v>1644</v>
      </c>
      <c r="J444" s="402"/>
      <c r="K444" s="402" t="s">
        <v>2246</v>
      </c>
    </row>
    <row r="445" spans="1:11" ht="15.75" hidden="1">
      <c r="A445" s="414">
        <v>44351</v>
      </c>
      <c r="B445" s="402" t="s">
        <v>2182</v>
      </c>
      <c r="C445" s="402" t="s">
        <v>2418</v>
      </c>
      <c r="D445" s="402" t="s">
        <v>2032</v>
      </c>
      <c r="E445" s="444">
        <v>110000000</v>
      </c>
      <c r="F445" s="404" t="s">
        <v>1968</v>
      </c>
      <c r="G445" s="404"/>
      <c r="H445" s="402" t="s">
        <v>2161</v>
      </c>
      <c r="I445" s="402" t="s">
        <v>1644</v>
      </c>
      <c r="J445" s="402"/>
      <c r="K445" s="402" t="s">
        <v>2246</v>
      </c>
    </row>
    <row r="446" spans="1:11" ht="15.75" hidden="1">
      <c r="A446" s="415" t="s">
        <v>2397</v>
      </c>
      <c r="B446" s="416" t="s">
        <v>2182</v>
      </c>
      <c r="C446" s="416" t="s">
        <v>2419</v>
      </c>
      <c r="D446" s="416" t="s">
        <v>76</v>
      </c>
      <c r="E446" s="417">
        <v>248000000</v>
      </c>
      <c r="F446" s="418" t="s">
        <v>2292</v>
      </c>
      <c r="G446" s="418"/>
      <c r="H446" s="416" t="s">
        <v>2161</v>
      </c>
      <c r="I446" s="416" t="s">
        <v>1644</v>
      </c>
      <c r="J446" s="416"/>
      <c r="K446" s="416" t="s">
        <v>2246</v>
      </c>
    </row>
    <row r="447" spans="1:11" ht="15.75" hidden="1">
      <c r="A447" s="415" t="s">
        <v>2402</v>
      </c>
      <c r="B447" s="416" t="s">
        <v>2182</v>
      </c>
      <c r="C447" s="416" t="s">
        <v>2420</v>
      </c>
      <c r="D447" s="416" t="s">
        <v>2401</v>
      </c>
      <c r="E447" s="417">
        <v>220000000</v>
      </c>
      <c r="F447" s="418" t="s">
        <v>2292</v>
      </c>
      <c r="G447" s="418"/>
      <c r="H447" s="416" t="s">
        <v>2161</v>
      </c>
      <c r="I447" s="416" t="s">
        <v>1644</v>
      </c>
      <c r="J447" s="416"/>
      <c r="K447" s="416" t="s">
        <v>2246</v>
      </c>
    </row>
    <row r="448" spans="1:11" ht="15.75" hidden="1">
      <c r="A448" s="415" t="s">
        <v>2408</v>
      </c>
      <c r="B448" s="416" t="s">
        <v>2182</v>
      </c>
      <c r="C448" s="416" t="s">
        <v>2421</v>
      </c>
      <c r="D448" s="416" t="s">
        <v>1489</v>
      </c>
      <c r="E448" s="417">
        <v>385000000</v>
      </c>
      <c r="F448" s="418" t="s">
        <v>2292</v>
      </c>
      <c r="G448" s="418"/>
      <c r="H448" s="416" t="s">
        <v>2161</v>
      </c>
      <c r="I448" s="416" t="s">
        <v>1644</v>
      </c>
      <c r="J448" s="416"/>
      <c r="K448" s="416" t="s">
        <v>2246</v>
      </c>
    </row>
    <row r="449" spans="1:11" ht="15.75" hidden="1">
      <c r="A449" s="415" t="s">
        <v>2408</v>
      </c>
      <c r="B449" s="416" t="s">
        <v>2182</v>
      </c>
      <c r="C449" s="416" t="s">
        <v>2422</v>
      </c>
      <c r="D449" s="416" t="s">
        <v>2072</v>
      </c>
      <c r="E449" s="417">
        <v>237000000</v>
      </c>
      <c r="F449" s="418" t="s">
        <v>2292</v>
      </c>
      <c r="G449" s="418"/>
      <c r="H449" s="416" t="s">
        <v>2161</v>
      </c>
      <c r="I449" s="416" t="s">
        <v>1644</v>
      </c>
      <c r="J449" s="416"/>
      <c r="K449" s="416" t="s">
        <v>2246</v>
      </c>
    </row>
    <row r="450" spans="1:11" ht="15.75" hidden="1">
      <c r="A450" s="415" t="s">
        <v>2408</v>
      </c>
      <c r="B450" s="416" t="s">
        <v>2182</v>
      </c>
      <c r="C450" s="416" t="s">
        <v>2423</v>
      </c>
      <c r="D450" s="416" t="s">
        <v>1489</v>
      </c>
      <c r="E450" s="417">
        <v>385000000</v>
      </c>
      <c r="F450" s="418" t="s">
        <v>2292</v>
      </c>
      <c r="G450" s="418"/>
      <c r="H450" s="416" t="s">
        <v>2161</v>
      </c>
      <c r="I450" s="416" t="s">
        <v>1644</v>
      </c>
      <c r="J450" s="416"/>
      <c r="K450" s="416" t="s">
        <v>2246</v>
      </c>
    </row>
    <row r="451" spans="1:11" ht="15.75" hidden="1">
      <c r="A451" s="415" t="s">
        <v>2408</v>
      </c>
      <c r="B451" s="416" t="s">
        <v>2182</v>
      </c>
      <c r="C451" s="416" t="s">
        <v>2424</v>
      </c>
      <c r="D451" s="416" t="s">
        <v>76</v>
      </c>
      <c r="E451" s="417">
        <v>197000000</v>
      </c>
      <c r="F451" s="418" t="s">
        <v>2292</v>
      </c>
      <c r="G451" s="418"/>
      <c r="H451" s="416" t="s">
        <v>1644</v>
      </c>
      <c r="I451" s="416" t="s">
        <v>1644</v>
      </c>
      <c r="J451" s="416"/>
      <c r="K451" s="416" t="s">
        <v>2246</v>
      </c>
    </row>
    <row r="452" spans="1:11" ht="15.75" hidden="1">
      <c r="A452" s="419"/>
      <c r="B452" s="420"/>
      <c r="C452" s="420"/>
      <c r="D452" s="420"/>
      <c r="E452" s="421"/>
      <c r="F452" s="422"/>
      <c r="G452" s="422"/>
      <c r="H452" s="420"/>
      <c r="I452" s="420"/>
      <c r="J452" s="420">
        <f>SUM(J423:J443)</f>
        <v>20</v>
      </c>
      <c r="K452" s="420"/>
    </row>
    <row r="453" spans="1:11" ht="15.75" hidden="1">
      <c r="A453" s="394"/>
      <c r="B453" s="395"/>
      <c r="C453" s="395"/>
      <c r="D453" s="395"/>
      <c r="E453" s="396"/>
      <c r="F453" s="397"/>
      <c r="G453" s="397"/>
      <c r="H453" s="395"/>
      <c r="I453" s="395"/>
      <c r="J453" s="395"/>
      <c r="K453" s="395"/>
    </row>
    <row r="454" spans="1:11" ht="15.75" hidden="1">
      <c r="A454" s="1675" t="s">
        <v>2425</v>
      </c>
      <c r="B454" s="1676"/>
      <c r="C454" s="1676"/>
      <c r="D454" s="1676"/>
      <c r="E454" s="1676"/>
      <c r="F454" s="1676"/>
      <c r="G454" s="1676"/>
      <c r="H454" s="1676"/>
      <c r="I454" s="1676"/>
      <c r="J454" s="1676"/>
      <c r="K454" s="1677"/>
    </row>
    <row r="455" spans="1:11" ht="31.5" hidden="1">
      <c r="A455" s="375" t="s">
        <v>1941</v>
      </c>
      <c r="B455" s="376" t="s">
        <v>1942</v>
      </c>
      <c r="C455" s="376" t="s">
        <v>1943</v>
      </c>
      <c r="D455" s="376" t="s">
        <v>1944</v>
      </c>
      <c r="E455" s="377" t="s">
        <v>1945</v>
      </c>
      <c r="F455" s="378" t="s">
        <v>1946</v>
      </c>
      <c r="G455" s="378"/>
      <c r="H455" s="376" t="s">
        <v>1947</v>
      </c>
      <c r="I455" s="376" t="s">
        <v>1948</v>
      </c>
      <c r="J455" s="379" t="s">
        <v>1949</v>
      </c>
      <c r="K455" s="376" t="s">
        <v>1950</v>
      </c>
    </row>
    <row r="456" spans="1:11" ht="15.75" hidden="1">
      <c r="A456" s="380" t="s">
        <v>2426</v>
      </c>
      <c r="B456" s="381" t="s">
        <v>1952</v>
      </c>
      <c r="C456" s="445" t="s">
        <v>2427</v>
      </c>
      <c r="D456" s="381" t="s">
        <v>76</v>
      </c>
      <c r="E456" s="382">
        <v>1300000</v>
      </c>
      <c r="F456" s="383" t="s">
        <v>2292</v>
      </c>
      <c r="G456" s="383"/>
      <c r="H456" s="381" t="s">
        <v>2161</v>
      </c>
      <c r="I456" s="381" t="s">
        <v>1644</v>
      </c>
      <c r="J456" s="381">
        <v>1</v>
      </c>
      <c r="K456" s="381" t="s">
        <v>100</v>
      </c>
    </row>
    <row r="457" spans="1:11" ht="15.75" hidden="1">
      <c r="A457" s="380" t="s">
        <v>2426</v>
      </c>
      <c r="B457" s="381" t="s">
        <v>1952</v>
      </c>
      <c r="C457" s="445" t="s">
        <v>199</v>
      </c>
      <c r="D457" s="381" t="s">
        <v>74</v>
      </c>
      <c r="E457" s="382">
        <v>1400000</v>
      </c>
      <c r="F457" s="446" t="s">
        <v>1968</v>
      </c>
      <c r="G457" s="446"/>
      <c r="H457" s="381" t="s">
        <v>1625</v>
      </c>
      <c r="I457" s="381" t="s">
        <v>1644</v>
      </c>
      <c r="J457" s="381">
        <v>1</v>
      </c>
      <c r="K457" s="381" t="s">
        <v>100</v>
      </c>
    </row>
    <row r="458" spans="1:11" ht="15.75" hidden="1">
      <c r="A458" s="380" t="s">
        <v>2426</v>
      </c>
      <c r="B458" s="381" t="s">
        <v>1952</v>
      </c>
      <c r="C458" s="445" t="s">
        <v>1510</v>
      </c>
      <c r="D458" s="381" t="s">
        <v>76</v>
      </c>
      <c r="E458" s="382">
        <v>1350000</v>
      </c>
      <c r="F458" s="383" t="s">
        <v>2292</v>
      </c>
      <c r="G458" s="383"/>
      <c r="H458" s="381" t="s">
        <v>1625</v>
      </c>
      <c r="I458" s="381" t="s">
        <v>1644</v>
      </c>
      <c r="J458" s="381">
        <v>1</v>
      </c>
      <c r="K458" s="381" t="s">
        <v>100</v>
      </c>
    </row>
    <row r="459" spans="1:11" ht="15.75" hidden="1">
      <c r="A459" s="412">
        <v>44320</v>
      </c>
      <c r="B459" s="411" t="s">
        <v>1966</v>
      </c>
      <c r="C459" s="445" t="s">
        <v>2428</v>
      </c>
      <c r="D459" s="381" t="s">
        <v>2072</v>
      </c>
      <c r="E459" s="382">
        <v>1250000</v>
      </c>
      <c r="F459" s="446" t="s">
        <v>2235</v>
      </c>
      <c r="G459" s="446"/>
      <c r="H459" s="381" t="s">
        <v>1644</v>
      </c>
      <c r="I459" s="381" t="s">
        <v>1644</v>
      </c>
      <c r="J459" s="381">
        <v>1</v>
      </c>
      <c r="K459" s="381" t="s">
        <v>100</v>
      </c>
    </row>
    <row r="460" spans="1:11" ht="15.75" hidden="1">
      <c r="A460" s="412">
        <v>44351</v>
      </c>
      <c r="B460" s="411" t="s">
        <v>2182</v>
      </c>
      <c r="C460" s="445" t="s">
        <v>2429</v>
      </c>
      <c r="D460" s="381" t="s">
        <v>76</v>
      </c>
      <c r="E460" s="382">
        <v>1600000</v>
      </c>
      <c r="F460" s="383" t="s">
        <v>2292</v>
      </c>
      <c r="G460" s="383"/>
      <c r="H460" s="381" t="s">
        <v>2161</v>
      </c>
      <c r="I460" s="381" t="s">
        <v>1644</v>
      </c>
      <c r="J460" s="381">
        <v>1</v>
      </c>
      <c r="K460" s="381" t="s">
        <v>100</v>
      </c>
    </row>
    <row r="461" spans="1:11" ht="15.75" hidden="1">
      <c r="A461" s="412">
        <v>44351</v>
      </c>
      <c r="B461" s="411" t="s">
        <v>2182</v>
      </c>
      <c r="C461" s="445" t="s">
        <v>2430</v>
      </c>
      <c r="D461" s="447" t="s">
        <v>2037</v>
      </c>
      <c r="E461" s="382">
        <v>1100000</v>
      </c>
      <c r="F461" s="383" t="s">
        <v>2235</v>
      </c>
      <c r="G461" s="383"/>
      <c r="H461" s="381" t="s">
        <v>2161</v>
      </c>
      <c r="I461" s="381" t="s">
        <v>1644</v>
      </c>
      <c r="J461" s="381">
        <v>1</v>
      </c>
      <c r="K461" s="381" t="s">
        <v>100</v>
      </c>
    </row>
    <row r="462" spans="1:11" ht="15.75" hidden="1">
      <c r="A462" s="412">
        <v>44351</v>
      </c>
      <c r="B462" s="411" t="s">
        <v>2182</v>
      </c>
      <c r="C462" s="445" t="s">
        <v>2431</v>
      </c>
      <c r="D462" s="447" t="s">
        <v>2432</v>
      </c>
      <c r="E462" s="382">
        <v>2200000</v>
      </c>
      <c r="F462" s="383" t="s">
        <v>2235</v>
      </c>
      <c r="G462" s="504"/>
      <c r="H462" s="413" t="s">
        <v>2161</v>
      </c>
      <c r="I462" s="381" t="s">
        <v>1644</v>
      </c>
      <c r="J462" s="381">
        <v>1</v>
      </c>
      <c r="K462" s="381" t="s">
        <v>100</v>
      </c>
    </row>
    <row r="463" spans="1:11" ht="15.75" hidden="1">
      <c r="A463" s="412">
        <v>44381</v>
      </c>
      <c r="B463" s="411" t="s">
        <v>2182</v>
      </c>
      <c r="C463" s="445" t="s">
        <v>2433</v>
      </c>
      <c r="D463" s="381" t="s">
        <v>76</v>
      </c>
      <c r="E463" s="382">
        <v>1000000</v>
      </c>
      <c r="F463" s="446" t="s">
        <v>2235</v>
      </c>
      <c r="G463" s="446"/>
      <c r="H463" s="381" t="s">
        <v>1644</v>
      </c>
      <c r="I463" s="381" t="s">
        <v>1644</v>
      </c>
      <c r="J463" s="381">
        <v>1</v>
      </c>
      <c r="K463" s="381" t="s">
        <v>100</v>
      </c>
    </row>
    <row r="464" spans="1:11" ht="15.75" hidden="1">
      <c r="A464" s="412">
        <v>44381</v>
      </c>
      <c r="B464" s="411" t="s">
        <v>2182</v>
      </c>
      <c r="C464" s="445" t="s">
        <v>2434</v>
      </c>
      <c r="D464" s="447" t="s">
        <v>2435</v>
      </c>
      <c r="E464" s="382">
        <v>2200000</v>
      </c>
      <c r="F464" s="383" t="s">
        <v>2235</v>
      </c>
      <c r="G464" s="383"/>
      <c r="H464" s="381" t="s">
        <v>2161</v>
      </c>
      <c r="I464" s="381" t="s">
        <v>1644</v>
      </c>
      <c r="J464" s="381">
        <v>1</v>
      </c>
      <c r="K464" s="381" t="s">
        <v>100</v>
      </c>
    </row>
    <row r="465" spans="1:11" ht="15.75" hidden="1">
      <c r="A465" s="412" t="s">
        <v>2402</v>
      </c>
      <c r="B465" s="411" t="s">
        <v>2182</v>
      </c>
      <c r="C465" s="445" t="s">
        <v>2436</v>
      </c>
      <c r="D465" s="381" t="s">
        <v>2072</v>
      </c>
      <c r="E465" s="382">
        <v>1650000</v>
      </c>
      <c r="F465" s="383" t="s">
        <v>2292</v>
      </c>
      <c r="G465" s="383"/>
      <c r="H465" s="381" t="s">
        <v>2161</v>
      </c>
      <c r="I465" s="381" t="s">
        <v>1644</v>
      </c>
      <c r="J465" s="381">
        <v>1</v>
      </c>
      <c r="K465" s="381" t="s">
        <v>234</v>
      </c>
    </row>
    <row r="466" spans="1:11" ht="15.75" hidden="1">
      <c r="A466" s="380" t="s">
        <v>2408</v>
      </c>
      <c r="B466" s="381" t="s">
        <v>2182</v>
      </c>
      <c r="C466" s="445" t="s">
        <v>2437</v>
      </c>
      <c r="D466" s="381" t="s">
        <v>76</v>
      </c>
      <c r="E466" s="382">
        <v>1350000</v>
      </c>
      <c r="F466" s="446" t="s">
        <v>1968</v>
      </c>
      <c r="G466" s="446"/>
      <c r="H466" s="381" t="s">
        <v>2161</v>
      </c>
      <c r="I466" s="381" t="s">
        <v>1644</v>
      </c>
      <c r="J466" s="381">
        <v>1</v>
      </c>
      <c r="K466" s="381" t="s">
        <v>100</v>
      </c>
    </row>
    <row r="467" spans="1:11" ht="15.75" hidden="1">
      <c r="A467" s="380" t="s">
        <v>2408</v>
      </c>
      <c r="B467" s="381" t="s">
        <v>2182</v>
      </c>
      <c r="C467" s="448" t="s">
        <v>2438</v>
      </c>
      <c r="D467" s="381" t="s">
        <v>76</v>
      </c>
      <c r="E467" s="382">
        <v>1100000</v>
      </c>
      <c r="F467" s="383" t="s">
        <v>2292</v>
      </c>
      <c r="G467" s="383"/>
      <c r="H467" s="381" t="s">
        <v>2161</v>
      </c>
      <c r="I467" s="381" t="s">
        <v>1644</v>
      </c>
      <c r="J467" s="381">
        <v>1</v>
      </c>
      <c r="K467" s="381" t="s">
        <v>100</v>
      </c>
    </row>
    <row r="468" spans="1:11" ht="15.75" hidden="1">
      <c r="A468" s="380" t="s">
        <v>2408</v>
      </c>
      <c r="B468" s="381" t="s">
        <v>2182</v>
      </c>
      <c r="C468" s="445" t="s">
        <v>2439</v>
      </c>
      <c r="D468" s="381" t="s">
        <v>76</v>
      </c>
      <c r="E468" s="382">
        <v>1400000</v>
      </c>
      <c r="F468" s="383" t="s">
        <v>2292</v>
      </c>
      <c r="G468" s="383"/>
      <c r="H468" s="381" t="s">
        <v>1644</v>
      </c>
      <c r="I468" s="381" t="s">
        <v>1644</v>
      </c>
      <c r="J468" s="381">
        <v>1</v>
      </c>
      <c r="K468" s="381" t="s">
        <v>100</v>
      </c>
    </row>
    <row r="469" spans="1:11" ht="15.75" hidden="1">
      <c r="A469" s="380" t="s">
        <v>2408</v>
      </c>
      <c r="B469" s="381" t="s">
        <v>2182</v>
      </c>
      <c r="C469" s="449" t="s">
        <v>2440</v>
      </c>
      <c r="D469" s="385" t="s">
        <v>76</v>
      </c>
      <c r="E469" s="386">
        <v>1250000</v>
      </c>
      <c r="F469" s="387" t="s">
        <v>2292</v>
      </c>
      <c r="G469" s="387"/>
      <c r="H469" s="385" t="s">
        <v>1644</v>
      </c>
      <c r="I469" s="385" t="s">
        <v>1644</v>
      </c>
      <c r="J469" s="385">
        <v>1</v>
      </c>
      <c r="K469" s="385" t="s">
        <v>100</v>
      </c>
    </row>
    <row r="470" spans="1:11" ht="15.75" hidden="1">
      <c r="A470" s="380" t="s">
        <v>2441</v>
      </c>
      <c r="B470" s="381" t="s">
        <v>2182</v>
      </c>
      <c r="C470" s="450" t="s">
        <v>2442</v>
      </c>
      <c r="D470" s="385" t="s">
        <v>76</v>
      </c>
      <c r="E470" s="386">
        <v>1350000</v>
      </c>
      <c r="F470" s="387" t="s">
        <v>2292</v>
      </c>
      <c r="G470" s="387"/>
      <c r="H470" s="385" t="s">
        <v>2161</v>
      </c>
      <c r="I470" s="385" t="s">
        <v>1644</v>
      </c>
      <c r="J470" s="385">
        <v>1</v>
      </c>
      <c r="K470" s="385" t="s">
        <v>100</v>
      </c>
    </row>
    <row r="471" spans="1:11" ht="15.75" hidden="1">
      <c r="A471" s="384" t="s">
        <v>2410</v>
      </c>
      <c r="B471" s="385" t="s">
        <v>2182</v>
      </c>
      <c r="C471" s="381" t="s">
        <v>2443</v>
      </c>
      <c r="D471" s="385" t="s">
        <v>76</v>
      </c>
      <c r="E471" s="386">
        <v>1000000</v>
      </c>
      <c r="F471" s="387" t="s">
        <v>1968</v>
      </c>
      <c r="G471" s="387"/>
      <c r="H471" s="385" t="s">
        <v>1644</v>
      </c>
      <c r="I471" s="385" t="s">
        <v>1644</v>
      </c>
      <c r="J471" s="385">
        <v>1</v>
      </c>
      <c r="K471" s="385" t="s">
        <v>100</v>
      </c>
    </row>
    <row r="472" spans="1:11" ht="15.75" hidden="1">
      <c r="A472" s="384" t="s">
        <v>2410</v>
      </c>
      <c r="B472" s="385" t="s">
        <v>2182</v>
      </c>
      <c r="C472" s="385" t="s">
        <v>2444</v>
      </c>
      <c r="D472" s="385" t="s">
        <v>76</v>
      </c>
      <c r="E472" s="386">
        <v>1300000</v>
      </c>
      <c r="F472" s="387" t="s">
        <v>2235</v>
      </c>
      <c r="G472" s="387"/>
      <c r="H472" s="385" t="s">
        <v>1644</v>
      </c>
      <c r="I472" s="385" t="s">
        <v>1644</v>
      </c>
      <c r="J472" s="385">
        <v>1</v>
      </c>
      <c r="K472" s="385" t="s">
        <v>234</v>
      </c>
    </row>
    <row r="473" spans="1:11" ht="15.75" hidden="1">
      <c r="A473" s="392" t="s">
        <v>2445</v>
      </c>
      <c r="B473" s="385" t="s">
        <v>2182</v>
      </c>
      <c r="C473" s="385" t="s">
        <v>2446</v>
      </c>
      <c r="D473" s="385" t="s">
        <v>76</v>
      </c>
      <c r="E473" s="386">
        <v>1350000</v>
      </c>
      <c r="F473" s="387" t="s">
        <v>2292</v>
      </c>
      <c r="G473" s="387"/>
      <c r="H473" s="385" t="s">
        <v>1644</v>
      </c>
      <c r="I473" s="385" t="s">
        <v>1644</v>
      </c>
      <c r="J473" s="385">
        <v>1</v>
      </c>
      <c r="K473" s="385" t="s">
        <v>234</v>
      </c>
    </row>
    <row r="474" spans="1:11" ht="15.75" hidden="1">
      <c r="A474" s="392" t="s">
        <v>2445</v>
      </c>
      <c r="B474" s="385" t="s">
        <v>2060</v>
      </c>
      <c r="C474" s="385" t="s">
        <v>2447</v>
      </c>
      <c r="D474" s="385" t="s">
        <v>76</v>
      </c>
      <c r="E474" s="386">
        <v>3300000</v>
      </c>
      <c r="F474" s="387" t="s">
        <v>2235</v>
      </c>
      <c r="G474" s="387"/>
      <c r="H474" s="385" t="s">
        <v>2161</v>
      </c>
      <c r="I474" s="385" t="s">
        <v>1644</v>
      </c>
      <c r="J474" s="385">
        <v>1</v>
      </c>
      <c r="K474" s="385" t="s">
        <v>234</v>
      </c>
    </row>
    <row r="475" spans="1:11" ht="15.75" hidden="1">
      <c r="A475" s="392" t="s">
        <v>2445</v>
      </c>
      <c r="B475" s="385" t="s">
        <v>2182</v>
      </c>
      <c r="C475" s="385" t="s">
        <v>2448</v>
      </c>
      <c r="D475" s="385" t="s">
        <v>74</v>
      </c>
      <c r="E475" s="386">
        <v>1400000</v>
      </c>
      <c r="F475" s="387" t="s">
        <v>2235</v>
      </c>
      <c r="G475" s="387"/>
      <c r="H475" s="385" t="s">
        <v>2161</v>
      </c>
      <c r="I475" s="385" t="s">
        <v>1644</v>
      </c>
      <c r="J475" s="385">
        <v>1</v>
      </c>
      <c r="K475" s="385" t="s">
        <v>234</v>
      </c>
    </row>
    <row r="476" spans="1:11" ht="15.75" hidden="1">
      <c r="A476" s="392"/>
      <c r="B476" s="385"/>
      <c r="C476" s="385"/>
      <c r="D476" s="385"/>
      <c r="E476" s="386"/>
      <c r="F476" s="387"/>
      <c r="G476" s="387"/>
      <c r="H476" s="385"/>
      <c r="I476" s="385"/>
      <c r="J476" s="385"/>
      <c r="K476" s="385"/>
    </row>
    <row r="477" spans="1:11" ht="15.75" hidden="1">
      <c r="A477" s="414" t="s">
        <v>2397</v>
      </c>
      <c r="B477" s="402" t="s">
        <v>2182</v>
      </c>
      <c r="C477" s="402" t="s">
        <v>237</v>
      </c>
      <c r="D477" s="402" t="s">
        <v>76</v>
      </c>
      <c r="E477" s="403">
        <v>435000000</v>
      </c>
      <c r="F477" s="404" t="s">
        <v>1968</v>
      </c>
      <c r="G477" s="404"/>
      <c r="H477" s="402" t="s">
        <v>2161</v>
      </c>
      <c r="I477" s="402" t="s">
        <v>1644</v>
      </c>
      <c r="J477" s="402"/>
      <c r="K477" s="402" t="s">
        <v>2246</v>
      </c>
    </row>
    <row r="478" spans="1:11" ht="15.75" hidden="1">
      <c r="A478" s="414" t="s">
        <v>2397</v>
      </c>
      <c r="B478" s="402" t="s">
        <v>2182</v>
      </c>
      <c r="C478" s="402" t="s">
        <v>2449</v>
      </c>
      <c r="D478" s="402" t="s">
        <v>76</v>
      </c>
      <c r="E478" s="403">
        <v>245000000</v>
      </c>
      <c r="F478" s="404" t="s">
        <v>2235</v>
      </c>
      <c r="G478" s="404"/>
      <c r="H478" s="402" t="s">
        <v>1644</v>
      </c>
      <c r="I478" s="402" t="s">
        <v>1644</v>
      </c>
      <c r="J478" s="402"/>
      <c r="K478" s="402" t="s">
        <v>2246</v>
      </c>
    </row>
    <row r="479" spans="1:11" ht="15.75" hidden="1">
      <c r="A479" s="414" t="s">
        <v>2445</v>
      </c>
      <c r="B479" s="402" t="s">
        <v>2182</v>
      </c>
      <c r="C479" s="402" t="s">
        <v>2446</v>
      </c>
      <c r="D479" s="402" t="s">
        <v>76</v>
      </c>
      <c r="E479" s="403">
        <v>250000000</v>
      </c>
      <c r="F479" s="404" t="s">
        <v>2306</v>
      </c>
      <c r="G479" s="404"/>
      <c r="H479" s="402" t="s">
        <v>2161</v>
      </c>
      <c r="I479" s="402" t="s">
        <v>1644</v>
      </c>
      <c r="J479" s="402"/>
      <c r="K479" s="402" t="s">
        <v>2246</v>
      </c>
    </row>
    <row r="480" spans="1:11" ht="15.75" hidden="1">
      <c r="A480" s="415"/>
      <c r="B480" s="416"/>
      <c r="C480" s="416"/>
      <c r="D480" s="416"/>
      <c r="E480" s="417"/>
      <c r="F480" s="418"/>
      <c r="G480" s="418"/>
      <c r="H480" s="416"/>
      <c r="I480" s="416"/>
      <c r="J480" s="416"/>
      <c r="K480" s="416"/>
    </row>
    <row r="481" spans="1:11" ht="15.75" hidden="1">
      <c r="A481" s="415"/>
      <c r="B481" s="416"/>
      <c r="C481" s="416"/>
      <c r="D481" s="416"/>
      <c r="E481" s="417"/>
      <c r="F481" s="418"/>
      <c r="G481" s="418"/>
      <c r="H481" s="416"/>
      <c r="I481" s="416"/>
      <c r="J481" s="416"/>
      <c r="K481" s="416"/>
    </row>
    <row r="482" spans="1:11" ht="15.75" hidden="1">
      <c r="A482" s="415"/>
      <c r="B482" s="416"/>
      <c r="C482" s="416"/>
      <c r="D482" s="416"/>
      <c r="E482" s="417"/>
      <c r="F482" s="418"/>
      <c r="G482" s="418"/>
      <c r="H482" s="416"/>
      <c r="I482" s="416"/>
      <c r="J482" s="416"/>
      <c r="K482" s="416"/>
    </row>
    <row r="483" spans="1:11" ht="15.75" hidden="1">
      <c r="A483" s="419"/>
      <c r="B483" s="420"/>
      <c r="C483" s="420"/>
      <c r="D483" s="420"/>
      <c r="E483" s="421"/>
      <c r="F483" s="422"/>
      <c r="G483" s="422"/>
      <c r="H483" s="420"/>
      <c r="I483" s="420"/>
      <c r="J483" s="420">
        <f>SUM(J456:J477)</f>
        <v>20</v>
      </c>
      <c r="K483" s="420"/>
    </row>
    <row r="484" spans="1:11" ht="15.75" hidden="1">
      <c r="A484" s="394"/>
      <c r="B484" s="395"/>
      <c r="C484" s="395"/>
      <c r="D484" s="395"/>
      <c r="E484" s="396"/>
      <c r="F484" s="397"/>
      <c r="G484" s="397"/>
      <c r="H484" s="395"/>
      <c r="I484" s="395"/>
      <c r="J484" s="395"/>
      <c r="K484" s="395"/>
    </row>
    <row r="485" spans="1:11" ht="26.25" hidden="1">
      <c r="A485" s="1668" t="s">
        <v>2450</v>
      </c>
      <c r="B485" s="1669"/>
      <c r="C485" s="1669"/>
      <c r="D485" s="1669"/>
      <c r="E485" s="1669"/>
      <c r="F485" s="1669"/>
      <c r="G485" s="1669"/>
      <c r="H485" s="1669"/>
      <c r="I485" s="1669"/>
      <c r="J485" s="1669"/>
      <c r="K485" s="1670"/>
    </row>
    <row r="486" spans="1:11" ht="31.5" hidden="1">
      <c r="A486" s="375" t="s">
        <v>1941</v>
      </c>
      <c r="B486" s="376" t="s">
        <v>1942</v>
      </c>
      <c r="C486" s="376" t="s">
        <v>1943</v>
      </c>
      <c r="D486" s="376" t="s">
        <v>1944</v>
      </c>
      <c r="E486" s="377" t="s">
        <v>1945</v>
      </c>
      <c r="F486" s="378" t="s">
        <v>1946</v>
      </c>
      <c r="G486" s="378"/>
      <c r="H486" s="376" t="s">
        <v>1947</v>
      </c>
      <c r="I486" s="376" t="s">
        <v>1948</v>
      </c>
      <c r="J486" s="379" t="s">
        <v>1949</v>
      </c>
      <c r="K486" s="376" t="s">
        <v>1950</v>
      </c>
    </row>
    <row r="487" spans="1:11" ht="15.75" hidden="1">
      <c r="A487" s="380" t="s">
        <v>2426</v>
      </c>
      <c r="B487" s="381" t="s">
        <v>1952</v>
      </c>
      <c r="C487" s="448" t="s">
        <v>2451</v>
      </c>
      <c r="D487" s="381" t="s">
        <v>74</v>
      </c>
      <c r="E487" s="451">
        <v>1250000</v>
      </c>
      <c r="F487" s="446" t="s">
        <v>1968</v>
      </c>
      <c r="G487" s="446"/>
      <c r="H487" s="381" t="s">
        <v>2161</v>
      </c>
      <c r="I487" s="381" t="s">
        <v>1644</v>
      </c>
      <c r="J487" s="381">
        <v>1</v>
      </c>
      <c r="K487" s="381" t="s">
        <v>128</v>
      </c>
    </row>
    <row r="488" spans="1:11" ht="15.75" hidden="1">
      <c r="A488" s="392" t="s">
        <v>2452</v>
      </c>
      <c r="B488" s="381" t="s">
        <v>2182</v>
      </c>
      <c r="C488" s="448" t="s">
        <v>2453</v>
      </c>
      <c r="D488" s="381" t="s">
        <v>2032</v>
      </c>
      <c r="E488" s="451">
        <v>700000</v>
      </c>
      <c r="F488" s="383" t="s">
        <v>2292</v>
      </c>
      <c r="G488" s="383"/>
      <c r="H488" s="381" t="s">
        <v>1625</v>
      </c>
      <c r="I488" s="381" t="s">
        <v>1644</v>
      </c>
      <c r="J488" s="381">
        <v>1</v>
      </c>
      <c r="K488" s="381" t="s">
        <v>100</v>
      </c>
    </row>
    <row r="489" spans="1:11" ht="15.75" hidden="1">
      <c r="A489" s="392" t="s">
        <v>2452</v>
      </c>
      <c r="B489" s="381" t="s">
        <v>2182</v>
      </c>
      <c r="C489" s="448" t="s">
        <v>2454</v>
      </c>
      <c r="D489" s="381" t="s">
        <v>2032</v>
      </c>
      <c r="E489" s="451">
        <v>700000</v>
      </c>
      <c r="F489" s="446" t="s">
        <v>1968</v>
      </c>
      <c r="G489" s="446"/>
      <c r="H489" s="381" t="s">
        <v>1625</v>
      </c>
      <c r="I489" s="381" t="s">
        <v>1644</v>
      </c>
      <c r="J489" s="381">
        <v>1</v>
      </c>
      <c r="K489" s="381" t="s">
        <v>100</v>
      </c>
    </row>
    <row r="490" spans="1:11" ht="15.75" hidden="1">
      <c r="A490" s="392" t="s">
        <v>2452</v>
      </c>
      <c r="B490" s="381" t="s">
        <v>2182</v>
      </c>
      <c r="C490" s="448" t="s">
        <v>2455</v>
      </c>
      <c r="D490" s="381" t="s">
        <v>2032</v>
      </c>
      <c r="E490" s="451">
        <v>700000</v>
      </c>
      <c r="F490" s="446" t="s">
        <v>1968</v>
      </c>
      <c r="G490" s="446"/>
      <c r="H490" s="381" t="s">
        <v>1625</v>
      </c>
      <c r="I490" s="381" t="s">
        <v>1644</v>
      </c>
      <c r="J490" s="381">
        <v>1</v>
      </c>
      <c r="K490" s="381" t="s">
        <v>128</v>
      </c>
    </row>
    <row r="491" spans="1:11" ht="15.75" hidden="1">
      <c r="A491" s="412">
        <v>44320</v>
      </c>
      <c r="B491" s="411" t="s">
        <v>2182</v>
      </c>
      <c r="C491" s="448" t="s">
        <v>264</v>
      </c>
      <c r="D491" s="381" t="s">
        <v>2072</v>
      </c>
      <c r="E491" s="451">
        <v>1100000</v>
      </c>
      <c r="F491" s="446" t="s">
        <v>1968</v>
      </c>
      <c r="G491" s="446"/>
      <c r="H491" s="381" t="s">
        <v>1644</v>
      </c>
      <c r="I491" s="381" t="s">
        <v>1644</v>
      </c>
      <c r="J491" s="381">
        <v>1</v>
      </c>
      <c r="K491" s="381" t="s">
        <v>128</v>
      </c>
    </row>
    <row r="492" spans="1:11" ht="15.75" hidden="1">
      <c r="A492" s="412">
        <v>44351</v>
      </c>
      <c r="B492" s="411" t="s">
        <v>2182</v>
      </c>
      <c r="C492" s="448" t="s">
        <v>214</v>
      </c>
      <c r="D492" s="381" t="s">
        <v>2032</v>
      </c>
      <c r="E492" s="451">
        <v>700000</v>
      </c>
      <c r="F492" s="383" t="s">
        <v>2292</v>
      </c>
      <c r="G492" s="383"/>
      <c r="H492" s="381" t="s">
        <v>1644</v>
      </c>
      <c r="I492" s="381" t="s">
        <v>1644</v>
      </c>
      <c r="J492" s="381">
        <v>1</v>
      </c>
      <c r="K492" s="381" t="s">
        <v>100</v>
      </c>
    </row>
    <row r="493" spans="1:11" ht="15.75" hidden="1">
      <c r="A493" s="412">
        <v>44351</v>
      </c>
      <c r="B493" s="411" t="s">
        <v>2182</v>
      </c>
      <c r="C493" s="448" t="s">
        <v>2456</v>
      </c>
      <c r="D493" s="381" t="s">
        <v>2072</v>
      </c>
      <c r="E493" s="451">
        <v>960000</v>
      </c>
      <c r="F493" s="383" t="s">
        <v>2235</v>
      </c>
      <c r="G493" s="504"/>
      <c r="H493" s="413" t="s">
        <v>1644</v>
      </c>
      <c r="I493" s="381" t="s">
        <v>1644</v>
      </c>
      <c r="J493" s="381">
        <v>1</v>
      </c>
      <c r="K493" s="381" t="s">
        <v>100</v>
      </c>
    </row>
    <row r="494" spans="1:11" ht="15.75" hidden="1">
      <c r="A494" s="412">
        <v>44381</v>
      </c>
      <c r="B494" s="411" t="s">
        <v>2182</v>
      </c>
      <c r="C494" s="448" t="s">
        <v>2457</v>
      </c>
      <c r="D494" s="381" t="s">
        <v>2072</v>
      </c>
      <c r="E494" s="451">
        <v>1300000</v>
      </c>
      <c r="F494" s="446" t="s">
        <v>2235</v>
      </c>
      <c r="G494" s="446"/>
      <c r="H494" s="381" t="s">
        <v>1644</v>
      </c>
      <c r="I494" s="381" t="s">
        <v>1644</v>
      </c>
      <c r="J494" s="381">
        <v>1</v>
      </c>
      <c r="K494" s="381" t="s">
        <v>128</v>
      </c>
    </row>
    <row r="495" spans="1:11" ht="15.75" hidden="1">
      <c r="A495" s="412">
        <v>44381</v>
      </c>
      <c r="B495" s="411" t="s">
        <v>2182</v>
      </c>
      <c r="C495" s="448" t="s">
        <v>2458</v>
      </c>
      <c r="D495" s="381" t="s">
        <v>2072</v>
      </c>
      <c r="E495" s="451">
        <v>1150000</v>
      </c>
      <c r="F495" s="383" t="s">
        <v>2292</v>
      </c>
      <c r="G495" s="383"/>
      <c r="H495" s="381" t="s">
        <v>1644</v>
      </c>
      <c r="I495" s="381" t="s">
        <v>1644</v>
      </c>
      <c r="J495" s="381">
        <v>1</v>
      </c>
      <c r="K495" s="381" t="s">
        <v>128</v>
      </c>
    </row>
    <row r="496" spans="1:11" ht="15.75" hidden="1">
      <c r="A496" s="412">
        <v>44534</v>
      </c>
      <c r="B496" s="411" t="s">
        <v>2060</v>
      </c>
      <c r="C496" s="448" t="s">
        <v>2459</v>
      </c>
      <c r="D496" s="381" t="s">
        <v>2072</v>
      </c>
      <c r="E496" s="382">
        <v>670000</v>
      </c>
      <c r="F496" s="383" t="s">
        <v>2235</v>
      </c>
      <c r="G496" s="383"/>
      <c r="H496" s="381" t="s">
        <v>2161</v>
      </c>
      <c r="I496" s="381" t="s">
        <v>1644</v>
      </c>
      <c r="J496" s="381">
        <v>1</v>
      </c>
      <c r="K496" s="381" t="s">
        <v>128</v>
      </c>
    </row>
    <row r="497" spans="1:11" ht="15.75" hidden="1">
      <c r="A497" s="412" t="s">
        <v>2402</v>
      </c>
      <c r="B497" s="411" t="s">
        <v>2182</v>
      </c>
      <c r="C497" s="448" t="s">
        <v>2460</v>
      </c>
      <c r="D497" s="381" t="s">
        <v>2072</v>
      </c>
      <c r="E497" s="451">
        <v>1200000</v>
      </c>
      <c r="F497" s="383" t="s">
        <v>2461</v>
      </c>
      <c r="G497" s="383"/>
      <c r="H497" s="381" t="s">
        <v>1644</v>
      </c>
      <c r="I497" s="381" t="s">
        <v>1644</v>
      </c>
      <c r="J497" s="381">
        <v>1</v>
      </c>
      <c r="K497" s="381" t="s">
        <v>100</v>
      </c>
    </row>
    <row r="498" spans="1:11" ht="15.75" hidden="1">
      <c r="A498" s="380" t="s">
        <v>2410</v>
      </c>
      <c r="B498" s="381" t="s">
        <v>2182</v>
      </c>
      <c r="C498" s="448" t="s">
        <v>2462</v>
      </c>
      <c r="D498" s="381" t="s">
        <v>2072</v>
      </c>
      <c r="E498" s="451">
        <v>1300000</v>
      </c>
      <c r="F498" s="383" t="s">
        <v>2306</v>
      </c>
      <c r="G498" s="383"/>
      <c r="H498" s="381" t="s">
        <v>2161</v>
      </c>
      <c r="I498" s="381" t="s">
        <v>1644</v>
      </c>
      <c r="J498" s="381">
        <v>1</v>
      </c>
      <c r="K498" s="381" t="s">
        <v>234</v>
      </c>
    </row>
    <row r="499" spans="1:11" ht="15.75" hidden="1">
      <c r="A499" s="392" t="s">
        <v>2463</v>
      </c>
      <c r="B499" s="385" t="s">
        <v>2182</v>
      </c>
      <c r="C499" s="385" t="s">
        <v>2464</v>
      </c>
      <c r="D499" s="385" t="s">
        <v>2032</v>
      </c>
      <c r="E499" s="386">
        <v>950000</v>
      </c>
      <c r="F499" s="387" t="s">
        <v>2292</v>
      </c>
      <c r="G499" s="387"/>
      <c r="H499" s="385" t="s">
        <v>2161</v>
      </c>
      <c r="I499" s="385" t="s">
        <v>1644</v>
      </c>
      <c r="J499" s="385">
        <v>1</v>
      </c>
      <c r="K499" s="385" t="s">
        <v>234</v>
      </c>
    </row>
    <row r="500" spans="1:11" ht="15.75" hidden="1">
      <c r="A500" s="392" t="s">
        <v>2463</v>
      </c>
      <c r="B500" s="385" t="s">
        <v>2182</v>
      </c>
      <c r="C500" s="385" t="s">
        <v>2465</v>
      </c>
      <c r="D500" s="385" t="s">
        <v>2072</v>
      </c>
      <c r="E500" s="386">
        <v>1300000</v>
      </c>
      <c r="F500" s="387" t="s">
        <v>2235</v>
      </c>
      <c r="G500" s="387"/>
      <c r="H500" s="385" t="s">
        <v>1644</v>
      </c>
      <c r="I500" s="385" t="s">
        <v>1644</v>
      </c>
      <c r="J500" s="385">
        <v>1</v>
      </c>
      <c r="K500" s="385" t="s">
        <v>234</v>
      </c>
    </row>
    <row r="501" spans="1:11" ht="15.75" hidden="1">
      <c r="A501" s="392" t="s">
        <v>2463</v>
      </c>
      <c r="B501" s="385" t="s">
        <v>2182</v>
      </c>
      <c r="C501" s="385" t="s">
        <v>2466</v>
      </c>
      <c r="D501" s="385" t="s">
        <v>2072</v>
      </c>
      <c r="E501" s="451">
        <v>1200000</v>
      </c>
      <c r="F501" s="387" t="s">
        <v>2306</v>
      </c>
      <c r="G501" s="387"/>
      <c r="H501" s="385" t="s">
        <v>1644</v>
      </c>
      <c r="I501" s="385" t="s">
        <v>1644</v>
      </c>
      <c r="J501" s="385">
        <v>1</v>
      </c>
      <c r="K501" s="385" t="s">
        <v>100</v>
      </c>
    </row>
    <row r="502" spans="1:11" ht="15.75" hidden="1">
      <c r="A502" s="392" t="s">
        <v>2463</v>
      </c>
      <c r="B502" s="385" t="s">
        <v>1966</v>
      </c>
      <c r="C502" s="381" t="s">
        <v>2467</v>
      </c>
      <c r="D502" s="385" t="s">
        <v>2032</v>
      </c>
      <c r="E502" s="451">
        <v>750000</v>
      </c>
      <c r="F502" s="387" t="s">
        <v>1968</v>
      </c>
      <c r="G502" s="387"/>
      <c r="H502" s="385" t="s">
        <v>1644</v>
      </c>
      <c r="I502" s="385" t="s">
        <v>1644</v>
      </c>
      <c r="J502" s="385">
        <v>1</v>
      </c>
      <c r="K502" s="385" t="s">
        <v>100</v>
      </c>
    </row>
    <row r="503" spans="1:11" ht="15.75" hidden="1">
      <c r="A503" s="392" t="s">
        <v>2445</v>
      </c>
      <c r="B503" s="385" t="s">
        <v>1952</v>
      </c>
      <c r="C503" s="385" t="s">
        <v>2468</v>
      </c>
      <c r="D503" s="385" t="s">
        <v>2072</v>
      </c>
      <c r="E503" s="451">
        <v>1300000</v>
      </c>
      <c r="F503" s="387" t="s">
        <v>2292</v>
      </c>
      <c r="G503" s="387"/>
      <c r="H503" s="385" t="s">
        <v>1644</v>
      </c>
      <c r="I503" s="385" t="s">
        <v>1644</v>
      </c>
      <c r="J503" s="385">
        <v>1</v>
      </c>
      <c r="K503" s="385" t="s">
        <v>100</v>
      </c>
    </row>
    <row r="504" spans="1:11" ht="15.75" hidden="1">
      <c r="A504" s="392" t="s">
        <v>2445</v>
      </c>
      <c r="B504" s="385" t="s">
        <v>1952</v>
      </c>
      <c r="C504" s="385" t="s">
        <v>1779</v>
      </c>
      <c r="D504" s="385" t="s">
        <v>2072</v>
      </c>
      <c r="E504" s="451">
        <v>1200000</v>
      </c>
      <c r="F504" s="387" t="s">
        <v>2235</v>
      </c>
      <c r="G504" s="387"/>
      <c r="H504" s="385" t="s">
        <v>1644</v>
      </c>
      <c r="I504" s="385" t="s">
        <v>1644</v>
      </c>
      <c r="J504" s="385">
        <v>1</v>
      </c>
      <c r="K504" s="385" t="s">
        <v>234</v>
      </c>
    </row>
    <row r="505" spans="1:11" ht="15.75" hidden="1">
      <c r="A505" s="392" t="s">
        <v>2445</v>
      </c>
      <c r="B505" s="385" t="s">
        <v>1952</v>
      </c>
      <c r="C505" s="385" t="s">
        <v>2469</v>
      </c>
      <c r="D505" s="385" t="s">
        <v>2072</v>
      </c>
      <c r="E505" s="451">
        <v>1150000</v>
      </c>
      <c r="F505" s="387" t="s">
        <v>2292</v>
      </c>
      <c r="G505" s="387"/>
      <c r="H505" s="385" t="s">
        <v>1644</v>
      </c>
      <c r="I505" s="385" t="s">
        <v>1644</v>
      </c>
      <c r="J505" s="385">
        <v>1</v>
      </c>
      <c r="K505" s="385" t="s">
        <v>234</v>
      </c>
    </row>
    <row r="506" spans="1:11" ht="15.75" hidden="1">
      <c r="A506" s="392" t="s">
        <v>2445</v>
      </c>
      <c r="B506" s="385" t="s">
        <v>1952</v>
      </c>
      <c r="C506" s="385" t="s">
        <v>2470</v>
      </c>
      <c r="D506" s="385" t="s">
        <v>2435</v>
      </c>
      <c r="E506" s="451">
        <v>1600000</v>
      </c>
      <c r="F506" s="387" t="s">
        <v>2235</v>
      </c>
      <c r="G506" s="387"/>
      <c r="H506" s="385" t="s">
        <v>2161</v>
      </c>
      <c r="I506" s="385" t="s">
        <v>1644</v>
      </c>
      <c r="J506" s="385">
        <v>1</v>
      </c>
      <c r="K506" s="385" t="s">
        <v>234</v>
      </c>
    </row>
    <row r="507" spans="1:11" ht="15.75" hidden="1">
      <c r="A507" s="414" t="s">
        <v>2426</v>
      </c>
      <c r="B507" s="402" t="s">
        <v>2182</v>
      </c>
      <c r="C507" s="402" t="s">
        <v>2471</v>
      </c>
      <c r="D507" s="402" t="s">
        <v>74</v>
      </c>
      <c r="E507" s="444">
        <v>300000000</v>
      </c>
      <c r="F507" s="404" t="s">
        <v>1968</v>
      </c>
      <c r="G507" s="404"/>
      <c r="H507" s="402" t="s">
        <v>2161</v>
      </c>
      <c r="I507" s="402" t="s">
        <v>1644</v>
      </c>
      <c r="J507" s="402"/>
      <c r="K507" s="402" t="s">
        <v>2246</v>
      </c>
    </row>
    <row r="508" spans="1:11" ht="15.75" hidden="1">
      <c r="A508" s="414">
        <v>44381</v>
      </c>
      <c r="B508" s="402" t="s">
        <v>2182</v>
      </c>
      <c r="C508" s="402" t="s">
        <v>2457</v>
      </c>
      <c r="D508" s="402" t="s">
        <v>2072</v>
      </c>
      <c r="E508" s="444">
        <v>270000000</v>
      </c>
      <c r="F508" s="404" t="s">
        <v>2235</v>
      </c>
      <c r="G508" s="404"/>
      <c r="H508" s="402" t="s">
        <v>2161</v>
      </c>
      <c r="I508" s="402" t="s">
        <v>1644</v>
      </c>
      <c r="J508" s="402"/>
      <c r="K508" s="402" t="s">
        <v>2246</v>
      </c>
    </row>
    <row r="509" spans="1:11" ht="15.75" hidden="1">
      <c r="A509" s="414" t="s">
        <v>2445</v>
      </c>
      <c r="B509" s="402" t="s">
        <v>2182</v>
      </c>
      <c r="C509" s="402" t="s">
        <v>2472</v>
      </c>
      <c r="D509" s="402" t="s">
        <v>2072</v>
      </c>
      <c r="E509" s="402">
        <v>270000000</v>
      </c>
      <c r="F509" s="404" t="s">
        <v>2292</v>
      </c>
      <c r="G509" s="404"/>
      <c r="H509" s="402" t="s">
        <v>1644</v>
      </c>
      <c r="I509" s="402" t="s">
        <v>1644</v>
      </c>
      <c r="J509" s="402"/>
      <c r="K509" s="402" t="s">
        <v>2246</v>
      </c>
    </row>
    <row r="510" spans="1:11" ht="15.75" hidden="1">
      <c r="A510" s="419"/>
      <c r="B510" s="420"/>
      <c r="C510" s="420"/>
      <c r="D510" s="420"/>
      <c r="E510" s="421"/>
      <c r="F510" s="422"/>
      <c r="G510" s="422"/>
      <c r="H510" s="420"/>
      <c r="I510" s="420"/>
      <c r="J510" s="420">
        <f>SUM(J487:J507)</f>
        <v>20</v>
      </c>
      <c r="K510" s="420"/>
    </row>
    <row r="511" spans="1:11" ht="15.75" hidden="1">
      <c r="A511" s="394"/>
      <c r="B511" s="395"/>
      <c r="C511" s="395"/>
      <c r="D511" s="395"/>
      <c r="E511" s="396"/>
      <c r="F511" s="397"/>
      <c r="G511" s="397"/>
      <c r="H511" s="395"/>
      <c r="I511" s="395"/>
      <c r="J511" s="395"/>
      <c r="K511" s="395"/>
    </row>
    <row r="512" spans="1:11" ht="15.75" hidden="1">
      <c r="A512" s="1675" t="s">
        <v>2473</v>
      </c>
      <c r="B512" s="1676"/>
      <c r="C512" s="1676"/>
      <c r="D512" s="1676"/>
      <c r="E512" s="1676"/>
      <c r="F512" s="1676"/>
      <c r="G512" s="1676"/>
      <c r="H512" s="1676"/>
      <c r="I512" s="1676"/>
      <c r="J512" s="1676"/>
      <c r="K512" s="1677"/>
    </row>
    <row r="513" spans="1:11" ht="31.5" hidden="1">
      <c r="A513" s="375" t="s">
        <v>1941</v>
      </c>
      <c r="B513" s="376" t="s">
        <v>1942</v>
      </c>
      <c r="C513" s="376" t="s">
        <v>1943</v>
      </c>
      <c r="D513" s="376" t="s">
        <v>1944</v>
      </c>
      <c r="E513" s="377" t="s">
        <v>1945</v>
      </c>
      <c r="F513" s="378" t="s">
        <v>1946</v>
      </c>
      <c r="G513" s="378"/>
      <c r="H513" s="376" t="s">
        <v>1947</v>
      </c>
      <c r="I513" s="376" t="s">
        <v>1948</v>
      </c>
      <c r="J513" s="379" t="s">
        <v>1949</v>
      </c>
      <c r="K513" s="376" t="s">
        <v>1950</v>
      </c>
    </row>
    <row r="514" spans="1:11" ht="15.75" hidden="1">
      <c r="A514" s="380"/>
      <c r="B514" s="381"/>
      <c r="C514" s="381"/>
      <c r="D514" s="381"/>
      <c r="E514" s="382"/>
      <c r="F514" s="383"/>
      <c r="G514" s="383"/>
      <c r="H514" s="381"/>
      <c r="I514" s="381"/>
      <c r="J514" s="381"/>
      <c r="K514" s="381"/>
    </row>
    <row r="515" spans="1:11" ht="15.75" hidden="1">
      <c r="A515" s="392"/>
      <c r="B515" s="381"/>
      <c r="C515" s="381"/>
      <c r="D515" s="381"/>
      <c r="E515" s="382"/>
      <c r="F515" s="383"/>
      <c r="G515" s="383"/>
      <c r="H515" s="381"/>
      <c r="I515" s="381"/>
      <c r="J515" s="381"/>
      <c r="K515" s="381"/>
    </row>
    <row r="516" spans="1:11" ht="15.75" hidden="1">
      <c r="A516" s="393"/>
      <c r="B516" s="411"/>
      <c r="C516" s="381"/>
      <c r="D516" s="381"/>
      <c r="E516" s="382"/>
      <c r="F516" s="383"/>
      <c r="G516" s="383"/>
      <c r="H516" s="381"/>
      <c r="I516" s="381"/>
      <c r="J516" s="381"/>
      <c r="K516" s="381"/>
    </row>
    <row r="517" spans="1:11" ht="15.75" hidden="1">
      <c r="A517" s="412"/>
      <c r="B517" s="411"/>
      <c r="C517" s="381"/>
      <c r="D517" s="381"/>
      <c r="E517" s="382"/>
      <c r="F517" s="383"/>
      <c r="G517" s="383"/>
      <c r="H517" s="381"/>
      <c r="I517" s="381"/>
      <c r="J517" s="381"/>
      <c r="K517" s="381"/>
    </row>
    <row r="518" spans="1:11" ht="15.75" hidden="1">
      <c r="A518" s="415"/>
      <c r="B518" s="416"/>
      <c r="C518" s="416"/>
      <c r="D518" s="416"/>
      <c r="E518" s="417"/>
      <c r="F518" s="418"/>
      <c r="G518" s="418"/>
      <c r="H518" s="416"/>
      <c r="I518" s="416"/>
      <c r="J518" s="416"/>
      <c r="K518" s="416"/>
    </row>
    <row r="519" spans="1:11" ht="15.75" hidden="1">
      <c r="A519" s="419"/>
      <c r="B519" s="420"/>
      <c r="C519" s="420"/>
      <c r="D519" s="420"/>
      <c r="E519" s="421"/>
      <c r="F519" s="422"/>
      <c r="G519" s="422"/>
      <c r="H519" s="420"/>
      <c r="I519" s="420"/>
      <c r="J519" s="420">
        <f>SUM(J514:J517)</f>
        <v>0</v>
      </c>
      <c r="K519" s="420"/>
    </row>
    <row r="520" spans="1:11" ht="15.75">
      <c r="A520" s="394"/>
      <c r="B520" s="395"/>
      <c r="C520" s="395"/>
      <c r="D520" s="395"/>
      <c r="E520" s="396"/>
      <c r="F520" s="397"/>
      <c r="G520" s="397"/>
      <c r="H520" s="395"/>
      <c r="I520" s="395"/>
      <c r="J520" s="395"/>
      <c r="K520" s="395"/>
    </row>
    <row r="521" spans="1:11" ht="15.75">
      <c r="A521" s="394"/>
      <c r="B521" s="395"/>
      <c r="C521" s="395"/>
      <c r="D521" s="395"/>
      <c r="E521" s="396"/>
      <c r="F521" s="397"/>
      <c r="G521" s="397"/>
      <c r="H521" s="395"/>
      <c r="I521" s="395"/>
      <c r="J521" s="395"/>
      <c r="K521" s="395"/>
    </row>
    <row r="522" spans="1:11">
      <c r="A522" s="1665" t="s">
        <v>2474</v>
      </c>
      <c r="B522" s="1665"/>
      <c r="C522" s="1665"/>
      <c r="D522" s="1665"/>
      <c r="E522" s="1665"/>
      <c r="F522" s="1665"/>
      <c r="G522" s="1665"/>
      <c r="H522" s="1665"/>
      <c r="I522" s="1665"/>
      <c r="J522" s="1665"/>
      <c r="K522" s="1665"/>
    </row>
    <row r="523" spans="1:11">
      <c r="A523" s="1665"/>
      <c r="B523" s="1665"/>
      <c r="C523" s="1665"/>
      <c r="D523" s="1665"/>
      <c r="E523" s="1665"/>
      <c r="F523" s="1665"/>
      <c r="G523" s="1665"/>
      <c r="H523" s="1665"/>
      <c r="I523" s="1665"/>
      <c r="J523" s="1665"/>
      <c r="K523" s="1665"/>
    </row>
    <row r="524" spans="1:11" ht="24.75" hidden="1" customHeight="1">
      <c r="A524" s="1667" t="s">
        <v>2475</v>
      </c>
      <c r="B524" s="1667"/>
      <c r="C524" s="1667"/>
      <c r="D524" s="1667"/>
      <c r="E524" s="1667"/>
      <c r="F524" s="1667"/>
      <c r="G524" s="1667"/>
      <c r="H524" s="1667"/>
      <c r="I524" s="1667"/>
      <c r="J524" s="1667"/>
      <c r="K524" s="1667"/>
    </row>
    <row r="525" spans="1:11" ht="31.5" hidden="1">
      <c r="A525" s="375" t="s">
        <v>1941</v>
      </c>
      <c r="B525" s="378" t="s">
        <v>1942</v>
      </c>
      <c r="C525" s="378" t="s">
        <v>1943</v>
      </c>
      <c r="D525" s="378" t="s">
        <v>1944</v>
      </c>
      <c r="E525" s="452" t="s">
        <v>1945</v>
      </c>
      <c r="F525" s="378" t="s">
        <v>1946</v>
      </c>
      <c r="G525" s="378"/>
      <c r="H525" s="378" t="s">
        <v>1947</v>
      </c>
      <c r="I525" s="378" t="s">
        <v>1948</v>
      </c>
      <c r="J525" s="453" t="s">
        <v>1949</v>
      </c>
      <c r="K525" s="378" t="s">
        <v>10</v>
      </c>
    </row>
    <row r="526" spans="1:11" ht="15.75" hidden="1">
      <c r="A526" s="454" t="s">
        <v>2445</v>
      </c>
      <c r="B526" s="455" t="s">
        <v>2182</v>
      </c>
      <c r="C526" s="455" t="s">
        <v>2476</v>
      </c>
      <c r="D526" s="455" t="s">
        <v>76</v>
      </c>
      <c r="E526" s="461">
        <v>162000000</v>
      </c>
      <c r="F526" s="464" t="s">
        <v>2292</v>
      </c>
      <c r="G526" s="464"/>
      <c r="H526" s="460" t="s">
        <v>2161</v>
      </c>
      <c r="I526" s="460" t="s">
        <v>1644</v>
      </c>
      <c r="J526" s="460">
        <v>1</v>
      </c>
      <c r="K526" s="455" t="s">
        <v>2246</v>
      </c>
    </row>
    <row r="527" spans="1:11" ht="15.75" hidden="1">
      <c r="A527" s="454" t="s">
        <v>2445</v>
      </c>
      <c r="B527" s="455" t="s">
        <v>2182</v>
      </c>
      <c r="C527" s="455" t="s">
        <v>2477</v>
      </c>
      <c r="D527" s="455" t="s">
        <v>2478</v>
      </c>
      <c r="E527" s="461">
        <v>180000000</v>
      </c>
      <c r="F527" s="464" t="s">
        <v>2292</v>
      </c>
      <c r="G527" s="464"/>
      <c r="H527" s="460" t="s">
        <v>2161</v>
      </c>
      <c r="I527" s="460" t="s">
        <v>1644</v>
      </c>
      <c r="J527" s="460">
        <v>1</v>
      </c>
      <c r="K527" s="455" t="s">
        <v>2246</v>
      </c>
    </row>
    <row r="528" spans="1:11" ht="15.75" hidden="1">
      <c r="A528" s="477" t="s">
        <v>2479</v>
      </c>
      <c r="B528" s="455" t="s">
        <v>2182</v>
      </c>
      <c r="C528" s="455" t="s">
        <v>2480</v>
      </c>
      <c r="D528" s="455" t="s">
        <v>2481</v>
      </c>
      <c r="E528" s="461">
        <v>310000000</v>
      </c>
      <c r="F528" s="464" t="s">
        <v>2292</v>
      </c>
      <c r="G528" s="464"/>
      <c r="H528" s="460" t="s">
        <v>2161</v>
      </c>
      <c r="I528" s="460" t="s">
        <v>1644</v>
      </c>
      <c r="J528" s="460">
        <v>1</v>
      </c>
      <c r="K528" s="455" t="s">
        <v>2482</v>
      </c>
    </row>
    <row r="529" spans="1:11" ht="15.75" hidden="1">
      <c r="A529" s="474">
        <v>44291</v>
      </c>
      <c r="B529" s="455" t="s">
        <v>2182</v>
      </c>
      <c r="C529" s="455" t="s">
        <v>2483</v>
      </c>
      <c r="D529" s="455" t="s">
        <v>2401</v>
      </c>
      <c r="E529" s="461">
        <v>105000000</v>
      </c>
      <c r="F529" s="455" t="s">
        <v>2292</v>
      </c>
      <c r="G529" s="455"/>
      <c r="H529" s="460" t="s">
        <v>1625</v>
      </c>
      <c r="I529" s="460" t="s">
        <v>1644</v>
      </c>
      <c r="J529" s="460">
        <v>1</v>
      </c>
      <c r="K529" s="455" t="s">
        <v>2482</v>
      </c>
    </row>
    <row r="530" spans="1:11" ht="15.75" hidden="1">
      <c r="A530" s="474">
        <v>44291</v>
      </c>
      <c r="B530" s="472" t="s">
        <v>2182</v>
      </c>
      <c r="C530" s="472" t="s">
        <v>2484</v>
      </c>
      <c r="D530" s="472" t="s">
        <v>2485</v>
      </c>
      <c r="E530" s="475">
        <v>320000000</v>
      </c>
      <c r="F530" s="472" t="s">
        <v>2292</v>
      </c>
      <c r="G530" s="472"/>
      <c r="H530" s="473" t="s">
        <v>1625</v>
      </c>
      <c r="I530" s="473" t="s">
        <v>1644</v>
      </c>
      <c r="J530" s="473">
        <v>1</v>
      </c>
      <c r="K530" s="472" t="s">
        <v>2482</v>
      </c>
    </row>
    <row r="531" spans="1:11" ht="15.75" hidden="1">
      <c r="A531" s="454">
        <v>44291</v>
      </c>
      <c r="B531" s="459" t="s">
        <v>2182</v>
      </c>
      <c r="C531" s="455" t="s">
        <v>2486</v>
      </c>
      <c r="D531" s="455" t="s">
        <v>2487</v>
      </c>
      <c r="E531" s="461">
        <v>210000000</v>
      </c>
      <c r="F531" s="464" t="s">
        <v>2292</v>
      </c>
      <c r="G531" s="464"/>
      <c r="H531" s="460" t="s">
        <v>2161</v>
      </c>
      <c r="I531" s="460" t="s">
        <v>1644</v>
      </c>
      <c r="J531" s="460">
        <v>1</v>
      </c>
      <c r="K531" s="455" t="s">
        <v>2482</v>
      </c>
    </row>
    <row r="532" spans="1:11" ht="15.75" hidden="1">
      <c r="A532" s="454">
        <v>44291</v>
      </c>
      <c r="B532" s="459" t="s">
        <v>2182</v>
      </c>
      <c r="C532" s="455" t="s">
        <v>2488</v>
      </c>
      <c r="D532" s="455" t="s">
        <v>2489</v>
      </c>
      <c r="E532" s="461">
        <v>205000000</v>
      </c>
      <c r="F532" s="464" t="s">
        <v>2292</v>
      </c>
      <c r="G532" s="464"/>
      <c r="H532" s="460" t="s">
        <v>2161</v>
      </c>
      <c r="I532" s="460" t="s">
        <v>1644</v>
      </c>
      <c r="J532" s="460">
        <v>1</v>
      </c>
      <c r="K532" s="455" t="s">
        <v>2482</v>
      </c>
    </row>
    <row r="533" spans="1:11" ht="15.75" hidden="1">
      <c r="A533" s="454">
        <v>44291</v>
      </c>
      <c r="B533" s="459" t="s">
        <v>2060</v>
      </c>
      <c r="C533" s="455" t="s">
        <v>2490</v>
      </c>
      <c r="D533" s="455" t="s">
        <v>2491</v>
      </c>
      <c r="E533" s="461">
        <v>330000000</v>
      </c>
      <c r="F533" s="464" t="s">
        <v>2213</v>
      </c>
      <c r="G533" s="464"/>
      <c r="H533" s="460" t="s">
        <v>2161</v>
      </c>
      <c r="I533" s="460" t="s">
        <v>1644</v>
      </c>
      <c r="J533" s="460">
        <v>1</v>
      </c>
      <c r="K533" s="455" t="s">
        <v>2482</v>
      </c>
    </row>
    <row r="534" spans="1:11" ht="15.75" hidden="1">
      <c r="A534" s="454">
        <v>44321</v>
      </c>
      <c r="B534" s="459" t="s">
        <v>1966</v>
      </c>
      <c r="C534" s="455" t="s">
        <v>2492</v>
      </c>
      <c r="D534" s="455" t="s">
        <v>2493</v>
      </c>
      <c r="E534" s="461">
        <v>290000000</v>
      </c>
      <c r="F534" s="464" t="s">
        <v>2213</v>
      </c>
      <c r="G534" s="464"/>
      <c r="H534" s="460" t="s">
        <v>1625</v>
      </c>
      <c r="I534" s="460" t="s">
        <v>1644</v>
      </c>
      <c r="J534" s="460">
        <v>1</v>
      </c>
      <c r="K534" s="455" t="s">
        <v>2482</v>
      </c>
    </row>
    <row r="535" spans="1:11" ht="15.75" hidden="1">
      <c r="A535" s="454" t="s">
        <v>2494</v>
      </c>
      <c r="B535" s="459" t="s">
        <v>2182</v>
      </c>
      <c r="C535" s="455" t="s">
        <v>529</v>
      </c>
      <c r="D535" s="455" t="s">
        <v>2495</v>
      </c>
      <c r="E535" s="461">
        <v>215000000</v>
      </c>
      <c r="F535" s="464" t="s">
        <v>2292</v>
      </c>
      <c r="G535" s="464"/>
      <c r="H535" s="460" t="s">
        <v>1625</v>
      </c>
      <c r="I535" s="460" t="s">
        <v>1644</v>
      </c>
      <c r="J535" s="460">
        <v>1</v>
      </c>
      <c r="K535" s="455" t="s">
        <v>2482</v>
      </c>
    </row>
    <row r="536" spans="1:11" ht="15.75" hidden="1">
      <c r="A536" s="454" t="s">
        <v>2496</v>
      </c>
      <c r="B536" s="459" t="s">
        <v>2182</v>
      </c>
      <c r="C536" s="455" t="s">
        <v>2497</v>
      </c>
      <c r="D536" s="455" t="s">
        <v>2498</v>
      </c>
      <c r="E536" s="461">
        <v>220000000</v>
      </c>
      <c r="F536" s="464" t="s">
        <v>2292</v>
      </c>
      <c r="G536" s="464"/>
      <c r="H536" s="460" t="s">
        <v>2161</v>
      </c>
      <c r="I536" s="460" t="s">
        <v>1644</v>
      </c>
      <c r="J536" s="460">
        <v>1</v>
      </c>
      <c r="K536" s="455" t="s">
        <v>2482</v>
      </c>
    </row>
    <row r="537" spans="1:11" ht="15.75" hidden="1">
      <c r="A537" s="454" t="s">
        <v>2496</v>
      </c>
      <c r="B537" s="459" t="s">
        <v>2182</v>
      </c>
      <c r="C537" s="455" t="s">
        <v>2499</v>
      </c>
      <c r="D537" s="455" t="s">
        <v>2498</v>
      </c>
      <c r="E537" s="461">
        <v>208000000</v>
      </c>
      <c r="F537" s="464" t="s">
        <v>2292</v>
      </c>
      <c r="G537" s="464"/>
      <c r="H537" s="460" t="s">
        <v>2161</v>
      </c>
      <c r="I537" s="460" t="s">
        <v>1644</v>
      </c>
      <c r="J537" s="460">
        <v>1</v>
      </c>
      <c r="K537" s="455" t="s">
        <v>2482</v>
      </c>
    </row>
    <row r="538" spans="1:11" ht="15.75" hidden="1">
      <c r="A538" s="454" t="s">
        <v>2496</v>
      </c>
      <c r="B538" s="459" t="s">
        <v>2182</v>
      </c>
      <c r="C538" s="455" t="s">
        <v>2500</v>
      </c>
      <c r="D538" s="455" t="s">
        <v>75</v>
      </c>
      <c r="E538" s="461">
        <v>240000000</v>
      </c>
      <c r="F538" s="464" t="s">
        <v>2292</v>
      </c>
      <c r="G538" s="464"/>
      <c r="H538" s="460" t="s">
        <v>1625</v>
      </c>
      <c r="I538" s="460" t="s">
        <v>1644</v>
      </c>
      <c r="J538" s="460">
        <v>1</v>
      </c>
      <c r="K538" s="455" t="s">
        <v>2482</v>
      </c>
    </row>
    <row r="539" spans="1:11" ht="15.75" hidden="1">
      <c r="A539" s="412">
        <v>44260</v>
      </c>
      <c r="B539" s="411" t="s">
        <v>2182</v>
      </c>
      <c r="C539" s="381" t="s">
        <v>2501</v>
      </c>
      <c r="D539" s="381" t="s">
        <v>2502</v>
      </c>
      <c r="E539" s="451">
        <v>1400000</v>
      </c>
      <c r="F539" s="275" t="s">
        <v>2213</v>
      </c>
      <c r="G539" s="275"/>
      <c r="H539" s="383" t="s">
        <v>1625</v>
      </c>
      <c r="I539" s="383" t="s">
        <v>1644</v>
      </c>
      <c r="J539" s="383">
        <v>1</v>
      </c>
      <c r="K539" s="381" t="s">
        <v>1496</v>
      </c>
    </row>
    <row r="540" spans="1:11" ht="15.75" hidden="1">
      <c r="A540" s="412">
        <v>44260</v>
      </c>
      <c r="B540" s="411" t="s">
        <v>2182</v>
      </c>
      <c r="C540" s="381" t="s">
        <v>2503</v>
      </c>
      <c r="D540" s="381" t="s">
        <v>2502</v>
      </c>
      <c r="E540" s="451">
        <v>1500000</v>
      </c>
      <c r="F540" s="275" t="s">
        <v>2306</v>
      </c>
      <c r="G540" s="275"/>
      <c r="H540" s="383" t="s">
        <v>2161</v>
      </c>
      <c r="I540" s="383" t="s">
        <v>1644</v>
      </c>
      <c r="J540" s="383">
        <v>1</v>
      </c>
      <c r="K540" s="381" t="s">
        <v>1499</v>
      </c>
    </row>
    <row r="541" spans="1:11" ht="15.75" hidden="1">
      <c r="A541" s="412">
        <v>44260</v>
      </c>
      <c r="B541" s="411" t="s">
        <v>2182</v>
      </c>
      <c r="C541" s="381" t="s">
        <v>2504</v>
      </c>
      <c r="D541" s="381" t="s">
        <v>2502</v>
      </c>
      <c r="E541" s="451">
        <v>1550000</v>
      </c>
      <c r="F541" s="275" t="s">
        <v>2292</v>
      </c>
      <c r="G541" s="505"/>
      <c r="H541" s="467" t="s">
        <v>1625</v>
      </c>
      <c r="I541" s="383" t="s">
        <v>1644</v>
      </c>
      <c r="J541" s="383">
        <v>1</v>
      </c>
      <c r="K541" s="381" t="s">
        <v>1499</v>
      </c>
    </row>
    <row r="542" spans="1:11" ht="15.75" hidden="1">
      <c r="A542" s="412">
        <v>44352</v>
      </c>
      <c r="B542" s="411" t="s">
        <v>2182</v>
      </c>
      <c r="C542" s="381" t="s">
        <v>2505</v>
      </c>
      <c r="D542" s="381" t="s">
        <v>2506</v>
      </c>
      <c r="E542" s="451">
        <v>1500000</v>
      </c>
      <c r="F542" s="275" t="s">
        <v>2306</v>
      </c>
      <c r="G542" s="275"/>
      <c r="H542" s="383" t="s">
        <v>2161</v>
      </c>
      <c r="I542" s="383" t="s">
        <v>1644</v>
      </c>
      <c r="J542" s="383">
        <v>1</v>
      </c>
      <c r="K542" s="381" t="s">
        <v>1499</v>
      </c>
    </row>
    <row r="543" spans="1:11" ht="15.75" hidden="1">
      <c r="A543" s="412">
        <v>44352</v>
      </c>
      <c r="B543" s="411" t="s">
        <v>2182</v>
      </c>
      <c r="C543" s="381" t="s">
        <v>2507</v>
      </c>
      <c r="D543" s="381" t="s">
        <v>2493</v>
      </c>
      <c r="E543" s="451">
        <v>1000000</v>
      </c>
      <c r="F543" s="275" t="s">
        <v>2213</v>
      </c>
      <c r="G543" s="275"/>
      <c r="H543" s="383" t="s">
        <v>1625</v>
      </c>
      <c r="I543" s="383" t="s">
        <v>1644</v>
      </c>
      <c r="J543" s="383">
        <v>1</v>
      </c>
      <c r="K543" s="381" t="s">
        <v>1499</v>
      </c>
    </row>
    <row r="544" spans="1:11" ht="15.75" hidden="1">
      <c r="A544" s="412">
        <v>44352</v>
      </c>
      <c r="B544" s="411" t="s">
        <v>2182</v>
      </c>
      <c r="C544" s="381" t="s">
        <v>2508</v>
      </c>
      <c r="D544" s="381" t="s">
        <v>2509</v>
      </c>
      <c r="E544" s="451">
        <v>1250000</v>
      </c>
      <c r="F544" s="275" t="s">
        <v>2292</v>
      </c>
      <c r="G544" s="275"/>
      <c r="H544" s="383" t="s">
        <v>2161</v>
      </c>
      <c r="I544" s="383" t="s">
        <v>1644</v>
      </c>
      <c r="J544" s="383">
        <v>1</v>
      </c>
      <c r="K544" s="381" t="s">
        <v>1496</v>
      </c>
    </row>
    <row r="545" spans="1:11" ht="15.75" hidden="1">
      <c r="A545" s="412">
        <v>44352</v>
      </c>
      <c r="B545" s="411" t="s">
        <v>2182</v>
      </c>
      <c r="C545" s="381" t="s">
        <v>2510</v>
      </c>
      <c r="D545" s="381" t="s">
        <v>2506</v>
      </c>
      <c r="E545" s="451">
        <v>1300000</v>
      </c>
      <c r="F545" s="275" t="s">
        <v>2292</v>
      </c>
      <c r="G545" s="275"/>
      <c r="H545" s="383" t="s">
        <v>1625</v>
      </c>
      <c r="I545" s="383" t="s">
        <v>1644</v>
      </c>
      <c r="J545" s="383">
        <v>1</v>
      </c>
      <c r="K545" s="381" t="s">
        <v>1496</v>
      </c>
    </row>
    <row r="546" spans="1:11" ht="15.75" hidden="1">
      <c r="A546" s="393">
        <v>44474</v>
      </c>
      <c r="B546" s="381" t="s">
        <v>2182</v>
      </c>
      <c r="C546" s="381" t="s">
        <v>2511</v>
      </c>
      <c r="D546" s="381" t="s">
        <v>2512</v>
      </c>
      <c r="E546" s="451">
        <v>860000</v>
      </c>
      <c r="F546" s="275" t="s">
        <v>2213</v>
      </c>
      <c r="G546" s="275"/>
      <c r="H546" s="383" t="s">
        <v>2513</v>
      </c>
      <c r="I546" s="383" t="s">
        <v>1644</v>
      </c>
      <c r="J546" s="383">
        <v>1</v>
      </c>
      <c r="K546" s="381" t="s">
        <v>1496</v>
      </c>
    </row>
    <row r="547" spans="1:11" ht="15.75" hidden="1">
      <c r="A547" s="393">
        <v>44535</v>
      </c>
      <c r="B547" s="381" t="s">
        <v>2182</v>
      </c>
      <c r="C547" s="381" t="s">
        <v>975</v>
      </c>
      <c r="D547" s="381" t="s">
        <v>75</v>
      </c>
      <c r="E547" s="451">
        <v>1100000</v>
      </c>
      <c r="F547" s="275" t="s">
        <v>2292</v>
      </c>
      <c r="G547" s="275"/>
      <c r="H547" s="383" t="s">
        <v>2161</v>
      </c>
      <c r="I547" s="383" t="s">
        <v>1644</v>
      </c>
      <c r="J547" s="383">
        <v>1</v>
      </c>
      <c r="K547" s="381" t="s">
        <v>2514</v>
      </c>
    </row>
    <row r="548" spans="1:11" ht="15.75" hidden="1">
      <c r="A548" s="393">
        <v>44535</v>
      </c>
      <c r="B548" s="381" t="s">
        <v>2182</v>
      </c>
      <c r="C548" s="385" t="s">
        <v>282</v>
      </c>
      <c r="D548" s="385" t="s">
        <v>2498</v>
      </c>
      <c r="E548" s="462">
        <v>1200000</v>
      </c>
      <c r="F548" s="465" t="s">
        <v>2213</v>
      </c>
      <c r="G548" s="465"/>
      <c r="H548" s="387" t="s">
        <v>2161</v>
      </c>
      <c r="I548" s="387" t="s">
        <v>1644</v>
      </c>
      <c r="J548" s="387">
        <v>1</v>
      </c>
      <c r="K548" s="385" t="s">
        <v>1499</v>
      </c>
    </row>
    <row r="549" spans="1:11" ht="15.75" hidden="1">
      <c r="A549" s="393">
        <v>44535</v>
      </c>
      <c r="B549" s="381" t="s">
        <v>2182</v>
      </c>
      <c r="C549" s="385" t="s">
        <v>2515</v>
      </c>
      <c r="D549" s="385" t="s">
        <v>2237</v>
      </c>
      <c r="E549" s="462">
        <v>600000</v>
      </c>
      <c r="F549" s="465" t="s">
        <v>2292</v>
      </c>
      <c r="G549" s="465"/>
      <c r="H549" s="387" t="s">
        <v>2161</v>
      </c>
      <c r="I549" s="387" t="s">
        <v>1644</v>
      </c>
      <c r="J549" s="387">
        <v>1</v>
      </c>
      <c r="K549" s="385" t="s">
        <v>2514</v>
      </c>
    </row>
    <row r="550" spans="1:11" ht="15.75" hidden="1">
      <c r="A550" s="384" t="s">
        <v>2516</v>
      </c>
      <c r="B550" s="385" t="s">
        <v>2182</v>
      </c>
      <c r="C550" s="381" t="s">
        <v>2517</v>
      </c>
      <c r="D550" s="385" t="s">
        <v>2495</v>
      </c>
      <c r="E550" s="462">
        <v>950000</v>
      </c>
      <c r="F550" s="465" t="s">
        <v>2292</v>
      </c>
      <c r="G550" s="465"/>
      <c r="H550" s="387" t="s">
        <v>2161</v>
      </c>
      <c r="I550" s="387" t="s">
        <v>1644</v>
      </c>
      <c r="J550" s="387">
        <v>1</v>
      </c>
      <c r="K550" s="385" t="s">
        <v>1499</v>
      </c>
    </row>
    <row r="551" spans="1:11" ht="15.75" hidden="1">
      <c r="A551" s="384" t="s">
        <v>2518</v>
      </c>
      <c r="B551" s="385" t="s">
        <v>2182</v>
      </c>
      <c r="C551" s="385" t="s">
        <v>2519</v>
      </c>
      <c r="D551" s="385" t="s">
        <v>2520</v>
      </c>
      <c r="E551" s="462">
        <v>2000000</v>
      </c>
      <c r="F551" s="465" t="s">
        <v>2292</v>
      </c>
      <c r="G551" s="465"/>
      <c r="H551" s="387" t="s">
        <v>2161</v>
      </c>
      <c r="I551" s="387" t="s">
        <v>1644</v>
      </c>
      <c r="J551" s="387">
        <v>1</v>
      </c>
      <c r="K551" s="385" t="s">
        <v>2514</v>
      </c>
    </row>
    <row r="552" spans="1:11" ht="15.75" hidden="1">
      <c r="A552" s="384" t="s">
        <v>2518</v>
      </c>
      <c r="B552" s="385" t="s">
        <v>2182</v>
      </c>
      <c r="C552" s="385" t="s">
        <v>284</v>
      </c>
      <c r="D552" s="385" t="s">
        <v>2237</v>
      </c>
      <c r="E552" s="462">
        <v>870000</v>
      </c>
      <c r="F552" s="465" t="s">
        <v>2292</v>
      </c>
      <c r="G552" s="465"/>
      <c r="H552" s="387" t="s">
        <v>2161</v>
      </c>
      <c r="I552" s="387" t="s">
        <v>1644</v>
      </c>
      <c r="J552" s="387">
        <v>1</v>
      </c>
      <c r="K552" s="385" t="s">
        <v>2514</v>
      </c>
    </row>
    <row r="553" spans="1:11" ht="15.75" hidden="1">
      <c r="A553" s="384" t="s">
        <v>2494</v>
      </c>
      <c r="B553" s="385" t="s">
        <v>2182</v>
      </c>
      <c r="C553" s="385" t="s">
        <v>529</v>
      </c>
      <c r="D553" s="385" t="s">
        <v>2495</v>
      </c>
      <c r="E553" s="462">
        <v>1050000</v>
      </c>
      <c r="F553" s="465" t="s">
        <v>2292</v>
      </c>
      <c r="G553" s="465"/>
      <c r="H553" s="387" t="s">
        <v>1625</v>
      </c>
      <c r="I553" s="387" t="s">
        <v>1644</v>
      </c>
      <c r="J553" s="387">
        <v>1</v>
      </c>
      <c r="K553" s="385" t="s">
        <v>1499</v>
      </c>
    </row>
    <row r="554" spans="1:11" ht="15.75" hidden="1">
      <c r="A554" s="393" t="s">
        <v>2521</v>
      </c>
      <c r="B554" s="381" t="s">
        <v>2182</v>
      </c>
      <c r="C554" s="381" t="s">
        <v>2522</v>
      </c>
      <c r="D554" s="381" t="s">
        <v>2485</v>
      </c>
      <c r="E554" s="451">
        <v>900000</v>
      </c>
      <c r="F554" s="275" t="s">
        <v>2292</v>
      </c>
      <c r="G554" s="275"/>
      <c r="H554" s="383" t="s">
        <v>2161</v>
      </c>
      <c r="I554" s="383" t="s">
        <v>1644</v>
      </c>
      <c r="J554" s="383">
        <v>1</v>
      </c>
      <c r="K554" s="381" t="s">
        <v>1499</v>
      </c>
    </row>
    <row r="555" spans="1:11" ht="15.75" hidden="1">
      <c r="A555" s="405" t="s">
        <v>2496</v>
      </c>
      <c r="B555" s="406" t="s">
        <v>2182</v>
      </c>
      <c r="C555" s="406" t="s">
        <v>280</v>
      </c>
      <c r="D555" s="406" t="s">
        <v>2498</v>
      </c>
      <c r="E555" s="490">
        <v>1300000</v>
      </c>
      <c r="F555" s="491" t="s">
        <v>2292</v>
      </c>
      <c r="G555" s="491"/>
      <c r="H555" s="408" t="s">
        <v>2161</v>
      </c>
      <c r="I555" s="408" t="s">
        <v>1644</v>
      </c>
      <c r="J555" s="408">
        <v>1</v>
      </c>
      <c r="K555" s="406" t="s">
        <v>1499</v>
      </c>
    </row>
    <row r="556" spans="1:11" ht="15.75" hidden="1">
      <c r="A556" s="405" t="s">
        <v>2496</v>
      </c>
      <c r="B556" s="406" t="s">
        <v>2182</v>
      </c>
      <c r="C556" s="406" t="s">
        <v>243</v>
      </c>
      <c r="D556" s="406" t="s">
        <v>2498</v>
      </c>
      <c r="E556" s="490">
        <v>1300000</v>
      </c>
      <c r="F556" s="491" t="s">
        <v>2292</v>
      </c>
      <c r="G556" s="491"/>
      <c r="H556" s="408" t="s">
        <v>1625</v>
      </c>
      <c r="I556" s="408" t="s">
        <v>1644</v>
      </c>
      <c r="J556" s="408">
        <v>1</v>
      </c>
      <c r="K556" s="406" t="s">
        <v>2514</v>
      </c>
    </row>
    <row r="557" spans="1:11" ht="15.75" hidden="1">
      <c r="A557" s="405" t="s">
        <v>2523</v>
      </c>
      <c r="B557" s="406" t="s">
        <v>2182</v>
      </c>
      <c r="C557" s="406" t="s">
        <v>2524</v>
      </c>
      <c r="D557" s="406" t="s">
        <v>75</v>
      </c>
      <c r="E557" s="490">
        <v>1400000</v>
      </c>
      <c r="F557" s="491" t="s">
        <v>2213</v>
      </c>
      <c r="G557" s="491"/>
      <c r="H557" s="408" t="s">
        <v>2161</v>
      </c>
      <c r="I557" s="408" t="s">
        <v>1644</v>
      </c>
      <c r="J557" s="408">
        <v>1</v>
      </c>
      <c r="K557" s="406" t="s">
        <v>2514</v>
      </c>
    </row>
    <row r="558" spans="1:11" ht="15.75" hidden="1">
      <c r="A558" s="405" t="s">
        <v>2523</v>
      </c>
      <c r="B558" s="406" t="s">
        <v>2182</v>
      </c>
      <c r="C558" s="406" t="s">
        <v>2525</v>
      </c>
      <c r="D558" s="406" t="s">
        <v>2253</v>
      </c>
      <c r="E558" s="490">
        <v>650000</v>
      </c>
      <c r="F558" s="491" t="s">
        <v>2213</v>
      </c>
      <c r="G558" s="491"/>
      <c r="H558" s="408" t="s">
        <v>2161</v>
      </c>
      <c r="I558" s="408" t="s">
        <v>1644</v>
      </c>
      <c r="J558" s="408">
        <v>1</v>
      </c>
      <c r="K558" s="406" t="s">
        <v>2514</v>
      </c>
    </row>
    <row r="559" spans="1:11" ht="15.75" hidden="1">
      <c r="A559" s="419"/>
      <c r="B559" s="420"/>
      <c r="C559" s="420"/>
      <c r="D559" s="420"/>
      <c r="E559" s="463"/>
      <c r="F559" s="466"/>
      <c r="G559" s="466"/>
      <c r="H559" s="422"/>
      <c r="I559" s="422"/>
      <c r="J559" s="492">
        <f>SUM(J526:J558)</f>
        <v>33</v>
      </c>
      <c r="K559" s="420"/>
    </row>
    <row r="560" spans="1:11" ht="15.75" hidden="1">
      <c r="A560" s="394"/>
      <c r="B560" s="395"/>
      <c r="C560" s="395"/>
      <c r="D560" s="395"/>
      <c r="E560" s="396"/>
      <c r="F560" s="397"/>
      <c r="G560" s="397"/>
      <c r="H560" s="397"/>
      <c r="I560" s="395"/>
      <c r="J560" s="395"/>
      <c r="K560" s="395"/>
    </row>
    <row r="561" spans="1:11" ht="26.25" hidden="1">
      <c r="A561" s="1667" t="s">
        <v>2526</v>
      </c>
      <c r="B561" s="1667"/>
      <c r="C561" s="1667"/>
      <c r="D561" s="1667"/>
      <c r="E561" s="1667"/>
      <c r="F561" s="1667"/>
      <c r="G561" s="1667"/>
      <c r="H561" s="1667"/>
      <c r="I561" s="1667"/>
      <c r="J561" s="1667"/>
      <c r="K561" s="1667"/>
    </row>
    <row r="562" spans="1:11" ht="31.5" hidden="1">
      <c r="A562" s="375" t="s">
        <v>1941</v>
      </c>
      <c r="B562" s="378" t="s">
        <v>1942</v>
      </c>
      <c r="C562" s="378" t="s">
        <v>1943</v>
      </c>
      <c r="D562" s="378" t="s">
        <v>1944</v>
      </c>
      <c r="E562" s="452" t="s">
        <v>1945</v>
      </c>
      <c r="F562" s="378" t="s">
        <v>1946</v>
      </c>
      <c r="G562" s="378"/>
      <c r="H562" s="378" t="s">
        <v>1947</v>
      </c>
      <c r="I562" s="378" t="s">
        <v>1948</v>
      </c>
      <c r="J562" s="453" t="s">
        <v>1949</v>
      </c>
      <c r="K562" s="378" t="s">
        <v>1950</v>
      </c>
    </row>
    <row r="563" spans="1:11" ht="15.75" hidden="1">
      <c r="A563" s="474">
        <v>44382</v>
      </c>
      <c r="B563" s="472" t="s">
        <v>2182</v>
      </c>
      <c r="C563" s="472" t="s">
        <v>2527</v>
      </c>
      <c r="D563" s="472" t="s">
        <v>2528</v>
      </c>
      <c r="E563" s="475">
        <v>290000000</v>
      </c>
      <c r="F563" s="472" t="s">
        <v>2292</v>
      </c>
      <c r="G563" s="472"/>
      <c r="H563" s="473" t="s">
        <v>1625</v>
      </c>
      <c r="I563" s="473" t="s">
        <v>1644</v>
      </c>
      <c r="J563" s="473">
        <v>1</v>
      </c>
      <c r="K563" s="472" t="s">
        <v>2482</v>
      </c>
    </row>
    <row r="564" spans="1:11" ht="15.75" hidden="1">
      <c r="A564" s="474" t="s">
        <v>2496</v>
      </c>
      <c r="B564" s="455" t="s">
        <v>2182</v>
      </c>
      <c r="C564" s="455" t="s">
        <v>2529</v>
      </c>
      <c r="D564" s="455" t="s">
        <v>75</v>
      </c>
      <c r="E564" s="461">
        <v>316000000</v>
      </c>
      <c r="F564" s="455" t="s">
        <v>2306</v>
      </c>
      <c r="G564" s="455"/>
      <c r="H564" s="460" t="s">
        <v>2161</v>
      </c>
      <c r="I564" s="460" t="s">
        <v>1644</v>
      </c>
      <c r="J564" s="460">
        <v>1</v>
      </c>
      <c r="K564" s="455" t="s">
        <v>2482</v>
      </c>
    </row>
    <row r="565" spans="1:11" ht="15.75" hidden="1">
      <c r="A565" s="454" t="s">
        <v>2523</v>
      </c>
      <c r="B565" s="459" t="s">
        <v>2182</v>
      </c>
      <c r="C565" s="455" t="s">
        <v>2530</v>
      </c>
      <c r="D565" s="455" t="s">
        <v>75</v>
      </c>
      <c r="E565" s="461">
        <v>280000000</v>
      </c>
      <c r="F565" s="455" t="s">
        <v>2213</v>
      </c>
      <c r="G565" s="455"/>
      <c r="H565" s="460" t="s">
        <v>1625</v>
      </c>
      <c r="I565" s="460" t="s">
        <v>1644</v>
      </c>
      <c r="J565" s="460">
        <v>1</v>
      </c>
      <c r="K565" s="455" t="s">
        <v>2482</v>
      </c>
    </row>
    <row r="566" spans="1:11" ht="15.75" hidden="1">
      <c r="A566" s="480" t="s">
        <v>2445</v>
      </c>
      <c r="B566" s="426" t="s">
        <v>2034</v>
      </c>
      <c r="C566" s="385" t="s">
        <v>2531</v>
      </c>
      <c r="D566" s="385" t="s">
        <v>2166</v>
      </c>
      <c r="E566" s="462">
        <v>3300000</v>
      </c>
      <c r="F566" s="385" t="s">
        <v>2213</v>
      </c>
      <c r="G566" s="385"/>
      <c r="H566" s="387" t="s">
        <v>1955</v>
      </c>
      <c r="I566" s="387" t="s">
        <v>1644</v>
      </c>
      <c r="J566" s="387">
        <v>1</v>
      </c>
      <c r="K566" s="385" t="s">
        <v>1496</v>
      </c>
    </row>
    <row r="567" spans="1:11" ht="15.75" hidden="1">
      <c r="A567" s="412" t="s">
        <v>2532</v>
      </c>
      <c r="B567" s="381" t="s">
        <v>2182</v>
      </c>
      <c r="C567" s="381" t="s">
        <v>2533</v>
      </c>
      <c r="D567" s="381" t="s">
        <v>2506</v>
      </c>
      <c r="E567" s="451">
        <v>1350000</v>
      </c>
      <c r="F567" s="381" t="s">
        <v>2292</v>
      </c>
      <c r="G567" s="381"/>
      <c r="H567" s="383" t="s">
        <v>1625</v>
      </c>
      <c r="I567" s="383" t="s">
        <v>1644</v>
      </c>
      <c r="J567" s="383">
        <v>1</v>
      </c>
      <c r="K567" s="381" t="s">
        <v>1496</v>
      </c>
    </row>
    <row r="568" spans="1:11" ht="15.75" hidden="1">
      <c r="A568" s="481">
        <v>44291</v>
      </c>
      <c r="B568" s="482" t="s">
        <v>2182</v>
      </c>
      <c r="C568" s="482" t="s">
        <v>2534</v>
      </c>
      <c r="D568" s="482" t="s">
        <v>2498</v>
      </c>
      <c r="E568" s="483">
        <v>1300000</v>
      </c>
      <c r="F568" s="482" t="s">
        <v>2292</v>
      </c>
      <c r="G568" s="482"/>
      <c r="H568" s="484" t="s">
        <v>2161</v>
      </c>
      <c r="I568" s="484" t="s">
        <v>1644</v>
      </c>
      <c r="J568" s="484">
        <v>1</v>
      </c>
      <c r="K568" s="482" t="s">
        <v>1499</v>
      </c>
    </row>
    <row r="569" spans="1:11" ht="15.75" hidden="1">
      <c r="A569" s="443">
        <v>44291</v>
      </c>
      <c r="B569" s="381" t="s">
        <v>2182</v>
      </c>
      <c r="C569" s="381" t="s">
        <v>2535</v>
      </c>
      <c r="D569" s="381" t="s">
        <v>2498</v>
      </c>
      <c r="E569" s="451">
        <v>1150000</v>
      </c>
      <c r="F569" s="381" t="s">
        <v>2536</v>
      </c>
      <c r="G569" s="381"/>
      <c r="H569" s="383" t="s">
        <v>1625</v>
      </c>
      <c r="I569" s="383" t="s">
        <v>1644</v>
      </c>
      <c r="J569" s="383">
        <v>1</v>
      </c>
      <c r="K569" s="381" t="s">
        <v>1499</v>
      </c>
    </row>
    <row r="570" spans="1:11" ht="15.75" hidden="1">
      <c r="A570" s="412">
        <v>44352</v>
      </c>
      <c r="B570" s="411" t="s">
        <v>2182</v>
      </c>
      <c r="C570" s="381" t="s">
        <v>2537</v>
      </c>
      <c r="D570" s="381" t="s">
        <v>2528</v>
      </c>
      <c r="E570" s="451">
        <v>1350000</v>
      </c>
      <c r="F570" s="381" t="s">
        <v>2292</v>
      </c>
      <c r="G570" s="381"/>
      <c r="H570" s="383" t="s">
        <v>1625</v>
      </c>
      <c r="I570" s="383" t="s">
        <v>1644</v>
      </c>
      <c r="J570" s="383">
        <v>1</v>
      </c>
      <c r="K570" s="381" t="s">
        <v>1499</v>
      </c>
    </row>
    <row r="571" spans="1:11" ht="15.75" hidden="1">
      <c r="A571" s="412">
        <v>44352</v>
      </c>
      <c r="B571" s="411" t="s">
        <v>2182</v>
      </c>
      <c r="C571" s="381" t="s">
        <v>2538</v>
      </c>
      <c r="D571" s="381" t="s">
        <v>2528</v>
      </c>
      <c r="E571" s="451">
        <v>1350000</v>
      </c>
      <c r="F571" s="381" t="s">
        <v>2292</v>
      </c>
      <c r="G571" s="381"/>
      <c r="H571" s="383" t="s">
        <v>1625</v>
      </c>
      <c r="I571" s="383" t="s">
        <v>1644</v>
      </c>
      <c r="J571" s="383">
        <v>1</v>
      </c>
      <c r="K571" s="381" t="s">
        <v>1496</v>
      </c>
    </row>
    <row r="572" spans="1:11" ht="15.75" hidden="1">
      <c r="A572" s="443">
        <v>44382</v>
      </c>
      <c r="B572" s="385" t="s">
        <v>2182</v>
      </c>
      <c r="C572" s="385" t="s">
        <v>2539</v>
      </c>
      <c r="D572" s="385" t="s">
        <v>75</v>
      </c>
      <c r="E572" s="462">
        <v>1450000</v>
      </c>
      <c r="F572" s="385" t="s">
        <v>2292</v>
      </c>
      <c r="G572" s="385"/>
      <c r="H572" s="387" t="s">
        <v>1625</v>
      </c>
      <c r="I572" s="387" t="s">
        <v>1644</v>
      </c>
      <c r="J572" s="387">
        <v>1</v>
      </c>
      <c r="K572" s="385" t="s">
        <v>1499</v>
      </c>
    </row>
    <row r="573" spans="1:11" ht="15.75" hidden="1">
      <c r="A573" s="443">
        <v>44474</v>
      </c>
      <c r="B573" s="381" t="s">
        <v>2182</v>
      </c>
      <c r="C573" s="381" t="s">
        <v>2540</v>
      </c>
      <c r="D573" s="381" t="s">
        <v>2506</v>
      </c>
      <c r="E573" s="451">
        <v>1250000</v>
      </c>
      <c r="F573" s="381" t="s">
        <v>2292</v>
      </c>
      <c r="G573" s="381"/>
      <c r="H573" s="383" t="s">
        <v>1625</v>
      </c>
      <c r="I573" s="383" t="s">
        <v>1644</v>
      </c>
      <c r="J573" s="383">
        <v>1</v>
      </c>
      <c r="K573" s="381" t="s">
        <v>1496</v>
      </c>
    </row>
    <row r="574" spans="1:11" ht="15.75" hidden="1">
      <c r="A574" s="412">
        <v>44474</v>
      </c>
      <c r="B574" s="411" t="s">
        <v>2182</v>
      </c>
      <c r="C574" s="381" t="s">
        <v>2541</v>
      </c>
      <c r="D574" s="381" t="s">
        <v>2495</v>
      </c>
      <c r="E574" s="451">
        <v>950000</v>
      </c>
      <c r="F574" s="381" t="s">
        <v>2306</v>
      </c>
      <c r="G574" s="381"/>
      <c r="H574" s="383" t="s">
        <v>1625</v>
      </c>
      <c r="I574" s="383" t="s">
        <v>1644</v>
      </c>
      <c r="J574" s="383">
        <v>1</v>
      </c>
      <c r="K574" s="381" t="s">
        <v>1499</v>
      </c>
    </row>
    <row r="575" spans="1:11" ht="15.75" hidden="1">
      <c r="A575" s="412">
        <v>44474</v>
      </c>
      <c r="B575" s="411" t="s">
        <v>2182</v>
      </c>
      <c r="C575" s="381" t="s">
        <v>237</v>
      </c>
      <c r="D575" s="381" t="s">
        <v>75</v>
      </c>
      <c r="E575" s="451">
        <v>2100000</v>
      </c>
      <c r="F575" s="381" t="s">
        <v>2292</v>
      </c>
      <c r="G575" s="381"/>
      <c r="H575" s="383" t="s">
        <v>2161</v>
      </c>
      <c r="I575" s="383" t="s">
        <v>1644</v>
      </c>
      <c r="J575" s="383">
        <v>1</v>
      </c>
      <c r="K575" s="381" t="s">
        <v>1499</v>
      </c>
    </row>
    <row r="576" spans="1:11" ht="15.75" hidden="1">
      <c r="A576" s="393">
        <v>44535</v>
      </c>
      <c r="B576" s="381" t="s">
        <v>1966</v>
      </c>
      <c r="C576" s="381" t="s">
        <v>2542</v>
      </c>
      <c r="D576" s="381" t="s">
        <v>2543</v>
      </c>
      <c r="E576" s="451">
        <v>1350000</v>
      </c>
      <c r="F576" s="381" t="s">
        <v>2213</v>
      </c>
      <c r="G576" s="381"/>
      <c r="H576" s="383" t="s">
        <v>1625</v>
      </c>
      <c r="I576" s="383" t="s">
        <v>1644</v>
      </c>
      <c r="J576" s="383">
        <v>1</v>
      </c>
      <c r="K576" s="381" t="s">
        <v>2514</v>
      </c>
    </row>
    <row r="577" spans="1:11" ht="15.75" hidden="1">
      <c r="A577" s="380" t="s">
        <v>2544</v>
      </c>
      <c r="B577" s="381" t="s">
        <v>2182</v>
      </c>
      <c r="C577" s="381" t="s">
        <v>2545</v>
      </c>
      <c r="D577" s="381" t="s">
        <v>2502</v>
      </c>
      <c r="E577" s="451">
        <v>1150000</v>
      </c>
      <c r="F577" s="381" t="s">
        <v>2292</v>
      </c>
      <c r="G577" s="381"/>
      <c r="H577" s="383" t="s">
        <v>1625</v>
      </c>
      <c r="I577" s="383" t="s">
        <v>1644</v>
      </c>
      <c r="J577" s="383">
        <v>1</v>
      </c>
      <c r="K577" s="381" t="s">
        <v>2514</v>
      </c>
    </row>
    <row r="578" spans="1:11" ht="15.75" hidden="1">
      <c r="A578" s="380" t="s">
        <v>2544</v>
      </c>
      <c r="B578" s="381" t="s">
        <v>2182</v>
      </c>
      <c r="C578" s="381" t="s">
        <v>2546</v>
      </c>
      <c r="D578" s="381" t="s">
        <v>2502</v>
      </c>
      <c r="E578" s="451">
        <v>1100000</v>
      </c>
      <c r="F578" s="381" t="s">
        <v>2292</v>
      </c>
      <c r="G578" s="381"/>
      <c r="H578" s="383" t="s">
        <v>1625</v>
      </c>
      <c r="I578" s="383" t="s">
        <v>1644</v>
      </c>
      <c r="J578" s="383">
        <v>1</v>
      </c>
      <c r="K578" s="381" t="s">
        <v>2514</v>
      </c>
    </row>
    <row r="579" spans="1:11" ht="15.75" hidden="1">
      <c r="A579" s="380" t="s">
        <v>2547</v>
      </c>
      <c r="B579" s="381" t="s">
        <v>2182</v>
      </c>
      <c r="C579" s="385" t="s">
        <v>2548</v>
      </c>
      <c r="D579" s="385" t="s">
        <v>2528</v>
      </c>
      <c r="E579" s="462">
        <v>1600000</v>
      </c>
      <c r="F579" s="385" t="s">
        <v>2292</v>
      </c>
      <c r="G579" s="385"/>
      <c r="H579" s="387" t="s">
        <v>1625</v>
      </c>
      <c r="I579" s="387" t="s">
        <v>1644</v>
      </c>
      <c r="J579" s="387">
        <v>1</v>
      </c>
      <c r="K579" s="385" t="s">
        <v>2514</v>
      </c>
    </row>
    <row r="580" spans="1:11" ht="15.75" hidden="1">
      <c r="A580" s="384" t="s">
        <v>2518</v>
      </c>
      <c r="B580" s="385" t="s">
        <v>2182</v>
      </c>
      <c r="C580" s="381" t="s">
        <v>2549</v>
      </c>
      <c r="D580" s="385" t="s">
        <v>2506</v>
      </c>
      <c r="E580" s="462">
        <v>1250000</v>
      </c>
      <c r="F580" s="385" t="s">
        <v>2292</v>
      </c>
      <c r="G580" s="385"/>
      <c r="H580" s="387" t="s">
        <v>2161</v>
      </c>
      <c r="I580" s="387" t="s">
        <v>1644</v>
      </c>
      <c r="J580" s="387">
        <v>1</v>
      </c>
      <c r="K580" s="385" t="s">
        <v>2514</v>
      </c>
    </row>
    <row r="581" spans="1:11" ht="15.75" hidden="1">
      <c r="A581" s="384" t="s">
        <v>2550</v>
      </c>
      <c r="B581" s="385" t="s">
        <v>2182</v>
      </c>
      <c r="C581" s="385" t="s">
        <v>2551</v>
      </c>
      <c r="D581" s="385" t="s">
        <v>2552</v>
      </c>
      <c r="E581" s="462">
        <v>1500000</v>
      </c>
      <c r="F581" s="385" t="s">
        <v>2213</v>
      </c>
      <c r="G581" s="385"/>
      <c r="H581" s="387" t="s">
        <v>2161</v>
      </c>
      <c r="I581" s="387" t="s">
        <v>1644</v>
      </c>
      <c r="J581" s="387">
        <v>1</v>
      </c>
      <c r="K581" s="385" t="s">
        <v>2514</v>
      </c>
    </row>
    <row r="582" spans="1:11" ht="15.75" hidden="1">
      <c r="A582" s="384" t="s">
        <v>2521</v>
      </c>
      <c r="B582" s="385" t="s">
        <v>2182</v>
      </c>
      <c r="C582" s="385" t="s">
        <v>2553</v>
      </c>
      <c r="D582" s="385" t="s">
        <v>2528</v>
      </c>
      <c r="E582" s="462">
        <v>1600000</v>
      </c>
      <c r="F582" s="385" t="s">
        <v>2292</v>
      </c>
      <c r="G582" s="385"/>
      <c r="H582" s="387" t="s">
        <v>1625</v>
      </c>
      <c r="I582" s="387" t="s">
        <v>1644</v>
      </c>
      <c r="J582" s="387">
        <v>1</v>
      </c>
      <c r="K582" s="385" t="s">
        <v>2514</v>
      </c>
    </row>
    <row r="583" spans="1:11" ht="15.75" hidden="1">
      <c r="A583" s="443" t="s">
        <v>2523</v>
      </c>
      <c r="B583" s="381" t="s">
        <v>2182</v>
      </c>
      <c r="C583" s="381" t="s">
        <v>2554</v>
      </c>
      <c r="D583" s="381" t="s">
        <v>2506</v>
      </c>
      <c r="E583" s="462">
        <v>1350000</v>
      </c>
      <c r="F583" s="385" t="s">
        <v>2292</v>
      </c>
      <c r="G583" s="385"/>
      <c r="H583" s="387" t="s">
        <v>1625</v>
      </c>
      <c r="I583" s="387" t="s">
        <v>1644</v>
      </c>
      <c r="J583" s="387">
        <v>1</v>
      </c>
      <c r="K583" s="385" t="s">
        <v>2514</v>
      </c>
    </row>
    <row r="584" spans="1:11" ht="15.75" hidden="1">
      <c r="A584" s="443" t="s">
        <v>2555</v>
      </c>
      <c r="B584" s="381" t="s">
        <v>2182</v>
      </c>
      <c r="C584" s="381" t="s">
        <v>2556</v>
      </c>
      <c r="D584" s="381" t="s">
        <v>75</v>
      </c>
      <c r="E584" s="462">
        <v>2800000</v>
      </c>
      <c r="F584" s="385" t="s">
        <v>2213</v>
      </c>
      <c r="G584" s="385"/>
      <c r="H584" s="387" t="s">
        <v>1625</v>
      </c>
      <c r="I584" s="387" t="s">
        <v>1644</v>
      </c>
      <c r="J584" s="387">
        <v>1</v>
      </c>
      <c r="K584" s="385" t="s">
        <v>1499</v>
      </c>
    </row>
    <row r="585" spans="1:11" ht="15.75" hidden="1">
      <c r="A585" s="443" t="s">
        <v>2555</v>
      </c>
      <c r="B585" s="381" t="s">
        <v>2182</v>
      </c>
      <c r="C585" s="381" t="s">
        <v>2557</v>
      </c>
      <c r="D585" s="381" t="s">
        <v>75</v>
      </c>
      <c r="E585" s="462">
        <v>2500000</v>
      </c>
      <c r="F585" s="385" t="s">
        <v>2213</v>
      </c>
      <c r="G585" s="385"/>
      <c r="H585" s="387" t="s">
        <v>1625</v>
      </c>
      <c r="I585" s="387" t="s">
        <v>1644</v>
      </c>
      <c r="J585" s="387">
        <v>1</v>
      </c>
      <c r="K585" s="385" t="s">
        <v>1499</v>
      </c>
    </row>
    <row r="586" spans="1:11" ht="15.75" hidden="1">
      <c r="A586" s="393" t="s">
        <v>2555</v>
      </c>
      <c r="B586" s="381" t="s">
        <v>2182</v>
      </c>
      <c r="C586" s="381" t="s">
        <v>2558</v>
      </c>
      <c r="D586" s="381" t="s">
        <v>2559</v>
      </c>
      <c r="E586" s="451">
        <v>850000</v>
      </c>
      <c r="F586" s="381" t="s">
        <v>2213</v>
      </c>
      <c r="G586" s="381"/>
      <c r="H586" s="383" t="s">
        <v>2161</v>
      </c>
      <c r="I586" s="383" t="s">
        <v>1644</v>
      </c>
      <c r="J586" s="383">
        <v>1</v>
      </c>
      <c r="K586" s="381" t="s">
        <v>1499</v>
      </c>
    </row>
    <row r="587" spans="1:11" ht="15.75" hidden="1">
      <c r="A587" s="456"/>
      <c r="B587" s="457"/>
      <c r="C587" s="457"/>
      <c r="D587" s="457"/>
      <c r="E587" s="476"/>
      <c r="F587" s="457"/>
      <c r="G587" s="457"/>
      <c r="H587" s="153"/>
      <c r="I587" s="153"/>
      <c r="J587" s="493">
        <f>SUM(J563:J586)</f>
        <v>24</v>
      </c>
      <c r="K587" s="457"/>
    </row>
    <row r="588" spans="1:11" ht="15.75" hidden="1">
      <c r="A588" s="394"/>
      <c r="B588" s="395"/>
      <c r="C588" s="395"/>
      <c r="D588" s="395"/>
      <c r="E588" s="396"/>
      <c r="F588" s="397"/>
      <c r="G588" s="397"/>
      <c r="H588" s="395"/>
      <c r="I588" s="395"/>
      <c r="J588" s="395"/>
      <c r="K588" s="395"/>
    </row>
    <row r="589" spans="1:11" ht="26.25" hidden="1">
      <c r="A589" s="1667" t="s">
        <v>2560</v>
      </c>
      <c r="B589" s="1667"/>
      <c r="C589" s="1667"/>
      <c r="D589" s="1667"/>
      <c r="E589" s="1667"/>
      <c r="F589" s="1667"/>
      <c r="G589" s="1667"/>
      <c r="H589" s="1667"/>
      <c r="I589" s="1667"/>
      <c r="J589" s="1667"/>
      <c r="K589" s="1667"/>
    </row>
    <row r="590" spans="1:11" ht="31.5" hidden="1">
      <c r="A590" s="375" t="s">
        <v>1941</v>
      </c>
      <c r="B590" s="378" t="s">
        <v>1942</v>
      </c>
      <c r="C590" s="378" t="s">
        <v>1943</v>
      </c>
      <c r="D590" s="378" t="s">
        <v>1944</v>
      </c>
      <c r="E590" s="452" t="s">
        <v>1945</v>
      </c>
      <c r="F590" s="378" t="s">
        <v>1946</v>
      </c>
      <c r="G590" s="378"/>
      <c r="H590" s="378" t="s">
        <v>1947</v>
      </c>
      <c r="I590" s="378" t="s">
        <v>1948</v>
      </c>
      <c r="J590" s="453" t="s">
        <v>1949</v>
      </c>
      <c r="K590" s="378" t="s">
        <v>1950</v>
      </c>
    </row>
    <row r="591" spans="1:11" ht="15.75" hidden="1">
      <c r="A591" s="474">
        <v>44352</v>
      </c>
      <c r="B591" s="472" t="s">
        <v>2182</v>
      </c>
      <c r="C591" s="472" t="s">
        <v>2561</v>
      </c>
      <c r="D591" s="472" t="s">
        <v>2562</v>
      </c>
      <c r="E591" s="475">
        <v>260000000</v>
      </c>
      <c r="F591" s="472" t="s">
        <v>2213</v>
      </c>
      <c r="G591" s="472"/>
      <c r="H591" s="473" t="s">
        <v>1625</v>
      </c>
      <c r="I591" s="473" t="s">
        <v>1644</v>
      </c>
      <c r="J591" s="473">
        <v>1</v>
      </c>
      <c r="K591" s="472" t="s">
        <v>2482</v>
      </c>
    </row>
    <row r="592" spans="1:11" ht="15.75" hidden="1">
      <c r="A592" s="474" t="s">
        <v>2550</v>
      </c>
      <c r="B592" s="472" t="s">
        <v>2182</v>
      </c>
      <c r="C592" s="472" t="s">
        <v>2563</v>
      </c>
      <c r="D592" s="472" t="s">
        <v>75</v>
      </c>
      <c r="E592" s="475">
        <v>340000000</v>
      </c>
      <c r="F592" s="472" t="s">
        <v>2213</v>
      </c>
      <c r="G592" s="472"/>
      <c r="H592" s="473" t="s">
        <v>2161</v>
      </c>
      <c r="I592" s="473" t="s">
        <v>1644</v>
      </c>
      <c r="J592" s="473">
        <v>1</v>
      </c>
      <c r="K592" s="472" t="s">
        <v>2482</v>
      </c>
    </row>
    <row r="593" spans="1:11" ht="15.75" hidden="1">
      <c r="A593" s="474" t="s">
        <v>2564</v>
      </c>
      <c r="B593" s="472" t="s">
        <v>2182</v>
      </c>
      <c r="C593" s="472" t="s">
        <v>2565</v>
      </c>
      <c r="D593" s="472" t="s">
        <v>2253</v>
      </c>
      <c r="E593" s="475">
        <v>120000000</v>
      </c>
      <c r="F593" s="472" t="s">
        <v>2213</v>
      </c>
      <c r="G593" s="472"/>
      <c r="H593" s="473" t="s">
        <v>2161</v>
      </c>
      <c r="I593" s="473" t="s">
        <v>1644</v>
      </c>
      <c r="J593" s="473">
        <v>1</v>
      </c>
      <c r="K593" s="472" t="s">
        <v>2482</v>
      </c>
    </row>
    <row r="594" spans="1:11" ht="15.75" hidden="1">
      <c r="A594" s="443" t="s">
        <v>2445</v>
      </c>
      <c r="B594" s="426" t="s">
        <v>2182</v>
      </c>
      <c r="C594" s="385" t="s">
        <v>988</v>
      </c>
      <c r="D594" s="385" t="s">
        <v>2562</v>
      </c>
      <c r="E594" s="462">
        <v>1300000</v>
      </c>
      <c r="F594" s="385" t="s">
        <v>2292</v>
      </c>
      <c r="G594" s="385"/>
      <c r="H594" s="387" t="s">
        <v>1625</v>
      </c>
      <c r="I594" s="387" t="s">
        <v>1644</v>
      </c>
      <c r="J594" s="387">
        <v>1</v>
      </c>
      <c r="K594" s="385" t="s">
        <v>1496</v>
      </c>
    </row>
    <row r="595" spans="1:11" ht="15.75" hidden="1">
      <c r="A595" s="393" t="s">
        <v>2566</v>
      </c>
      <c r="B595" s="426" t="s">
        <v>2182</v>
      </c>
      <c r="C595" s="385" t="s">
        <v>2567</v>
      </c>
      <c r="D595" s="385" t="s">
        <v>2568</v>
      </c>
      <c r="E595" s="462">
        <v>900000</v>
      </c>
      <c r="F595" s="385" t="s">
        <v>2306</v>
      </c>
      <c r="G595" s="385"/>
      <c r="H595" s="387" t="s">
        <v>1625</v>
      </c>
      <c r="I595" s="387" t="s">
        <v>1644</v>
      </c>
      <c r="J595" s="387">
        <v>1</v>
      </c>
      <c r="K595" s="385" t="s">
        <v>1496</v>
      </c>
    </row>
    <row r="596" spans="1:11" ht="15.75" hidden="1">
      <c r="A596" s="393" t="s">
        <v>2479</v>
      </c>
      <c r="B596" s="426" t="s">
        <v>2182</v>
      </c>
      <c r="C596" s="385" t="s">
        <v>313</v>
      </c>
      <c r="D596" s="385" t="s">
        <v>2253</v>
      </c>
      <c r="E596" s="462">
        <v>700000</v>
      </c>
      <c r="F596" s="385" t="s">
        <v>2292</v>
      </c>
      <c r="G596" s="385"/>
      <c r="H596" s="387" t="s">
        <v>1625</v>
      </c>
      <c r="I596" s="387" t="s">
        <v>1644</v>
      </c>
      <c r="J596" s="387">
        <v>1</v>
      </c>
      <c r="K596" s="385" t="s">
        <v>1496</v>
      </c>
    </row>
    <row r="597" spans="1:11" ht="15.75" hidden="1">
      <c r="A597" s="393" t="s">
        <v>2479</v>
      </c>
      <c r="B597" s="426" t="s">
        <v>2182</v>
      </c>
      <c r="C597" s="385" t="s">
        <v>2569</v>
      </c>
      <c r="D597" s="385" t="s">
        <v>2562</v>
      </c>
      <c r="E597" s="462">
        <v>1200000</v>
      </c>
      <c r="F597" s="385" t="s">
        <v>2292</v>
      </c>
      <c r="G597" s="385"/>
      <c r="H597" s="387" t="s">
        <v>1625</v>
      </c>
      <c r="I597" s="387" t="s">
        <v>1644</v>
      </c>
      <c r="J597" s="387">
        <v>1</v>
      </c>
      <c r="K597" s="385" t="s">
        <v>1496</v>
      </c>
    </row>
    <row r="598" spans="1:11" ht="15.75" hidden="1">
      <c r="A598" s="412">
        <v>44260</v>
      </c>
      <c r="B598" s="411" t="s">
        <v>2182</v>
      </c>
      <c r="C598" s="381" t="s">
        <v>2570</v>
      </c>
      <c r="D598" s="381" t="s">
        <v>2571</v>
      </c>
      <c r="E598" s="451">
        <v>6200000</v>
      </c>
      <c r="F598" s="381" t="s">
        <v>2213</v>
      </c>
      <c r="G598" s="381"/>
      <c r="H598" s="383" t="s">
        <v>2161</v>
      </c>
      <c r="I598" s="383" t="s">
        <v>1644</v>
      </c>
      <c r="J598" s="383">
        <v>1</v>
      </c>
      <c r="K598" s="381" t="s">
        <v>1496</v>
      </c>
    </row>
    <row r="599" spans="1:11" ht="15.75" hidden="1">
      <c r="A599" s="412">
        <v>44291</v>
      </c>
      <c r="B599" s="411" t="s">
        <v>2182</v>
      </c>
      <c r="C599" s="381" t="s">
        <v>2572</v>
      </c>
      <c r="D599" s="381" t="s">
        <v>2573</v>
      </c>
      <c r="E599" s="451">
        <v>1400000</v>
      </c>
      <c r="F599" s="381" t="s">
        <v>2292</v>
      </c>
      <c r="G599" s="381"/>
      <c r="H599" s="383" t="s">
        <v>1625</v>
      </c>
      <c r="I599" s="383" t="s">
        <v>1644</v>
      </c>
      <c r="J599" s="383">
        <v>1</v>
      </c>
      <c r="K599" s="381" t="s">
        <v>1496</v>
      </c>
    </row>
    <row r="600" spans="1:11" ht="15.75" hidden="1">
      <c r="A600" s="412">
        <v>44352</v>
      </c>
      <c r="B600" s="411" t="s">
        <v>2182</v>
      </c>
      <c r="C600" s="381" t="s">
        <v>2561</v>
      </c>
      <c r="D600" s="381" t="s">
        <v>2562</v>
      </c>
      <c r="E600" s="451">
        <v>1300000</v>
      </c>
      <c r="F600" s="381" t="s">
        <v>2213</v>
      </c>
      <c r="G600" s="381"/>
      <c r="H600" s="387" t="s">
        <v>1625</v>
      </c>
      <c r="I600" s="383" t="s">
        <v>1644</v>
      </c>
      <c r="J600" s="383">
        <v>1</v>
      </c>
      <c r="K600" s="381" t="s">
        <v>1499</v>
      </c>
    </row>
    <row r="601" spans="1:11" ht="15.75" hidden="1">
      <c r="A601" s="479">
        <v>44382</v>
      </c>
      <c r="B601" s="411" t="s">
        <v>2182</v>
      </c>
      <c r="C601" s="381" t="s">
        <v>2574</v>
      </c>
      <c r="D601" s="381" t="s">
        <v>2495</v>
      </c>
      <c r="E601" s="451">
        <v>1300000</v>
      </c>
      <c r="F601" s="381" t="s">
        <v>2213</v>
      </c>
      <c r="G601" s="506"/>
      <c r="H601" s="530" t="s">
        <v>2161</v>
      </c>
      <c r="I601" s="531" t="s">
        <v>1644</v>
      </c>
      <c r="J601" s="383">
        <v>1</v>
      </c>
      <c r="K601" s="381" t="s">
        <v>1496</v>
      </c>
    </row>
    <row r="602" spans="1:11" ht="15.75" hidden="1">
      <c r="A602" s="412">
        <v>44505</v>
      </c>
      <c r="B602" s="411" t="s">
        <v>2182</v>
      </c>
      <c r="C602" s="381" t="s">
        <v>2575</v>
      </c>
      <c r="D602" s="381" t="s">
        <v>2576</v>
      </c>
      <c r="E602" s="451">
        <v>800000</v>
      </c>
      <c r="F602" s="381" t="s">
        <v>2292</v>
      </c>
      <c r="G602" s="381"/>
      <c r="H602" s="408" t="s">
        <v>2161</v>
      </c>
      <c r="I602" s="383" t="s">
        <v>1644</v>
      </c>
      <c r="J602" s="383">
        <v>1</v>
      </c>
      <c r="K602" s="381" t="s">
        <v>1496</v>
      </c>
    </row>
    <row r="603" spans="1:11" ht="15.75" hidden="1">
      <c r="A603" s="412">
        <v>44505</v>
      </c>
      <c r="B603" s="411" t="s">
        <v>2182</v>
      </c>
      <c r="C603" s="381" t="s">
        <v>268</v>
      </c>
      <c r="D603" s="381" t="s">
        <v>2253</v>
      </c>
      <c r="E603" s="451">
        <v>750000</v>
      </c>
      <c r="F603" s="381" t="s">
        <v>2292</v>
      </c>
      <c r="G603" s="381"/>
      <c r="H603" s="383" t="s">
        <v>1625</v>
      </c>
      <c r="I603" s="383" t="s">
        <v>1644</v>
      </c>
      <c r="J603" s="383">
        <v>1</v>
      </c>
      <c r="K603" s="381" t="s">
        <v>1499</v>
      </c>
    </row>
    <row r="604" spans="1:11" ht="15.75" hidden="1">
      <c r="A604" s="412">
        <v>44535</v>
      </c>
      <c r="B604" s="411" t="s">
        <v>2182</v>
      </c>
      <c r="C604" s="381" t="s">
        <v>266</v>
      </c>
      <c r="D604" s="381" t="s">
        <v>2568</v>
      </c>
      <c r="E604" s="451">
        <v>1000000</v>
      </c>
      <c r="F604" s="381" t="s">
        <v>2292</v>
      </c>
      <c r="G604" s="381"/>
      <c r="H604" s="383" t="s">
        <v>1625</v>
      </c>
      <c r="I604" s="383" t="s">
        <v>1644</v>
      </c>
      <c r="J604" s="383">
        <v>1</v>
      </c>
      <c r="K604" s="381" t="s">
        <v>2514</v>
      </c>
    </row>
    <row r="605" spans="1:11" ht="15.75" hidden="1">
      <c r="A605" s="412" t="s">
        <v>2544</v>
      </c>
      <c r="B605" s="411" t="s">
        <v>2182</v>
      </c>
      <c r="C605" s="381" t="s">
        <v>2577</v>
      </c>
      <c r="D605" s="381" t="s">
        <v>2573</v>
      </c>
      <c r="E605" s="451">
        <v>1300000</v>
      </c>
      <c r="F605" s="381" t="s">
        <v>2292</v>
      </c>
      <c r="G605" s="381"/>
      <c r="H605" s="383" t="s">
        <v>1625</v>
      </c>
      <c r="I605" s="383" t="s">
        <v>1644</v>
      </c>
      <c r="J605" s="383">
        <v>1</v>
      </c>
      <c r="K605" s="381" t="s">
        <v>1499</v>
      </c>
    </row>
    <row r="606" spans="1:11" ht="15.75" hidden="1">
      <c r="A606" s="380" t="s">
        <v>2544</v>
      </c>
      <c r="B606" s="381" t="s">
        <v>2182</v>
      </c>
      <c r="C606" s="381" t="s">
        <v>2578</v>
      </c>
      <c r="D606" s="381" t="s">
        <v>2491</v>
      </c>
      <c r="E606" s="451">
        <v>1300000</v>
      </c>
      <c r="F606" s="381" t="s">
        <v>2292</v>
      </c>
      <c r="G606" s="381"/>
      <c r="H606" s="383" t="s">
        <v>1625</v>
      </c>
      <c r="I606" s="383" t="s">
        <v>1644</v>
      </c>
      <c r="J606" s="383">
        <v>1</v>
      </c>
      <c r="K606" s="381" t="s">
        <v>1499</v>
      </c>
    </row>
    <row r="607" spans="1:11" ht="15.75" hidden="1">
      <c r="A607" s="380" t="s">
        <v>2518</v>
      </c>
      <c r="B607" s="381" t="s">
        <v>2182</v>
      </c>
      <c r="C607" s="381" t="s">
        <v>2579</v>
      </c>
      <c r="D607" s="381" t="s">
        <v>2580</v>
      </c>
      <c r="E607" s="451">
        <v>1300000</v>
      </c>
      <c r="F607" s="381" t="s">
        <v>2292</v>
      </c>
      <c r="G607" s="381"/>
      <c r="H607" s="383" t="s">
        <v>2161</v>
      </c>
      <c r="I607" s="383" t="s">
        <v>1644</v>
      </c>
      <c r="J607" s="383">
        <v>1</v>
      </c>
      <c r="K607" s="381" t="s">
        <v>1499</v>
      </c>
    </row>
    <row r="608" spans="1:11" ht="15.75" hidden="1">
      <c r="A608" s="380" t="s">
        <v>2518</v>
      </c>
      <c r="B608" s="381" t="s">
        <v>2182</v>
      </c>
      <c r="C608" s="385" t="s">
        <v>2581</v>
      </c>
      <c r="D608" s="385" t="s">
        <v>2580</v>
      </c>
      <c r="E608" s="462">
        <v>1300000</v>
      </c>
      <c r="F608" s="385" t="s">
        <v>2292</v>
      </c>
      <c r="G608" s="385"/>
      <c r="H608" s="387" t="s">
        <v>2161</v>
      </c>
      <c r="I608" s="387" t="s">
        <v>1644</v>
      </c>
      <c r="J608" s="387">
        <v>1</v>
      </c>
      <c r="K608" s="385" t="s">
        <v>1499</v>
      </c>
    </row>
    <row r="609" spans="1:11" ht="15.75" hidden="1">
      <c r="A609" s="380" t="s">
        <v>2494</v>
      </c>
      <c r="B609" s="381" t="s">
        <v>2182</v>
      </c>
      <c r="C609" s="385" t="s">
        <v>277</v>
      </c>
      <c r="D609" s="385" t="s">
        <v>2573</v>
      </c>
      <c r="E609" s="462">
        <v>1200000</v>
      </c>
      <c r="F609" s="385" t="s">
        <v>2292</v>
      </c>
      <c r="G609" s="385"/>
      <c r="H609" s="387" t="s">
        <v>1625</v>
      </c>
      <c r="I609" s="387" t="s">
        <v>1644</v>
      </c>
      <c r="J609" s="387">
        <v>1</v>
      </c>
      <c r="K609" s="385" t="s">
        <v>2514</v>
      </c>
    </row>
    <row r="610" spans="1:11" ht="15.75" hidden="1">
      <c r="A610" s="384" t="s">
        <v>2494</v>
      </c>
      <c r="B610" s="385" t="s">
        <v>2182</v>
      </c>
      <c r="C610" s="381" t="s">
        <v>2582</v>
      </c>
      <c r="D610" s="385" t="s">
        <v>2253</v>
      </c>
      <c r="E610" s="462">
        <v>700000</v>
      </c>
      <c r="F610" s="385" t="s">
        <v>2292</v>
      </c>
      <c r="G610" s="385"/>
      <c r="H610" s="387" t="s">
        <v>1625</v>
      </c>
      <c r="I610" s="387" t="s">
        <v>1644</v>
      </c>
      <c r="J610" s="387">
        <v>1</v>
      </c>
      <c r="K610" s="385" t="s">
        <v>1499</v>
      </c>
    </row>
    <row r="611" spans="1:11" ht="15.75" hidden="1">
      <c r="A611" s="384" t="s">
        <v>2550</v>
      </c>
      <c r="B611" s="385" t="s">
        <v>2182</v>
      </c>
      <c r="C611" s="385" t="s">
        <v>2583</v>
      </c>
      <c r="D611" s="385" t="s">
        <v>2580</v>
      </c>
      <c r="E611" s="462">
        <v>1350000</v>
      </c>
      <c r="F611" s="385" t="s">
        <v>2292</v>
      </c>
      <c r="G611" s="385"/>
      <c r="H611" s="387" t="s">
        <v>2161</v>
      </c>
      <c r="I611" s="387" t="s">
        <v>1644</v>
      </c>
      <c r="J611" s="387">
        <v>1</v>
      </c>
      <c r="K611" s="385" t="s">
        <v>1499</v>
      </c>
    </row>
    <row r="612" spans="1:11" ht="15.75" hidden="1">
      <c r="A612" s="384" t="s">
        <v>2496</v>
      </c>
      <c r="B612" s="385" t="s">
        <v>2182</v>
      </c>
      <c r="C612" s="385" t="s">
        <v>2584</v>
      </c>
      <c r="D612" s="385" t="s">
        <v>2568</v>
      </c>
      <c r="E612" s="462">
        <v>750000</v>
      </c>
      <c r="F612" s="385" t="s">
        <v>2292</v>
      </c>
      <c r="G612" s="385"/>
      <c r="H612" s="387" t="s">
        <v>1625</v>
      </c>
      <c r="I612" s="387" t="s">
        <v>1644</v>
      </c>
      <c r="J612" s="387">
        <v>1</v>
      </c>
      <c r="K612" s="385" t="s">
        <v>2514</v>
      </c>
    </row>
    <row r="613" spans="1:11" ht="15.75" hidden="1">
      <c r="A613" s="384" t="s">
        <v>2496</v>
      </c>
      <c r="B613" s="385" t="s">
        <v>2182</v>
      </c>
      <c r="C613" s="385" t="s">
        <v>2585</v>
      </c>
      <c r="D613" s="385" t="s">
        <v>2506</v>
      </c>
      <c r="E613" s="462">
        <v>650000</v>
      </c>
      <c r="F613" s="385" t="s">
        <v>2213</v>
      </c>
      <c r="G613" s="385"/>
      <c r="H613" s="387" t="s">
        <v>1625</v>
      </c>
      <c r="I613" s="387" t="s">
        <v>1644</v>
      </c>
      <c r="J613" s="387">
        <v>1</v>
      </c>
      <c r="K613" s="385" t="s">
        <v>1499</v>
      </c>
    </row>
    <row r="614" spans="1:11" ht="15.75" hidden="1">
      <c r="A614" s="393" t="s">
        <v>2523</v>
      </c>
      <c r="B614" s="381" t="s">
        <v>2182</v>
      </c>
      <c r="C614" s="381" t="s">
        <v>316</v>
      </c>
      <c r="D614" s="381" t="s">
        <v>2568</v>
      </c>
      <c r="E614" s="451">
        <v>900000</v>
      </c>
      <c r="F614" s="381" t="s">
        <v>2292</v>
      </c>
      <c r="G614" s="381"/>
      <c r="H614" s="383" t="s">
        <v>1625</v>
      </c>
      <c r="I614" s="383" t="s">
        <v>1644</v>
      </c>
      <c r="J614" s="383">
        <v>1</v>
      </c>
      <c r="K614" s="381" t="s">
        <v>1499</v>
      </c>
    </row>
    <row r="615" spans="1:11" ht="15.75" hidden="1">
      <c r="A615" s="456"/>
      <c r="B615" s="457"/>
      <c r="C615" s="457"/>
      <c r="D615" s="457"/>
      <c r="E615" s="476"/>
      <c r="F615" s="457"/>
      <c r="G615" s="457"/>
      <c r="H615" s="153"/>
      <c r="I615" s="153"/>
      <c r="J615" s="493">
        <f>SUM(J591:J614)</f>
        <v>24</v>
      </c>
      <c r="K615" s="457"/>
    </row>
    <row r="616" spans="1:11" ht="15.75" hidden="1">
      <c r="A616" s="394"/>
      <c r="B616" s="395"/>
      <c r="C616" s="395"/>
      <c r="D616" s="395"/>
      <c r="E616" s="396"/>
      <c r="F616" s="397"/>
      <c r="G616" s="397"/>
      <c r="H616" s="395"/>
      <c r="I616" s="395"/>
      <c r="J616" s="395"/>
      <c r="K616" s="395"/>
    </row>
    <row r="617" spans="1:11" ht="15.75" hidden="1">
      <c r="A617" s="394"/>
      <c r="B617" s="395"/>
      <c r="C617" s="395"/>
      <c r="D617" s="395"/>
      <c r="E617" s="396"/>
      <c r="F617" s="397"/>
      <c r="G617" s="397"/>
      <c r="H617" s="395"/>
      <c r="I617" s="395"/>
      <c r="J617" s="395"/>
      <c r="K617" s="395"/>
    </row>
    <row r="618" spans="1:11" ht="26.25" hidden="1">
      <c r="A618" s="1667" t="s">
        <v>2586</v>
      </c>
      <c r="B618" s="1667"/>
      <c r="C618" s="1667"/>
      <c r="D618" s="1667"/>
      <c r="E618" s="1667"/>
      <c r="F618" s="1667"/>
      <c r="G618" s="1667"/>
      <c r="H618" s="1667"/>
      <c r="I618" s="1667"/>
      <c r="J618" s="1667"/>
      <c r="K618" s="1667"/>
    </row>
    <row r="619" spans="1:11" ht="31.5" hidden="1">
      <c r="A619" s="375" t="s">
        <v>1941</v>
      </c>
      <c r="B619" s="378" t="s">
        <v>1942</v>
      </c>
      <c r="C619" s="378" t="s">
        <v>1943</v>
      </c>
      <c r="D619" s="378" t="s">
        <v>1944</v>
      </c>
      <c r="E619" s="452" t="s">
        <v>1945</v>
      </c>
      <c r="F619" s="378" t="s">
        <v>1946</v>
      </c>
      <c r="G619" s="378"/>
      <c r="H619" s="378" t="s">
        <v>1947</v>
      </c>
      <c r="I619" s="378" t="s">
        <v>1948</v>
      </c>
      <c r="J619" s="453" t="s">
        <v>1949</v>
      </c>
      <c r="K619" s="378" t="s">
        <v>1950</v>
      </c>
    </row>
    <row r="620" spans="1:11" ht="15.75" hidden="1">
      <c r="A620" s="425" t="s">
        <v>2550</v>
      </c>
      <c r="B620" s="385" t="s">
        <v>2182</v>
      </c>
      <c r="C620" s="385" t="s">
        <v>2587</v>
      </c>
      <c r="D620" s="385" t="s">
        <v>75</v>
      </c>
      <c r="E620" s="386">
        <v>1300000</v>
      </c>
      <c r="F620" s="385" t="s">
        <v>2213</v>
      </c>
      <c r="G620" s="385"/>
      <c r="H620" s="387" t="s">
        <v>2161</v>
      </c>
      <c r="I620" s="387" t="s">
        <v>1644</v>
      </c>
      <c r="J620" s="387">
        <v>1</v>
      </c>
      <c r="K620" s="385" t="s">
        <v>2514</v>
      </c>
    </row>
    <row r="621" spans="1:11" ht="15.75" hidden="1">
      <c r="A621" s="443"/>
      <c r="B621" s="381"/>
      <c r="C621" s="381"/>
      <c r="D621" s="381"/>
      <c r="E621" s="382"/>
      <c r="F621" s="383"/>
      <c r="G621" s="383"/>
      <c r="H621" s="381"/>
      <c r="I621" s="381"/>
      <c r="J621" s="381"/>
      <c r="K621" s="381"/>
    </row>
    <row r="622" spans="1:11" ht="15.75" hidden="1">
      <c r="A622" s="456"/>
      <c r="B622" s="457"/>
      <c r="C622" s="457"/>
      <c r="D622" s="457"/>
      <c r="E622" s="458"/>
      <c r="F622" s="153"/>
      <c r="G622" s="153"/>
      <c r="H622" s="457"/>
      <c r="I622" s="457"/>
      <c r="J622" s="493">
        <f>SUM(J620:J621)</f>
        <v>1</v>
      </c>
      <c r="K622" s="457"/>
    </row>
    <row r="623" spans="1:11" hidden="1"/>
    <row r="626" spans="1:11" ht="18.75" customHeight="1">
      <c r="A626" s="1665" t="s">
        <v>2588</v>
      </c>
      <c r="B626" s="1665"/>
      <c r="C626" s="1665"/>
      <c r="D626" s="1665"/>
      <c r="E626" s="1665"/>
      <c r="F626" s="1665"/>
      <c r="G626" s="1665"/>
      <c r="H626" s="1665"/>
      <c r="I626" s="1665"/>
      <c r="J626" s="1665"/>
      <c r="K626" s="1665"/>
    </row>
    <row r="627" spans="1:11">
      <c r="A627" s="1665"/>
      <c r="B627" s="1665"/>
      <c r="C627" s="1665"/>
      <c r="D627" s="1665"/>
      <c r="E627" s="1665"/>
      <c r="F627" s="1665"/>
      <c r="G627" s="1665"/>
      <c r="H627" s="1665"/>
      <c r="I627" s="1665"/>
      <c r="J627" s="1665"/>
      <c r="K627" s="1665"/>
    </row>
    <row r="628" spans="1:11" ht="26.25" hidden="1">
      <c r="A628" s="1667" t="s">
        <v>2589</v>
      </c>
      <c r="B628" s="1667"/>
      <c r="C628" s="1667"/>
      <c r="D628" s="1667"/>
      <c r="E628" s="1667"/>
      <c r="F628" s="1667"/>
      <c r="G628" s="1667"/>
      <c r="H628" s="1667"/>
      <c r="I628" s="1667"/>
      <c r="J628" s="1667"/>
      <c r="K628" s="1667"/>
    </row>
    <row r="629" spans="1:11" ht="31.5" hidden="1">
      <c r="A629" s="375" t="s">
        <v>1941</v>
      </c>
      <c r="B629" s="378" t="s">
        <v>1942</v>
      </c>
      <c r="C629" s="378" t="s">
        <v>1943</v>
      </c>
      <c r="D629" s="378" t="s">
        <v>1944</v>
      </c>
      <c r="E629" s="452" t="s">
        <v>1945</v>
      </c>
      <c r="F629" s="378" t="s">
        <v>1946</v>
      </c>
      <c r="G629" s="378" t="s">
        <v>2590</v>
      </c>
      <c r="H629" s="378" t="s">
        <v>1947</v>
      </c>
      <c r="I629" s="378" t="s">
        <v>1948</v>
      </c>
      <c r="J629" s="453" t="s">
        <v>1949</v>
      </c>
      <c r="K629" s="378" t="s">
        <v>10</v>
      </c>
    </row>
    <row r="630" spans="1:11" ht="15.75" hidden="1">
      <c r="A630" s="454">
        <v>44261</v>
      </c>
      <c r="B630" s="455" t="s">
        <v>2182</v>
      </c>
      <c r="C630" s="455" t="s">
        <v>2591</v>
      </c>
      <c r="D630" s="455" t="s">
        <v>2592</v>
      </c>
      <c r="E630" s="461">
        <v>240000000</v>
      </c>
      <c r="F630" s="464" t="s">
        <v>2213</v>
      </c>
      <c r="G630" s="464" t="s">
        <v>2593</v>
      </c>
      <c r="H630" s="460" t="s">
        <v>2161</v>
      </c>
      <c r="I630" s="460" t="s">
        <v>1644</v>
      </c>
      <c r="J630" s="460">
        <v>1</v>
      </c>
      <c r="K630" s="455" t="s">
        <v>2482</v>
      </c>
    </row>
    <row r="631" spans="1:11" ht="15.75" hidden="1">
      <c r="A631" s="454">
        <v>44261</v>
      </c>
      <c r="B631" s="455" t="s">
        <v>2182</v>
      </c>
      <c r="C631" s="455" t="s">
        <v>2594</v>
      </c>
      <c r="D631" s="455" t="s">
        <v>2491</v>
      </c>
      <c r="E631" s="461">
        <v>225000000</v>
      </c>
      <c r="F631" s="464" t="s">
        <v>1968</v>
      </c>
      <c r="G631" s="464" t="s">
        <v>2593</v>
      </c>
      <c r="H631" s="460" t="s">
        <v>2161</v>
      </c>
      <c r="I631" s="460" t="s">
        <v>1644</v>
      </c>
      <c r="J631" s="460">
        <v>1</v>
      </c>
      <c r="K631" s="455" t="s">
        <v>2482</v>
      </c>
    </row>
    <row r="632" spans="1:11" ht="15.75" hidden="1">
      <c r="A632" s="477">
        <v>44292</v>
      </c>
      <c r="B632" s="455" t="s">
        <v>2182</v>
      </c>
      <c r="C632" s="455" t="s">
        <v>2595</v>
      </c>
      <c r="D632" s="455" t="s">
        <v>2498</v>
      </c>
      <c r="E632" s="461">
        <v>240000000</v>
      </c>
      <c r="F632" s="464" t="s">
        <v>2213</v>
      </c>
      <c r="G632" s="464" t="s">
        <v>2593</v>
      </c>
      <c r="H632" s="460" t="s">
        <v>2161</v>
      </c>
      <c r="I632" s="460" t="s">
        <v>1644</v>
      </c>
      <c r="J632" s="460">
        <v>1</v>
      </c>
      <c r="K632" s="455" t="s">
        <v>2482</v>
      </c>
    </row>
    <row r="633" spans="1:11" ht="15.75" hidden="1">
      <c r="A633" s="412" t="s">
        <v>2596</v>
      </c>
      <c r="B633" s="411" t="s">
        <v>2182</v>
      </c>
      <c r="C633" s="381" t="s">
        <v>287</v>
      </c>
      <c r="D633" s="381" t="s">
        <v>2506</v>
      </c>
      <c r="E633" s="451">
        <v>1050000</v>
      </c>
      <c r="F633" s="275" t="s">
        <v>2213</v>
      </c>
      <c r="G633" s="275" t="s">
        <v>30</v>
      </c>
      <c r="H633" s="383" t="s">
        <v>1625</v>
      </c>
      <c r="I633" s="383" t="s">
        <v>1644</v>
      </c>
      <c r="J633" s="383">
        <v>1</v>
      </c>
      <c r="K633" s="381" t="s">
        <v>2514</v>
      </c>
    </row>
    <row r="634" spans="1:11" ht="15.75" hidden="1">
      <c r="A634" s="412" t="s">
        <v>2564</v>
      </c>
      <c r="B634" s="411" t="s">
        <v>2182</v>
      </c>
      <c r="C634" s="381" t="s">
        <v>281</v>
      </c>
      <c r="D634" s="381" t="s">
        <v>2580</v>
      </c>
      <c r="E634" s="451">
        <v>1400000</v>
      </c>
      <c r="F634" s="275" t="s">
        <v>2597</v>
      </c>
      <c r="G634" s="465" t="s">
        <v>2593</v>
      </c>
      <c r="H634" s="383" t="s">
        <v>2161</v>
      </c>
      <c r="I634" s="383" t="s">
        <v>1644</v>
      </c>
      <c r="J634" s="383">
        <v>1</v>
      </c>
      <c r="K634" s="381" t="s">
        <v>2514</v>
      </c>
    </row>
    <row r="635" spans="1:11" ht="15.75" hidden="1">
      <c r="A635" s="412" t="s">
        <v>2598</v>
      </c>
      <c r="B635" s="411" t="s">
        <v>2182</v>
      </c>
      <c r="C635" s="381" t="s">
        <v>2599</v>
      </c>
      <c r="D635" s="381" t="s">
        <v>2600</v>
      </c>
      <c r="E635" s="451">
        <v>1800000</v>
      </c>
      <c r="F635" s="304" t="s">
        <v>2213</v>
      </c>
      <c r="G635" s="275" t="s">
        <v>2593</v>
      </c>
      <c r="H635" s="467" t="s">
        <v>1625</v>
      </c>
      <c r="I635" s="383" t="s">
        <v>1644</v>
      </c>
      <c r="J635" s="383">
        <v>1</v>
      </c>
      <c r="K635" s="381" t="s">
        <v>2514</v>
      </c>
    </row>
    <row r="636" spans="1:11" ht="15.75" hidden="1">
      <c r="A636" s="412" t="s">
        <v>2601</v>
      </c>
      <c r="B636" s="411" t="s">
        <v>2182</v>
      </c>
      <c r="C636" s="381" t="s">
        <v>2602</v>
      </c>
      <c r="D636" s="381" t="s">
        <v>2603</v>
      </c>
      <c r="E636" s="451">
        <v>1550000</v>
      </c>
      <c r="F636" s="275" t="s">
        <v>2213</v>
      </c>
      <c r="G636" s="491" t="s">
        <v>2593</v>
      </c>
      <c r="H636" s="383" t="s">
        <v>2161</v>
      </c>
      <c r="I636" s="383" t="s">
        <v>1644</v>
      </c>
      <c r="J636" s="383">
        <v>1</v>
      </c>
      <c r="K636" s="381" t="s">
        <v>2514</v>
      </c>
    </row>
    <row r="637" spans="1:11" ht="15.75" hidden="1">
      <c r="A637" s="412">
        <v>44261</v>
      </c>
      <c r="B637" s="411" t="s">
        <v>2182</v>
      </c>
      <c r="C637" s="381" t="s">
        <v>2604</v>
      </c>
      <c r="D637" s="381" t="s">
        <v>2506</v>
      </c>
      <c r="E637" s="451">
        <v>1300000</v>
      </c>
      <c r="F637" s="275" t="s">
        <v>2292</v>
      </c>
      <c r="G637" s="275" t="s">
        <v>2605</v>
      </c>
      <c r="H637" s="383" t="s">
        <v>1625</v>
      </c>
      <c r="I637" s="383" t="s">
        <v>1644</v>
      </c>
      <c r="J637" s="383">
        <v>1</v>
      </c>
      <c r="K637" s="381" t="s">
        <v>1499</v>
      </c>
    </row>
    <row r="638" spans="1:11" ht="15.75" hidden="1">
      <c r="A638" s="412">
        <v>44292</v>
      </c>
      <c r="B638" s="411" t="s">
        <v>2182</v>
      </c>
      <c r="C638" s="381" t="s">
        <v>2606</v>
      </c>
      <c r="D638" s="381" t="s">
        <v>75</v>
      </c>
      <c r="E638" s="451">
        <v>1250000</v>
      </c>
      <c r="F638" s="275" t="s">
        <v>2292</v>
      </c>
      <c r="G638" s="275" t="s">
        <v>2605</v>
      </c>
      <c r="H638" s="383" t="s">
        <v>1625</v>
      </c>
      <c r="I638" s="383" t="s">
        <v>1644</v>
      </c>
      <c r="J638" s="383">
        <v>1</v>
      </c>
      <c r="K638" s="381" t="s">
        <v>1499</v>
      </c>
    </row>
    <row r="639" spans="1:11" ht="15.75" hidden="1">
      <c r="A639" s="412">
        <v>44292</v>
      </c>
      <c r="B639" s="411" t="s">
        <v>2182</v>
      </c>
      <c r="C639" s="381" t="s">
        <v>2607</v>
      </c>
      <c r="D639" s="381" t="s">
        <v>75</v>
      </c>
      <c r="E639" s="451">
        <v>1200000</v>
      </c>
      <c r="F639" s="275" t="s">
        <v>2292</v>
      </c>
      <c r="G639" s="275" t="s">
        <v>2593</v>
      </c>
      <c r="H639" s="383" t="s">
        <v>1625</v>
      </c>
      <c r="I639" s="383" t="s">
        <v>1644</v>
      </c>
      <c r="J639" s="383">
        <v>1</v>
      </c>
      <c r="K639" s="381" t="s">
        <v>2608</v>
      </c>
    </row>
    <row r="640" spans="1:11" ht="15.75" hidden="1">
      <c r="A640" s="393">
        <v>44322</v>
      </c>
      <c r="B640" s="381" t="s">
        <v>2182</v>
      </c>
      <c r="C640" s="381" t="s">
        <v>2609</v>
      </c>
      <c r="D640" s="381" t="s">
        <v>75</v>
      </c>
      <c r="E640" s="451">
        <v>1250000</v>
      </c>
      <c r="F640" s="275" t="s">
        <v>2292</v>
      </c>
      <c r="G640" s="275" t="s">
        <v>2605</v>
      </c>
      <c r="H640" s="383" t="s">
        <v>1625</v>
      </c>
      <c r="I640" s="383" t="s">
        <v>1644</v>
      </c>
      <c r="J640" s="383">
        <v>1</v>
      </c>
      <c r="K640" s="381" t="s">
        <v>1499</v>
      </c>
    </row>
    <row r="641" spans="1:11" ht="15.75" hidden="1">
      <c r="A641" s="393">
        <v>44322</v>
      </c>
      <c r="B641" s="381" t="s">
        <v>2182</v>
      </c>
      <c r="C641" s="381" t="s">
        <v>2118</v>
      </c>
      <c r="D641" s="381" t="s">
        <v>75</v>
      </c>
      <c r="E641" s="451">
        <v>1250000</v>
      </c>
      <c r="F641" s="275" t="s">
        <v>2292</v>
      </c>
      <c r="G641" s="275" t="s">
        <v>2605</v>
      </c>
      <c r="H641" s="383" t="s">
        <v>1625</v>
      </c>
      <c r="I641" s="383" t="s">
        <v>1644</v>
      </c>
      <c r="J641" s="383">
        <v>1</v>
      </c>
      <c r="K641" s="381" t="s">
        <v>2608</v>
      </c>
    </row>
    <row r="642" spans="1:11" ht="15.75" hidden="1">
      <c r="A642" s="393">
        <v>44414</v>
      </c>
      <c r="B642" s="381" t="s">
        <v>2182</v>
      </c>
      <c r="C642" s="385" t="s">
        <v>2610</v>
      </c>
      <c r="D642" s="385" t="s">
        <v>2502</v>
      </c>
      <c r="E642" s="462">
        <v>1200000</v>
      </c>
      <c r="F642" s="465" t="s">
        <v>2292</v>
      </c>
      <c r="G642" s="465" t="s">
        <v>2605</v>
      </c>
      <c r="H642" s="387" t="s">
        <v>1625</v>
      </c>
      <c r="I642" s="387" t="s">
        <v>1644</v>
      </c>
      <c r="J642" s="387">
        <v>1</v>
      </c>
      <c r="K642" s="385" t="s">
        <v>1499</v>
      </c>
    </row>
    <row r="643" spans="1:11" ht="15.75" hidden="1">
      <c r="A643" s="393">
        <v>44414</v>
      </c>
      <c r="B643" s="381" t="s">
        <v>2182</v>
      </c>
      <c r="C643" s="385" t="s">
        <v>2611</v>
      </c>
      <c r="D643" s="385" t="s">
        <v>2506</v>
      </c>
      <c r="E643" s="462">
        <v>1150000</v>
      </c>
      <c r="F643" s="465" t="s">
        <v>2292</v>
      </c>
      <c r="G643" s="465" t="s">
        <v>2605</v>
      </c>
      <c r="H643" s="387" t="s">
        <v>1625</v>
      </c>
      <c r="I643" s="387" t="s">
        <v>1644</v>
      </c>
      <c r="J643" s="387">
        <v>1</v>
      </c>
      <c r="K643" s="385" t="s">
        <v>2608</v>
      </c>
    </row>
    <row r="644" spans="1:11" ht="15.75" hidden="1">
      <c r="A644" s="384">
        <v>44475</v>
      </c>
      <c r="B644" s="385" t="s">
        <v>2182</v>
      </c>
      <c r="C644" s="381" t="s">
        <v>2612</v>
      </c>
      <c r="D644" s="385" t="s">
        <v>2485</v>
      </c>
      <c r="E644" s="462">
        <v>1350000</v>
      </c>
      <c r="F644" s="465" t="s">
        <v>2213</v>
      </c>
      <c r="G644" s="465" t="s">
        <v>2593</v>
      </c>
      <c r="H644" s="387" t="s">
        <v>1625</v>
      </c>
      <c r="I644" s="387" t="s">
        <v>1644</v>
      </c>
      <c r="J644" s="387">
        <v>1</v>
      </c>
      <c r="K644" s="385" t="s">
        <v>2608</v>
      </c>
    </row>
    <row r="645" spans="1:11" ht="15.75" hidden="1">
      <c r="A645" s="384">
        <v>44475</v>
      </c>
      <c r="B645" s="385" t="s">
        <v>2182</v>
      </c>
      <c r="C645" s="385" t="s">
        <v>2613</v>
      </c>
      <c r="D645" s="385" t="s">
        <v>2166</v>
      </c>
      <c r="E645" s="462">
        <v>1300000</v>
      </c>
      <c r="F645" s="465" t="s">
        <v>2292</v>
      </c>
      <c r="G645" s="465" t="s">
        <v>2605</v>
      </c>
      <c r="H645" s="387" t="s">
        <v>1625</v>
      </c>
      <c r="I645" s="387" t="s">
        <v>1644</v>
      </c>
      <c r="J645" s="387">
        <v>1</v>
      </c>
      <c r="K645" s="385" t="s">
        <v>1499</v>
      </c>
    </row>
    <row r="646" spans="1:11" ht="15.75" hidden="1">
      <c r="A646" s="384" t="s">
        <v>2614</v>
      </c>
      <c r="B646" s="385" t="s">
        <v>2182</v>
      </c>
      <c r="C646" s="385" t="s">
        <v>2615</v>
      </c>
      <c r="D646" s="385" t="s">
        <v>75</v>
      </c>
      <c r="E646" s="462">
        <v>1200000</v>
      </c>
      <c r="F646" s="465" t="s">
        <v>2292</v>
      </c>
      <c r="G646" s="465" t="s">
        <v>2605</v>
      </c>
      <c r="H646" s="387" t="s">
        <v>2161</v>
      </c>
      <c r="I646" s="387" t="s">
        <v>1644</v>
      </c>
      <c r="J646" s="387">
        <v>1</v>
      </c>
      <c r="K646" s="385" t="s">
        <v>1499</v>
      </c>
    </row>
    <row r="647" spans="1:11" ht="15.75" hidden="1">
      <c r="A647" s="384" t="s">
        <v>2614</v>
      </c>
      <c r="B647" s="385" t="s">
        <v>2182</v>
      </c>
      <c r="C647" s="385" t="s">
        <v>2616</v>
      </c>
      <c r="D647" s="385" t="s">
        <v>2237</v>
      </c>
      <c r="E647" s="462">
        <v>850000</v>
      </c>
      <c r="F647" s="465" t="s">
        <v>2292</v>
      </c>
      <c r="G647" s="465" t="s">
        <v>2605</v>
      </c>
      <c r="H647" s="387" t="s">
        <v>1625</v>
      </c>
      <c r="I647" s="387" t="s">
        <v>1644</v>
      </c>
      <c r="J647" s="387">
        <v>1</v>
      </c>
      <c r="K647" s="385" t="s">
        <v>2608</v>
      </c>
    </row>
    <row r="648" spans="1:11" ht="15.75" hidden="1">
      <c r="A648" s="393" t="s">
        <v>2614</v>
      </c>
      <c r="B648" s="381" t="s">
        <v>2182</v>
      </c>
      <c r="C648" s="381" t="s">
        <v>2617</v>
      </c>
      <c r="D648" s="381" t="s">
        <v>2237</v>
      </c>
      <c r="E648" s="451">
        <v>700000</v>
      </c>
      <c r="F648" s="275" t="s">
        <v>2292</v>
      </c>
      <c r="G648" s="275" t="s">
        <v>2593</v>
      </c>
      <c r="H648" s="383" t="s">
        <v>2161</v>
      </c>
      <c r="I648" s="383" t="s">
        <v>1644</v>
      </c>
      <c r="J648" s="383">
        <v>1</v>
      </c>
      <c r="K648" s="381" t="s">
        <v>1499</v>
      </c>
    </row>
    <row r="649" spans="1:11" ht="15.75" hidden="1">
      <c r="A649" s="405" t="s">
        <v>2618</v>
      </c>
      <c r="B649" s="385" t="s">
        <v>2182</v>
      </c>
      <c r="C649" s="385" t="s">
        <v>2619</v>
      </c>
      <c r="D649" s="385" t="s">
        <v>2237</v>
      </c>
      <c r="E649" s="490">
        <v>950000</v>
      </c>
      <c r="F649" s="491" t="s">
        <v>2306</v>
      </c>
      <c r="G649" s="491" t="s">
        <v>2593</v>
      </c>
      <c r="H649" s="408" t="s">
        <v>2161</v>
      </c>
      <c r="I649" s="408" t="s">
        <v>1644</v>
      </c>
      <c r="J649" s="408">
        <v>1</v>
      </c>
      <c r="K649" s="406" t="s">
        <v>1499</v>
      </c>
    </row>
    <row r="650" spans="1:11" ht="15.75" hidden="1">
      <c r="A650" s="579" t="s">
        <v>2620</v>
      </c>
      <c r="B650" s="381" t="s">
        <v>2182</v>
      </c>
      <c r="C650" s="381" t="s">
        <v>2621</v>
      </c>
      <c r="D650" s="381" t="s">
        <v>2032</v>
      </c>
      <c r="E650" s="580">
        <v>900000</v>
      </c>
      <c r="F650" s="491" t="s">
        <v>2213</v>
      </c>
      <c r="G650" s="491" t="s">
        <v>2593</v>
      </c>
      <c r="H650" s="408" t="s">
        <v>1625</v>
      </c>
      <c r="I650" s="408" t="s">
        <v>1644</v>
      </c>
      <c r="J650" s="408">
        <v>1</v>
      </c>
      <c r="K650" s="406" t="s">
        <v>1499</v>
      </c>
    </row>
    <row r="651" spans="1:11" ht="15.75" hidden="1">
      <c r="A651" s="405" t="s">
        <v>2622</v>
      </c>
      <c r="B651" s="406" t="s">
        <v>2623</v>
      </c>
      <c r="C651" s="406" t="s">
        <v>2624</v>
      </c>
      <c r="D651" s="406" t="s">
        <v>2576</v>
      </c>
      <c r="E651" s="490">
        <v>10000000</v>
      </c>
      <c r="F651" s="491" t="s">
        <v>2213</v>
      </c>
      <c r="G651" s="491" t="s">
        <v>2625</v>
      </c>
      <c r="H651" s="408" t="s">
        <v>2161</v>
      </c>
      <c r="I651" s="408" t="s">
        <v>1644</v>
      </c>
      <c r="J651" s="408">
        <v>1</v>
      </c>
      <c r="K651" s="406" t="s">
        <v>1499</v>
      </c>
    </row>
    <row r="652" spans="1:11" ht="15.75" hidden="1">
      <c r="A652" s="405" t="s">
        <v>2622</v>
      </c>
      <c r="B652" s="406" t="s">
        <v>2060</v>
      </c>
      <c r="C652" s="406" t="s">
        <v>2626</v>
      </c>
      <c r="D652" s="406" t="s">
        <v>2491</v>
      </c>
      <c r="E652" s="490">
        <v>3000000</v>
      </c>
      <c r="F652" s="491" t="s">
        <v>2213</v>
      </c>
      <c r="G652" s="491" t="s">
        <v>2593</v>
      </c>
      <c r="H652" s="408" t="s">
        <v>2161</v>
      </c>
      <c r="I652" s="408" t="s">
        <v>1644</v>
      </c>
      <c r="J652" s="408">
        <v>1</v>
      </c>
      <c r="K652" s="406" t="s">
        <v>1499</v>
      </c>
    </row>
    <row r="653" spans="1:11" ht="15.75" hidden="1">
      <c r="A653" s="419"/>
      <c r="B653" s="420"/>
      <c r="C653" s="420"/>
      <c r="D653" s="420"/>
      <c r="E653" s="463"/>
      <c r="F653" s="466"/>
      <c r="G653" s="466"/>
      <c r="H653" s="422"/>
      <c r="I653" s="422"/>
      <c r="J653" s="492">
        <f>SUM(J630:J652)</f>
        <v>23</v>
      </c>
      <c r="K653" s="420"/>
    </row>
    <row r="654" spans="1:11" ht="15.75" hidden="1">
      <c r="A654" s="394"/>
      <c r="B654" s="395"/>
      <c r="C654" s="395"/>
      <c r="D654" s="395"/>
      <c r="E654" s="396"/>
      <c r="F654" s="397"/>
      <c r="G654" s="397"/>
      <c r="H654" s="397"/>
      <c r="I654" s="395"/>
      <c r="J654" s="395"/>
      <c r="K654" s="395"/>
    </row>
    <row r="655" spans="1:11" ht="26.25" hidden="1">
      <c r="A655" s="1667" t="s">
        <v>2627</v>
      </c>
      <c r="B655" s="1667"/>
      <c r="C655" s="1667"/>
      <c r="D655" s="1667"/>
      <c r="E655" s="1667"/>
      <c r="F655" s="1667"/>
      <c r="G655" s="1667"/>
      <c r="H655" s="1667"/>
      <c r="I655" s="1667"/>
      <c r="J655" s="1667"/>
      <c r="K655" s="1667"/>
    </row>
    <row r="656" spans="1:11" ht="31.5" hidden="1">
      <c r="A656" s="375" t="s">
        <v>1941</v>
      </c>
      <c r="B656" s="378" t="s">
        <v>1942</v>
      </c>
      <c r="C656" s="378" t="s">
        <v>1943</v>
      </c>
      <c r="D656" s="378" t="s">
        <v>1944</v>
      </c>
      <c r="E656" s="452" t="s">
        <v>1945</v>
      </c>
      <c r="F656" s="378" t="s">
        <v>1946</v>
      </c>
      <c r="G656" s="378" t="s">
        <v>2590</v>
      </c>
      <c r="H656" s="378" t="s">
        <v>1947</v>
      </c>
      <c r="I656" s="378" t="s">
        <v>1948</v>
      </c>
      <c r="J656" s="453" t="s">
        <v>1949</v>
      </c>
      <c r="K656" s="378" t="s">
        <v>1950</v>
      </c>
    </row>
    <row r="657" spans="1:11" ht="15.75" hidden="1">
      <c r="A657" s="474" t="s">
        <v>2614</v>
      </c>
      <c r="B657" s="472" t="s">
        <v>2182</v>
      </c>
      <c r="C657" s="472" t="s">
        <v>2628</v>
      </c>
      <c r="D657" s="472" t="s">
        <v>2506</v>
      </c>
      <c r="E657" s="475">
        <v>220000000</v>
      </c>
      <c r="F657" s="472" t="s">
        <v>2213</v>
      </c>
      <c r="G657" s="472" t="s">
        <v>2625</v>
      </c>
      <c r="H657" s="473" t="s">
        <v>1625</v>
      </c>
      <c r="I657" s="473" t="s">
        <v>1644</v>
      </c>
      <c r="J657" s="473">
        <v>1</v>
      </c>
      <c r="K657" s="472" t="s">
        <v>2629</v>
      </c>
    </row>
    <row r="658" spans="1:11" ht="15.75" hidden="1">
      <c r="A658" s="474" t="s">
        <v>2622</v>
      </c>
      <c r="B658" s="455" t="s">
        <v>2182</v>
      </c>
      <c r="C658" s="455" t="s">
        <v>2630</v>
      </c>
      <c r="D658" s="455" t="s">
        <v>2506</v>
      </c>
      <c r="E658" s="461">
        <v>225000000</v>
      </c>
      <c r="F658" s="455" t="s">
        <v>2306</v>
      </c>
      <c r="G658" s="455" t="s">
        <v>2593</v>
      </c>
      <c r="H658" s="460" t="s">
        <v>2161</v>
      </c>
      <c r="I658" s="460" t="s">
        <v>1644</v>
      </c>
      <c r="J658" s="460">
        <v>1</v>
      </c>
      <c r="K658" s="455" t="s">
        <v>2482</v>
      </c>
    </row>
    <row r="659" spans="1:11" ht="15.75" hidden="1">
      <c r="A659" s="507" t="s">
        <v>2622</v>
      </c>
      <c r="B659" s="459" t="s">
        <v>2182</v>
      </c>
      <c r="C659" s="455" t="s">
        <v>2631</v>
      </c>
      <c r="D659" s="455" t="s">
        <v>2506</v>
      </c>
      <c r="E659" s="461">
        <v>236000000</v>
      </c>
      <c r="F659" s="455" t="s">
        <v>2213</v>
      </c>
      <c r="G659" s="455" t="s">
        <v>2593</v>
      </c>
      <c r="H659" s="460" t="s">
        <v>2161</v>
      </c>
      <c r="I659" s="460" t="s">
        <v>1644</v>
      </c>
      <c r="J659" s="460">
        <v>1</v>
      </c>
      <c r="K659" s="455" t="s">
        <v>2482</v>
      </c>
    </row>
    <row r="660" spans="1:11" ht="15.75" hidden="1">
      <c r="A660" s="412" t="s">
        <v>2564</v>
      </c>
      <c r="B660" s="426" t="s">
        <v>2182</v>
      </c>
      <c r="C660" s="385" t="s">
        <v>2632</v>
      </c>
      <c r="D660" s="385" t="s">
        <v>75</v>
      </c>
      <c r="E660" s="462">
        <v>1500000</v>
      </c>
      <c r="F660" s="385" t="s">
        <v>2306</v>
      </c>
      <c r="G660" s="385" t="s">
        <v>30</v>
      </c>
      <c r="H660" s="387" t="s">
        <v>1625</v>
      </c>
      <c r="I660" s="387" t="s">
        <v>1644</v>
      </c>
      <c r="J660" s="387">
        <v>1</v>
      </c>
      <c r="K660" s="385" t="s">
        <v>1499</v>
      </c>
    </row>
    <row r="661" spans="1:11" ht="15.75" hidden="1">
      <c r="A661" s="479" t="s">
        <v>2564</v>
      </c>
      <c r="B661" s="381" t="s">
        <v>2182</v>
      </c>
      <c r="C661" s="381" t="s">
        <v>2633</v>
      </c>
      <c r="D661" s="381" t="s">
        <v>2506</v>
      </c>
      <c r="E661" s="451">
        <v>1300000</v>
      </c>
      <c r="F661" s="381" t="s">
        <v>2292</v>
      </c>
      <c r="G661" s="381" t="s">
        <v>2605</v>
      </c>
      <c r="H661" s="383" t="s">
        <v>1625</v>
      </c>
      <c r="I661" s="383" t="s">
        <v>1644</v>
      </c>
      <c r="J661" s="383">
        <v>1</v>
      </c>
      <c r="K661" s="381" t="s">
        <v>1499</v>
      </c>
    </row>
    <row r="662" spans="1:11" ht="15.75" hidden="1">
      <c r="A662" s="481" t="s">
        <v>2601</v>
      </c>
      <c r="B662" s="482" t="s">
        <v>2182</v>
      </c>
      <c r="C662" s="482" t="s">
        <v>2634</v>
      </c>
      <c r="D662" s="482" t="s">
        <v>2498</v>
      </c>
      <c r="E662" s="483">
        <v>1250000</v>
      </c>
      <c r="F662" s="482" t="s">
        <v>30</v>
      </c>
      <c r="G662" s="482" t="s">
        <v>2605</v>
      </c>
      <c r="H662" s="484" t="s">
        <v>1625</v>
      </c>
      <c r="I662" s="484" t="s">
        <v>1644</v>
      </c>
      <c r="J662" s="484">
        <v>1</v>
      </c>
      <c r="K662" s="482" t="s">
        <v>2514</v>
      </c>
    </row>
    <row r="663" spans="1:11" ht="15.75" hidden="1">
      <c r="A663" s="443" t="s">
        <v>2601</v>
      </c>
      <c r="B663" s="381" t="s">
        <v>2182</v>
      </c>
      <c r="C663" s="381" t="s">
        <v>303</v>
      </c>
      <c r="D663" s="381" t="s">
        <v>2506</v>
      </c>
      <c r="E663" s="451">
        <v>1300000</v>
      </c>
      <c r="F663" s="381" t="s">
        <v>2306</v>
      </c>
      <c r="G663" s="381" t="s">
        <v>185</v>
      </c>
      <c r="H663" s="383" t="s">
        <v>1625</v>
      </c>
      <c r="I663" s="383" t="s">
        <v>1644</v>
      </c>
      <c r="J663" s="383">
        <v>1</v>
      </c>
      <c r="K663" s="381" t="s">
        <v>1499</v>
      </c>
    </row>
    <row r="664" spans="1:11" ht="15.75" hidden="1">
      <c r="A664" s="412">
        <v>44202</v>
      </c>
      <c r="B664" s="411" t="s">
        <v>2182</v>
      </c>
      <c r="C664" s="381" t="s">
        <v>2635</v>
      </c>
      <c r="D664" s="381" t="s">
        <v>75</v>
      </c>
      <c r="E664" s="451">
        <v>1500000</v>
      </c>
      <c r="F664" s="381" t="s">
        <v>2292</v>
      </c>
      <c r="G664" s="381" t="s">
        <v>2605</v>
      </c>
      <c r="H664" s="383" t="s">
        <v>1625</v>
      </c>
      <c r="I664" s="383" t="s">
        <v>1644</v>
      </c>
      <c r="J664" s="383">
        <v>1</v>
      </c>
      <c r="K664" s="381" t="s">
        <v>1499</v>
      </c>
    </row>
    <row r="665" spans="1:11" ht="15.75" hidden="1">
      <c r="A665" s="412">
        <v>44261</v>
      </c>
      <c r="B665" s="411" t="s">
        <v>2182</v>
      </c>
      <c r="C665" s="381" t="s">
        <v>2636</v>
      </c>
      <c r="D665" s="381" t="s">
        <v>2637</v>
      </c>
      <c r="E665" s="451">
        <v>850000</v>
      </c>
      <c r="F665" s="381" t="s">
        <v>1968</v>
      </c>
      <c r="G665" s="381" t="s">
        <v>185</v>
      </c>
      <c r="H665" s="383" t="s">
        <v>1625</v>
      </c>
      <c r="I665" s="383" t="s">
        <v>1644</v>
      </c>
      <c r="J665" s="383">
        <v>1</v>
      </c>
      <c r="K665" s="381" t="s">
        <v>2514</v>
      </c>
    </row>
    <row r="666" spans="1:11" ht="15.75" hidden="1">
      <c r="A666" s="443">
        <v>44414</v>
      </c>
      <c r="B666" s="385" t="s">
        <v>2182</v>
      </c>
      <c r="C666" s="385" t="s">
        <v>2638</v>
      </c>
      <c r="D666" s="385" t="s">
        <v>2166</v>
      </c>
      <c r="E666" s="462">
        <v>1250000</v>
      </c>
      <c r="F666" s="385" t="s">
        <v>2292</v>
      </c>
      <c r="G666" s="385" t="s">
        <v>2605</v>
      </c>
      <c r="H666" s="387" t="s">
        <v>1625</v>
      </c>
      <c r="I666" s="387" t="s">
        <v>1644</v>
      </c>
      <c r="J666" s="387">
        <v>1</v>
      </c>
      <c r="K666" s="385" t="s">
        <v>1499</v>
      </c>
    </row>
    <row r="667" spans="1:11" ht="15.75" hidden="1">
      <c r="A667" s="443">
        <v>44475</v>
      </c>
      <c r="B667" s="381" t="s">
        <v>2182</v>
      </c>
      <c r="C667" s="381" t="s">
        <v>2639</v>
      </c>
      <c r="D667" s="381" t="s">
        <v>2528</v>
      </c>
      <c r="E667" s="451">
        <v>1600000</v>
      </c>
      <c r="F667" s="381" t="s">
        <v>2292</v>
      </c>
      <c r="G667" s="381" t="s">
        <v>2605</v>
      </c>
      <c r="H667" s="383" t="s">
        <v>1625</v>
      </c>
      <c r="I667" s="383" t="s">
        <v>1644</v>
      </c>
      <c r="J667" s="383">
        <v>1</v>
      </c>
      <c r="K667" s="381" t="s">
        <v>1499</v>
      </c>
    </row>
    <row r="668" spans="1:11" ht="15.75" hidden="1">
      <c r="A668" s="412">
        <v>44475</v>
      </c>
      <c r="B668" s="411" t="s">
        <v>2182</v>
      </c>
      <c r="C668" s="381" t="s">
        <v>336</v>
      </c>
      <c r="D668" s="381" t="s">
        <v>2506</v>
      </c>
      <c r="E668" s="451">
        <v>1250000</v>
      </c>
      <c r="F668" s="381" t="s">
        <v>2292</v>
      </c>
      <c r="G668" s="381" t="s">
        <v>2605</v>
      </c>
      <c r="H668" s="383" t="s">
        <v>1625</v>
      </c>
      <c r="I668" s="383" t="s">
        <v>1644</v>
      </c>
      <c r="J668" s="383">
        <v>1</v>
      </c>
      <c r="K668" s="381" t="s">
        <v>2608</v>
      </c>
    </row>
    <row r="669" spans="1:11" ht="15.75" hidden="1">
      <c r="A669" s="412" t="s">
        <v>2640</v>
      </c>
      <c r="B669" s="411" t="s">
        <v>2182</v>
      </c>
      <c r="C669" s="381" t="s">
        <v>2641</v>
      </c>
      <c r="D669" s="381" t="s">
        <v>2506</v>
      </c>
      <c r="E669" s="451">
        <v>1300000</v>
      </c>
      <c r="F669" s="381" t="s">
        <v>2292</v>
      </c>
      <c r="G669" s="381" t="s">
        <v>2605</v>
      </c>
      <c r="H669" s="383" t="s">
        <v>1625</v>
      </c>
      <c r="I669" s="383" t="s">
        <v>1644</v>
      </c>
      <c r="J669" s="383">
        <v>1</v>
      </c>
      <c r="K669" s="381" t="s">
        <v>1499</v>
      </c>
    </row>
    <row r="670" spans="1:11" ht="15.75" hidden="1">
      <c r="A670" s="393" t="s">
        <v>2642</v>
      </c>
      <c r="B670" s="381" t="s">
        <v>2182</v>
      </c>
      <c r="C670" s="381" t="s">
        <v>2643</v>
      </c>
      <c r="D670" s="381" t="s">
        <v>2543</v>
      </c>
      <c r="E670" s="451">
        <v>1200000</v>
      </c>
      <c r="F670" s="381" t="s">
        <v>2213</v>
      </c>
      <c r="G670" s="381" t="s">
        <v>2593</v>
      </c>
      <c r="H670" s="383" t="s">
        <v>1625</v>
      </c>
      <c r="I670" s="383" t="s">
        <v>1644</v>
      </c>
      <c r="J670" s="383">
        <v>1</v>
      </c>
      <c r="K670" s="381" t="s">
        <v>1499</v>
      </c>
    </row>
    <row r="671" spans="1:11" ht="15.75" hidden="1">
      <c r="A671" s="380" t="s">
        <v>2614</v>
      </c>
      <c r="B671" s="381" t="s">
        <v>2182</v>
      </c>
      <c r="C671" s="381" t="s">
        <v>2644</v>
      </c>
      <c r="D671" s="381" t="s">
        <v>75</v>
      </c>
      <c r="E671" s="451">
        <v>1450000</v>
      </c>
      <c r="F671" s="381" t="s">
        <v>2292</v>
      </c>
      <c r="G671" s="381" t="s">
        <v>2605</v>
      </c>
      <c r="H671" s="383" t="s">
        <v>1625</v>
      </c>
      <c r="I671" s="383" t="s">
        <v>1644</v>
      </c>
      <c r="J671" s="383">
        <v>1</v>
      </c>
      <c r="K671" s="381" t="s">
        <v>1499</v>
      </c>
    </row>
    <row r="672" spans="1:11" ht="15.75" hidden="1">
      <c r="A672" s="380" t="s">
        <v>2614</v>
      </c>
      <c r="B672" s="381" t="s">
        <v>2182</v>
      </c>
      <c r="C672" s="381" t="s">
        <v>2645</v>
      </c>
      <c r="D672" s="381" t="s">
        <v>75</v>
      </c>
      <c r="E672" s="451">
        <v>1450000</v>
      </c>
      <c r="F672" s="381" t="s">
        <v>2306</v>
      </c>
      <c r="G672" s="381" t="s">
        <v>2593</v>
      </c>
      <c r="H672" s="383" t="s">
        <v>2161</v>
      </c>
      <c r="I672" s="383" t="s">
        <v>1644</v>
      </c>
      <c r="J672" s="383">
        <v>1</v>
      </c>
      <c r="K672" s="381" t="s">
        <v>2608</v>
      </c>
    </row>
    <row r="673" spans="1:11" ht="15.75" hidden="1">
      <c r="A673" s="380" t="s">
        <v>2614</v>
      </c>
      <c r="B673" s="381" t="s">
        <v>2182</v>
      </c>
      <c r="C673" s="385" t="s">
        <v>2646</v>
      </c>
      <c r="D673" s="385" t="s">
        <v>2506</v>
      </c>
      <c r="E673" s="462">
        <v>1200000</v>
      </c>
      <c r="F673" s="385" t="s">
        <v>2292</v>
      </c>
      <c r="G673" s="385" t="s">
        <v>2605</v>
      </c>
      <c r="H673" s="387" t="s">
        <v>1625</v>
      </c>
      <c r="I673" s="387" t="s">
        <v>1644</v>
      </c>
      <c r="J673" s="387">
        <v>1</v>
      </c>
      <c r="K673" s="385" t="s">
        <v>2608</v>
      </c>
    </row>
    <row r="674" spans="1:11" ht="15.75" hidden="1">
      <c r="A674" s="384" t="s">
        <v>2647</v>
      </c>
      <c r="B674" s="385" t="s">
        <v>2182</v>
      </c>
      <c r="C674" s="381" t="s">
        <v>2648</v>
      </c>
      <c r="D674" s="385" t="s">
        <v>2506</v>
      </c>
      <c r="E674" s="462">
        <v>1300000</v>
      </c>
      <c r="F674" s="385" t="s">
        <v>2292</v>
      </c>
      <c r="G674" s="385" t="s">
        <v>2625</v>
      </c>
      <c r="H674" s="387" t="s">
        <v>1625</v>
      </c>
      <c r="I674" s="387" t="s">
        <v>1644</v>
      </c>
      <c r="J674" s="387">
        <v>1</v>
      </c>
      <c r="K674" s="385" t="s">
        <v>2608</v>
      </c>
    </row>
    <row r="675" spans="1:11" ht="15.75" hidden="1">
      <c r="A675" s="384" t="s">
        <v>2647</v>
      </c>
      <c r="B675" s="385" t="s">
        <v>2182</v>
      </c>
      <c r="C675" s="385" t="s">
        <v>309</v>
      </c>
      <c r="D675" s="385" t="s">
        <v>2506</v>
      </c>
      <c r="E675" s="462">
        <v>1300000</v>
      </c>
      <c r="F675" s="385" t="s">
        <v>2292</v>
      </c>
      <c r="G675" s="385" t="s">
        <v>2625</v>
      </c>
      <c r="H675" s="387" t="s">
        <v>1625</v>
      </c>
      <c r="I675" s="387" t="s">
        <v>1644</v>
      </c>
      <c r="J675" s="387">
        <v>1</v>
      </c>
      <c r="K675" s="385" t="s">
        <v>1499</v>
      </c>
    </row>
    <row r="676" spans="1:11" ht="15.75" hidden="1">
      <c r="A676" s="443" t="s">
        <v>2620</v>
      </c>
      <c r="B676" s="381" t="s">
        <v>2182</v>
      </c>
      <c r="C676" s="381" t="s">
        <v>350</v>
      </c>
      <c r="D676" s="381" t="s">
        <v>2506</v>
      </c>
      <c r="E676" s="462">
        <v>1400000</v>
      </c>
      <c r="F676" s="385" t="s">
        <v>2213</v>
      </c>
      <c r="G676" s="385" t="s">
        <v>30</v>
      </c>
      <c r="H676" s="387" t="s">
        <v>1625</v>
      </c>
      <c r="I676" s="387" t="s">
        <v>1644</v>
      </c>
      <c r="J676" s="387">
        <v>1</v>
      </c>
      <c r="K676" s="385" t="s">
        <v>2608</v>
      </c>
    </row>
    <row r="677" spans="1:11" ht="15.75" hidden="1">
      <c r="A677" s="443" t="s">
        <v>2620</v>
      </c>
      <c r="B677" s="381" t="s">
        <v>2182</v>
      </c>
      <c r="C677" s="381" t="s">
        <v>2649</v>
      </c>
      <c r="D677" s="381" t="s">
        <v>2506</v>
      </c>
      <c r="E677" s="462">
        <v>1300000</v>
      </c>
      <c r="F677" s="385" t="s">
        <v>2292</v>
      </c>
      <c r="G677" s="385" t="s">
        <v>2625</v>
      </c>
      <c r="H677" s="387" t="s">
        <v>1625</v>
      </c>
      <c r="I677" s="387" t="s">
        <v>1644</v>
      </c>
      <c r="J677" s="387">
        <v>1</v>
      </c>
      <c r="K677" s="385" t="s">
        <v>1499</v>
      </c>
    </row>
    <row r="678" spans="1:11" ht="15.75" hidden="1">
      <c r="A678" s="393" t="s">
        <v>2650</v>
      </c>
      <c r="B678" s="381" t="s">
        <v>2182</v>
      </c>
      <c r="C678" s="381" t="s">
        <v>2651</v>
      </c>
      <c r="D678" s="381" t="s">
        <v>2528</v>
      </c>
      <c r="E678" s="451">
        <v>1400000</v>
      </c>
      <c r="F678" s="381" t="s">
        <v>2213</v>
      </c>
      <c r="G678" s="381" t="s">
        <v>2593</v>
      </c>
      <c r="H678" s="383" t="s">
        <v>1625</v>
      </c>
      <c r="I678" s="383" t="s">
        <v>1644</v>
      </c>
      <c r="J678" s="383">
        <v>1</v>
      </c>
      <c r="K678" s="381" t="s">
        <v>1499</v>
      </c>
    </row>
    <row r="679" spans="1:11" ht="15.75" hidden="1">
      <c r="A679" s="393" t="s">
        <v>2652</v>
      </c>
      <c r="B679" s="381" t="s">
        <v>2060</v>
      </c>
      <c r="C679" s="381" t="s">
        <v>2653</v>
      </c>
      <c r="D679" s="381" t="s">
        <v>2543</v>
      </c>
      <c r="E679" s="451">
        <v>3000000</v>
      </c>
      <c r="F679" s="381" t="s">
        <v>2213</v>
      </c>
      <c r="G679" s="381" t="s">
        <v>2593</v>
      </c>
      <c r="H679" s="383" t="s">
        <v>1625</v>
      </c>
      <c r="I679" s="383" t="s">
        <v>1644</v>
      </c>
      <c r="J679" s="383">
        <v>1</v>
      </c>
      <c r="K679" s="381" t="s">
        <v>2608</v>
      </c>
    </row>
    <row r="680" spans="1:11" ht="15.75" hidden="1">
      <c r="A680" s="456"/>
      <c r="B680" s="457"/>
      <c r="C680" s="457"/>
      <c r="D680" s="457"/>
      <c r="E680" s="476"/>
      <c r="F680" s="457"/>
      <c r="G680" s="457"/>
      <c r="H680" s="153"/>
      <c r="I680" s="153"/>
      <c r="J680" s="493">
        <f>SUM(J657:J679)</f>
        <v>23</v>
      </c>
      <c r="K680" s="457"/>
    </row>
    <row r="681" spans="1:11" ht="15.75" hidden="1">
      <c r="A681" s="394"/>
      <c r="B681" s="395"/>
      <c r="C681" s="395"/>
      <c r="D681" s="395"/>
      <c r="E681" s="396"/>
      <c r="F681" s="397"/>
      <c r="G681" s="397"/>
      <c r="H681" s="395"/>
      <c r="I681" s="395"/>
      <c r="J681" s="395"/>
      <c r="K681" s="395"/>
    </row>
    <row r="682" spans="1:11" ht="26.25" hidden="1">
      <c r="A682" s="1667" t="s">
        <v>2654</v>
      </c>
      <c r="B682" s="1667"/>
      <c r="C682" s="1667"/>
      <c r="D682" s="1667"/>
      <c r="E682" s="1667"/>
      <c r="F682" s="1667"/>
      <c r="G682" s="1667"/>
      <c r="H682" s="1667"/>
      <c r="I682" s="1667"/>
      <c r="J682" s="1667"/>
      <c r="K682" s="1667"/>
    </row>
    <row r="683" spans="1:11" ht="31.5" hidden="1">
      <c r="A683" s="375" t="s">
        <v>1941</v>
      </c>
      <c r="B683" s="378" t="s">
        <v>1942</v>
      </c>
      <c r="C683" s="378" t="s">
        <v>1943</v>
      </c>
      <c r="D683" s="378" t="s">
        <v>1944</v>
      </c>
      <c r="E683" s="452" t="s">
        <v>1945</v>
      </c>
      <c r="F683" s="378" t="s">
        <v>1946</v>
      </c>
      <c r="G683" s="378" t="s">
        <v>2590</v>
      </c>
      <c r="H683" s="378" t="s">
        <v>1947</v>
      </c>
      <c r="I683" s="378" t="s">
        <v>1948</v>
      </c>
      <c r="J683" s="453" t="s">
        <v>1949</v>
      </c>
      <c r="K683" s="378" t="s">
        <v>1950</v>
      </c>
    </row>
    <row r="684" spans="1:11" ht="15.75" hidden="1">
      <c r="A684" s="474">
        <v>44292</v>
      </c>
      <c r="B684" s="472" t="s">
        <v>2182</v>
      </c>
      <c r="C684" s="472" t="s">
        <v>2655</v>
      </c>
      <c r="D684" s="472" t="s">
        <v>2347</v>
      </c>
      <c r="E684" s="475">
        <v>290000000</v>
      </c>
      <c r="F684" s="472" t="s">
        <v>2292</v>
      </c>
      <c r="G684" s="472" t="s">
        <v>2593</v>
      </c>
      <c r="H684" s="473" t="s">
        <v>1955</v>
      </c>
      <c r="I684" s="473" t="s">
        <v>1644</v>
      </c>
      <c r="J684" s="473">
        <v>1</v>
      </c>
      <c r="K684" s="472" t="s">
        <v>2629</v>
      </c>
    </row>
    <row r="685" spans="1:11" ht="15.75" hidden="1">
      <c r="A685" s="474" t="s">
        <v>2614</v>
      </c>
      <c r="B685" s="472" t="s">
        <v>1952</v>
      </c>
      <c r="C685" s="472" t="s">
        <v>2656</v>
      </c>
      <c r="D685" s="472" t="s">
        <v>2568</v>
      </c>
      <c r="E685" s="475">
        <v>140000000</v>
      </c>
      <c r="F685" s="472" t="s">
        <v>2292</v>
      </c>
      <c r="G685" s="472" t="s">
        <v>2625</v>
      </c>
      <c r="H685" s="473" t="s">
        <v>1625</v>
      </c>
      <c r="I685" s="473" t="s">
        <v>1644</v>
      </c>
      <c r="J685" s="473">
        <v>1</v>
      </c>
      <c r="K685" s="472" t="s">
        <v>2629</v>
      </c>
    </row>
    <row r="686" spans="1:11" ht="15.75" hidden="1">
      <c r="A686" s="474" t="s">
        <v>2614</v>
      </c>
      <c r="B686" s="472" t="s">
        <v>2182</v>
      </c>
      <c r="C686" s="472" t="s">
        <v>2657</v>
      </c>
      <c r="D686" s="472" t="s">
        <v>2347</v>
      </c>
      <c r="E686" s="475">
        <v>72500000</v>
      </c>
      <c r="F686" s="472" t="s">
        <v>2213</v>
      </c>
      <c r="G686" s="472" t="s">
        <v>185</v>
      </c>
      <c r="H686" s="473" t="s">
        <v>1625</v>
      </c>
      <c r="I686" s="473" t="s">
        <v>1644</v>
      </c>
      <c r="J686" s="473">
        <v>1</v>
      </c>
      <c r="K686" s="472" t="s">
        <v>2629</v>
      </c>
    </row>
    <row r="687" spans="1:11" ht="15.75" hidden="1">
      <c r="A687" s="474" t="s">
        <v>2618</v>
      </c>
      <c r="B687" s="578" t="s">
        <v>2182</v>
      </c>
      <c r="C687" s="472" t="s">
        <v>1142</v>
      </c>
      <c r="D687" s="472" t="s">
        <v>2502</v>
      </c>
      <c r="E687" s="475">
        <v>405000000</v>
      </c>
      <c r="F687" s="472" t="s">
        <v>2213</v>
      </c>
      <c r="G687" s="472" t="s">
        <v>2593</v>
      </c>
      <c r="H687" s="473" t="s">
        <v>2161</v>
      </c>
      <c r="I687" s="473" t="s">
        <v>1644</v>
      </c>
      <c r="J687" s="473">
        <v>1</v>
      </c>
      <c r="K687" s="472" t="s">
        <v>2629</v>
      </c>
    </row>
    <row r="688" spans="1:11" ht="15.75" hidden="1">
      <c r="A688" s="393" t="s">
        <v>2596</v>
      </c>
      <c r="B688" s="426" t="s">
        <v>2182</v>
      </c>
      <c r="C688" s="385" t="s">
        <v>2658</v>
      </c>
      <c r="D688" s="385" t="s">
        <v>2659</v>
      </c>
      <c r="E688" s="462">
        <v>1200000</v>
      </c>
      <c r="F688" s="385" t="s">
        <v>2292</v>
      </c>
      <c r="G688" s="385" t="s">
        <v>2605</v>
      </c>
      <c r="H688" s="387" t="s">
        <v>1625</v>
      </c>
      <c r="I688" s="387" t="s">
        <v>1644</v>
      </c>
      <c r="J688" s="387">
        <v>1</v>
      </c>
      <c r="K688" s="385" t="s">
        <v>2514</v>
      </c>
    </row>
    <row r="689" spans="1:11" ht="15.75" hidden="1">
      <c r="A689" s="405" t="s">
        <v>2596</v>
      </c>
      <c r="B689" s="426" t="s">
        <v>2182</v>
      </c>
      <c r="C689" s="385" t="s">
        <v>2660</v>
      </c>
      <c r="D689" s="385" t="s">
        <v>2661</v>
      </c>
      <c r="E689" s="462">
        <v>950000</v>
      </c>
      <c r="F689" s="385" t="s">
        <v>2292</v>
      </c>
      <c r="G689" s="385" t="s">
        <v>2605</v>
      </c>
      <c r="H689" s="387" t="s">
        <v>1625</v>
      </c>
      <c r="I689" s="387" t="s">
        <v>1644</v>
      </c>
      <c r="J689" s="387">
        <v>1</v>
      </c>
      <c r="K689" s="385" t="s">
        <v>2514</v>
      </c>
    </row>
    <row r="690" spans="1:11" ht="15.75" hidden="1">
      <c r="A690" s="393" t="s">
        <v>2564</v>
      </c>
      <c r="B690" s="426" t="s">
        <v>2182</v>
      </c>
      <c r="C690" s="385" t="s">
        <v>2662</v>
      </c>
      <c r="D690" s="385" t="s">
        <v>2661</v>
      </c>
      <c r="E690" s="462">
        <v>900000</v>
      </c>
      <c r="F690" s="385" t="s">
        <v>2292</v>
      </c>
      <c r="G690" s="385" t="s">
        <v>2605</v>
      </c>
      <c r="H690" s="387" t="s">
        <v>1625</v>
      </c>
      <c r="I690" s="387" t="s">
        <v>1644</v>
      </c>
      <c r="J690" s="387">
        <v>1</v>
      </c>
      <c r="K690" s="385" t="s">
        <v>1499</v>
      </c>
    </row>
    <row r="691" spans="1:11" ht="15.75" hidden="1">
      <c r="A691" s="393" t="s">
        <v>2564</v>
      </c>
      <c r="B691" s="426" t="s">
        <v>2182</v>
      </c>
      <c r="C691" s="385" t="s">
        <v>2663</v>
      </c>
      <c r="D691" s="385" t="s">
        <v>2661</v>
      </c>
      <c r="E691" s="462">
        <v>1100000</v>
      </c>
      <c r="F691" s="385" t="s">
        <v>2292</v>
      </c>
      <c r="G691" s="385" t="s">
        <v>2605</v>
      </c>
      <c r="H691" s="387" t="s">
        <v>1625</v>
      </c>
      <c r="I691" s="387" t="s">
        <v>1644</v>
      </c>
      <c r="J691" s="387">
        <v>1</v>
      </c>
      <c r="K691" s="385" t="s">
        <v>1499</v>
      </c>
    </row>
    <row r="692" spans="1:11" ht="15.75" hidden="1">
      <c r="A692" s="412" t="s">
        <v>2564</v>
      </c>
      <c r="B692" s="411" t="s">
        <v>1966</v>
      </c>
      <c r="C692" s="381" t="s">
        <v>2664</v>
      </c>
      <c r="D692" s="381" t="s">
        <v>2665</v>
      </c>
      <c r="E692" s="451">
        <v>4500000</v>
      </c>
      <c r="F692" s="381" t="s">
        <v>1968</v>
      </c>
      <c r="G692" s="381" t="s">
        <v>2666</v>
      </c>
      <c r="H692" s="383" t="s">
        <v>1625</v>
      </c>
      <c r="I692" s="383" t="s">
        <v>1644</v>
      </c>
      <c r="J692" s="383">
        <v>1</v>
      </c>
      <c r="K692" s="381" t="s">
        <v>2514</v>
      </c>
    </row>
    <row r="693" spans="1:11" ht="15.75" hidden="1">
      <c r="A693" s="412">
        <v>44261</v>
      </c>
      <c r="B693" s="411" t="s">
        <v>2182</v>
      </c>
      <c r="C693" s="381" t="s">
        <v>1266</v>
      </c>
      <c r="D693" s="381" t="s">
        <v>2576</v>
      </c>
      <c r="E693" s="451">
        <v>750000</v>
      </c>
      <c r="F693" s="381" t="s">
        <v>1968</v>
      </c>
      <c r="G693" s="381" t="s">
        <v>185</v>
      </c>
      <c r="H693" s="383" t="s">
        <v>1625</v>
      </c>
      <c r="I693" s="383" t="s">
        <v>1644</v>
      </c>
      <c r="J693" s="383">
        <v>1</v>
      </c>
      <c r="K693" s="381" t="s">
        <v>2608</v>
      </c>
    </row>
    <row r="694" spans="1:11" ht="15.75" hidden="1">
      <c r="A694" s="412">
        <v>44292</v>
      </c>
      <c r="B694" s="411" t="s">
        <v>2182</v>
      </c>
      <c r="C694" s="381" t="s">
        <v>2655</v>
      </c>
      <c r="D694" s="381" t="s">
        <v>2347</v>
      </c>
      <c r="E694" s="451">
        <v>1350000</v>
      </c>
      <c r="F694" s="381" t="s">
        <v>2292</v>
      </c>
      <c r="G694" s="385" t="s">
        <v>2593</v>
      </c>
      <c r="H694" s="387" t="s">
        <v>1625</v>
      </c>
      <c r="I694" s="383" t="s">
        <v>1644</v>
      </c>
      <c r="J694" s="383">
        <v>1</v>
      </c>
      <c r="K694" s="381" t="s">
        <v>1499</v>
      </c>
    </row>
    <row r="695" spans="1:11" ht="15.75" hidden="1">
      <c r="A695" s="479">
        <v>44292</v>
      </c>
      <c r="B695" s="411" t="s">
        <v>2182</v>
      </c>
      <c r="C695" s="381" t="s">
        <v>2667</v>
      </c>
      <c r="D695" s="381" t="s">
        <v>2347</v>
      </c>
      <c r="E695" s="451">
        <v>1300000</v>
      </c>
      <c r="F695" s="575" t="s">
        <v>1968</v>
      </c>
      <c r="G695" s="381" t="s">
        <v>2593</v>
      </c>
      <c r="H695" s="530" t="s">
        <v>1625</v>
      </c>
      <c r="I695" s="531" t="s">
        <v>1644</v>
      </c>
      <c r="J695" s="383">
        <v>1</v>
      </c>
      <c r="K695" s="381" t="s">
        <v>1499</v>
      </c>
    </row>
    <row r="696" spans="1:11" ht="15.75" hidden="1">
      <c r="A696" s="412">
        <v>44291</v>
      </c>
      <c r="B696" s="411" t="s">
        <v>2182</v>
      </c>
      <c r="C696" s="381" t="s">
        <v>2668</v>
      </c>
      <c r="D696" s="381" t="s">
        <v>2669</v>
      </c>
      <c r="E696" s="451">
        <v>1200000</v>
      </c>
      <c r="F696" s="381" t="s">
        <v>1968</v>
      </c>
      <c r="G696" s="406" t="s">
        <v>2593</v>
      </c>
      <c r="H696" s="408" t="s">
        <v>1625</v>
      </c>
      <c r="I696" s="383" t="s">
        <v>1644</v>
      </c>
      <c r="J696" s="383">
        <v>1</v>
      </c>
      <c r="K696" s="381" t="s">
        <v>2608</v>
      </c>
    </row>
    <row r="697" spans="1:11" ht="15.75" hidden="1">
      <c r="A697" s="412">
        <v>44414</v>
      </c>
      <c r="B697" s="411" t="s">
        <v>2670</v>
      </c>
      <c r="C697" s="381" t="s">
        <v>2671</v>
      </c>
      <c r="D697" s="381" t="s">
        <v>2506</v>
      </c>
      <c r="E697" s="451">
        <v>700000</v>
      </c>
      <c r="F697" s="381" t="s">
        <v>1968</v>
      </c>
      <c r="G697" s="381" t="s">
        <v>2593</v>
      </c>
      <c r="H697" s="383" t="s">
        <v>1625</v>
      </c>
      <c r="I697" s="383" t="s">
        <v>1644</v>
      </c>
      <c r="J697" s="383">
        <v>1</v>
      </c>
      <c r="K697" s="381" t="s">
        <v>1499</v>
      </c>
    </row>
    <row r="698" spans="1:11" ht="15.75" hidden="1">
      <c r="A698" s="412">
        <v>44414</v>
      </c>
      <c r="B698" s="411" t="s">
        <v>2182</v>
      </c>
      <c r="C698" s="381" t="s">
        <v>337</v>
      </c>
      <c r="D698" s="381" t="s">
        <v>2166</v>
      </c>
      <c r="E698" s="451">
        <v>950000</v>
      </c>
      <c r="F698" s="381" t="s">
        <v>2292</v>
      </c>
      <c r="G698" s="381" t="s">
        <v>30</v>
      </c>
      <c r="H698" s="383" t="s">
        <v>1625</v>
      </c>
      <c r="I698" s="383" t="s">
        <v>1644</v>
      </c>
      <c r="J698" s="383">
        <v>1</v>
      </c>
      <c r="K698" s="381" t="s">
        <v>2608</v>
      </c>
    </row>
    <row r="699" spans="1:11" ht="15.75" hidden="1">
      <c r="A699" s="412">
        <v>44536</v>
      </c>
      <c r="B699" s="411" t="s">
        <v>2182</v>
      </c>
      <c r="C699" s="381" t="s">
        <v>2672</v>
      </c>
      <c r="D699" s="381" t="s">
        <v>2673</v>
      </c>
      <c r="E699" s="451">
        <v>900000</v>
      </c>
      <c r="F699" s="381" t="s">
        <v>1968</v>
      </c>
      <c r="G699" s="381" t="s">
        <v>185</v>
      </c>
      <c r="H699" s="383" t="s">
        <v>1625</v>
      </c>
      <c r="I699" s="383" t="s">
        <v>1644</v>
      </c>
      <c r="J699" s="383">
        <v>1</v>
      </c>
      <c r="K699" s="381" t="s">
        <v>1499</v>
      </c>
    </row>
    <row r="700" spans="1:11" ht="15.75" hidden="1">
      <c r="A700" s="393">
        <v>44536</v>
      </c>
      <c r="B700" s="381" t="s">
        <v>2182</v>
      </c>
      <c r="C700" s="381" t="s">
        <v>1544</v>
      </c>
      <c r="D700" s="381" t="s">
        <v>2659</v>
      </c>
      <c r="E700" s="451">
        <v>1150000</v>
      </c>
      <c r="F700" s="381" t="s">
        <v>2292</v>
      </c>
      <c r="G700" s="381" t="s">
        <v>30</v>
      </c>
      <c r="H700" s="383" t="s">
        <v>1625</v>
      </c>
      <c r="I700" s="383" t="s">
        <v>1644</v>
      </c>
      <c r="J700" s="383">
        <v>1</v>
      </c>
      <c r="K700" s="381" t="s">
        <v>1499</v>
      </c>
    </row>
    <row r="701" spans="1:11" ht="15.75" hidden="1">
      <c r="A701" s="380" t="s">
        <v>2640</v>
      </c>
      <c r="B701" s="381" t="s">
        <v>2182</v>
      </c>
      <c r="C701" s="381" t="s">
        <v>2674</v>
      </c>
      <c r="D701" s="381" t="s">
        <v>2253</v>
      </c>
      <c r="E701" s="451">
        <v>680000</v>
      </c>
      <c r="F701" s="381" t="s">
        <v>2292</v>
      </c>
      <c r="G701" s="381" t="s">
        <v>2605</v>
      </c>
      <c r="H701" s="383" t="s">
        <v>1625</v>
      </c>
      <c r="I701" s="383" t="s">
        <v>1644</v>
      </c>
      <c r="J701" s="383">
        <v>1</v>
      </c>
      <c r="K701" s="381" t="s">
        <v>2608</v>
      </c>
    </row>
    <row r="702" spans="1:11" ht="15.75" hidden="1">
      <c r="A702" s="380" t="s">
        <v>2640</v>
      </c>
      <c r="B702" s="381" t="s">
        <v>2182</v>
      </c>
      <c r="C702" s="385" t="s">
        <v>2675</v>
      </c>
      <c r="D702" s="385" t="s">
        <v>2661</v>
      </c>
      <c r="E702" s="462">
        <v>750000</v>
      </c>
      <c r="F702" s="385" t="s">
        <v>2292</v>
      </c>
      <c r="G702" s="385" t="s">
        <v>185</v>
      </c>
      <c r="H702" s="387" t="s">
        <v>1625</v>
      </c>
      <c r="I702" s="387" t="s">
        <v>1644</v>
      </c>
      <c r="J702" s="387">
        <v>1</v>
      </c>
      <c r="K702" s="385" t="s">
        <v>1499</v>
      </c>
    </row>
    <row r="703" spans="1:11" ht="15.75" hidden="1">
      <c r="A703" s="380" t="s">
        <v>2614</v>
      </c>
      <c r="B703" s="381" t="s">
        <v>2060</v>
      </c>
      <c r="C703" s="385" t="s">
        <v>2657</v>
      </c>
      <c r="D703" s="385" t="s">
        <v>2347</v>
      </c>
      <c r="E703" s="462">
        <v>3000000</v>
      </c>
      <c r="F703" s="385" t="s">
        <v>2213</v>
      </c>
      <c r="G703" s="385" t="s">
        <v>185</v>
      </c>
      <c r="H703" s="387" t="s">
        <v>1625</v>
      </c>
      <c r="I703" s="387" t="s">
        <v>1644</v>
      </c>
      <c r="J703" s="387">
        <v>1</v>
      </c>
      <c r="K703" s="385" t="s">
        <v>1499</v>
      </c>
    </row>
    <row r="704" spans="1:11" ht="15.75" hidden="1">
      <c r="A704" s="384" t="s">
        <v>2614</v>
      </c>
      <c r="B704" s="385" t="s">
        <v>2182</v>
      </c>
      <c r="C704" s="381" t="s">
        <v>370</v>
      </c>
      <c r="D704" s="385" t="s">
        <v>2659</v>
      </c>
      <c r="E704" s="462">
        <v>950000</v>
      </c>
      <c r="F704" s="385" t="s">
        <v>2292</v>
      </c>
      <c r="G704" s="385" t="s">
        <v>2625</v>
      </c>
      <c r="H704" s="387" t="s">
        <v>1625</v>
      </c>
      <c r="I704" s="387" t="s">
        <v>1644</v>
      </c>
      <c r="J704" s="387">
        <v>1</v>
      </c>
      <c r="K704" s="385" t="s">
        <v>2608</v>
      </c>
    </row>
    <row r="705" spans="1:11" ht="15.75" hidden="1">
      <c r="A705" s="384" t="s">
        <v>2618</v>
      </c>
      <c r="B705" s="385" t="s">
        <v>2182</v>
      </c>
      <c r="C705" s="385" t="s">
        <v>368</v>
      </c>
      <c r="D705" s="385" t="s">
        <v>2253</v>
      </c>
      <c r="E705" s="462">
        <v>650000</v>
      </c>
      <c r="F705" s="385" t="s">
        <v>2292</v>
      </c>
      <c r="G705" s="385" t="s">
        <v>2625</v>
      </c>
      <c r="H705" s="387" t="s">
        <v>1625</v>
      </c>
      <c r="I705" s="387" t="s">
        <v>1644</v>
      </c>
      <c r="J705" s="387">
        <v>1</v>
      </c>
      <c r="K705" s="385" t="s">
        <v>1499</v>
      </c>
    </row>
    <row r="706" spans="1:11" ht="15.75" hidden="1">
      <c r="A706" s="384" t="s">
        <v>2620</v>
      </c>
      <c r="B706" s="385" t="s">
        <v>2182</v>
      </c>
      <c r="C706" s="385" t="s">
        <v>2676</v>
      </c>
      <c r="D706" s="385" t="s">
        <v>2253</v>
      </c>
      <c r="E706" s="462">
        <v>680000</v>
      </c>
      <c r="F706" s="385" t="s">
        <v>2292</v>
      </c>
      <c r="G706" s="385" t="s">
        <v>2625</v>
      </c>
      <c r="H706" s="387" t="s">
        <v>2513</v>
      </c>
      <c r="I706" s="387" t="s">
        <v>1644</v>
      </c>
      <c r="J706" s="387">
        <v>1</v>
      </c>
      <c r="K706" s="385" t="s">
        <v>1499</v>
      </c>
    </row>
    <row r="707" spans="1:11" ht="15.75" hidden="1">
      <c r="A707" s="384" t="s">
        <v>2620</v>
      </c>
      <c r="B707" s="385" t="s">
        <v>2182</v>
      </c>
      <c r="C707" s="385" t="s">
        <v>2677</v>
      </c>
      <c r="D707" s="385" t="s">
        <v>2659</v>
      </c>
      <c r="E707" s="462">
        <v>1200000</v>
      </c>
      <c r="F707" s="385" t="s">
        <v>2292</v>
      </c>
      <c r="G707" s="385" t="s">
        <v>2625</v>
      </c>
      <c r="H707" s="387" t="s">
        <v>1625</v>
      </c>
      <c r="I707" s="387" t="s">
        <v>1644</v>
      </c>
      <c r="J707" s="387">
        <v>1</v>
      </c>
      <c r="K707" s="385" t="s">
        <v>2608</v>
      </c>
    </row>
    <row r="708" spans="1:11" ht="15.75" hidden="1">
      <c r="A708" s="393"/>
      <c r="B708" s="381"/>
      <c r="C708" s="381"/>
      <c r="D708" s="381"/>
      <c r="E708" s="451"/>
      <c r="F708" s="381"/>
      <c r="G708" s="381"/>
      <c r="H708" s="383"/>
      <c r="I708" s="383"/>
      <c r="J708" s="383"/>
      <c r="K708" s="381"/>
    </row>
    <row r="709" spans="1:11" ht="15.75" hidden="1">
      <c r="A709" s="456"/>
      <c r="B709" s="457"/>
      <c r="C709" s="457"/>
      <c r="D709" s="457"/>
      <c r="E709" s="476"/>
      <c r="F709" s="457"/>
      <c r="G709" s="457"/>
      <c r="H709" s="153"/>
      <c r="I709" s="153"/>
      <c r="J709" s="493">
        <f>SUM(J684:J708)</f>
        <v>24</v>
      </c>
      <c r="K709" s="457"/>
    </row>
    <row r="710" spans="1:11" ht="15.75" hidden="1">
      <c r="A710" s="394"/>
      <c r="B710" s="395"/>
      <c r="C710" s="395"/>
      <c r="D710" s="395"/>
      <c r="E710" s="396"/>
      <c r="F710" s="397"/>
      <c r="G710" s="397"/>
      <c r="H710" s="395"/>
      <c r="I710" s="395"/>
      <c r="J710" s="395"/>
      <c r="K710" s="395"/>
    </row>
    <row r="711" spans="1:11" ht="15.75" hidden="1">
      <c r="A711" s="394"/>
      <c r="B711" s="395"/>
      <c r="C711" s="395"/>
      <c r="D711" s="395"/>
      <c r="E711" s="396"/>
      <c r="F711" s="397"/>
      <c r="G711" s="397"/>
      <c r="H711" s="395"/>
      <c r="I711" s="395"/>
      <c r="J711" s="395"/>
      <c r="K711" s="395"/>
    </row>
    <row r="712" spans="1:11" ht="26.25" hidden="1">
      <c r="A712" s="1667" t="s">
        <v>2678</v>
      </c>
      <c r="B712" s="1667"/>
      <c r="C712" s="1667"/>
      <c r="D712" s="1667"/>
      <c r="E712" s="1667"/>
      <c r="F712" s="1667"/>
      <c r="G712" s="1667"/>
      <c r="H712" s="1667"/>
      <c r="I712" s="1667"/>
      <c r="J712" s="1667"/>
      <c r="K712" s="1667"/>
    </row>
    <row r="713" spans="1:11" ht="31.5" hidden="1">
      <c r="A713" s="375" t="s">
        <v>1941</v>
      </c>
      <c r="B713" s="378" t="s">
        <v>1942</v>
      </c>
      <c r="C713" s="378" t="s">
        <v>1943</v>
      </c>
      <c r="D713" s="378" t="s">
        <v>1944</v>
      </c>
      <c r="E713" s="452" t="s">
        <v>1945</v>
      </c>
      <c r="F713" s="378" t="s">
        <v>1946</v>
      </c>
      <c r="G713" s="378" t="s">
        <v>2590</v>
      </c>
      <c r="H713" s="378" t="s">
        <v>1947</v>
      </c>
      <c r="I713" s="378" t="s">
        <v>1948</v>
      </c>
      <c r="J713" s="453" t="s">
        <v>1949</v>
      </c>
      <c r="K713" s="378" t="s">
        <v>1950</v>
      </c>
    </row>
    <row r="714" spans="1:11" ht="15.75" hidden="1">
      <c r="A714" s="384">
        <v>44506</v>
      </c>
      <c r="B714" s="577" t="s">
        <v>2182</v>
      </c>
      <c r="C714" s="385" t="s">
        <v>328</v>
      </c>
      <c r="D714" s="385" t="s">
        <v>2502</v>
      </c>
      <c r="E714" s="462">
        <v>1070000</v>
      </c>
      <c r="F714" s="385" t="s">
        <v>1968</v>
      </c>
      <c r="G714" s="385" t="s">
        <v>2593</v>
      </c>
      <c r="H714" s="387" t="s">
        <v>1625</v>
      </c>
      <c r="I714" s="387" t="s">
        <v>1644</v>
      </c>
      <c r="J714" s="387">
        <v>1</v>
      </c>
      <c r="K714" s="385" t="s">
        <v>2608</v>
      </c>
    </row>
    <row r="715" spans="1:11" ht="15.75" hidden="1">
      <c r="A715" s="443" t="s">
        <v>2620</v>
      </c>
      <c r="B715" s="381" t="s">
        <v>2182</v>
      </c>
      <c r="C715" s="381" t="s">
        <v>365</v>
      </c>
      <c r="D715" s="381" t="s">
        <v>2562</v>
      </c>
      <c r="E715" s="451">
        <v>1100000</v>
      </c>
      <c r="F715" s="381" t="s">
        <v>2213</v>
      </c>
      <c r="G715" s="381" t="s">
        <v>185</v>
      </c>
      <c r="H715" s="383" t="s">
        <v>1625</v>
      </c>
      <c r="I715" s="383" t="s">
        <v>1644</v>
      </c>
      <c r="J715" s="383">
        <v>1</v>
      </c>
      <c r="K715" s="381" t="s">
        <v>2608</v>
      </c>
    </row>
    <row r="716" spans="1:11" ht="15.75" hidden="1">
      <c r="A716" s="412" t="s">
        <v>2679</v>
      </c>
      <c r="B716" s="411" t="s">
        <v>2182</v>
      </c>
      <c r="C716" s="381" t="s">
        <v>1373</v>
      </c>
      <c r="D716" s="381" t="s">
        <v>77</v>
      </c>
      <c r="E716" s="451">
        <v>850000</v>
      </c>
      <c r="F716" s="381" t="s">
        <v>2213</v>
      </c>
      <c r="G716" s="381" t="s">
        <v>185</v>
      </c>
      <c r="H716" s="383" t="s">
        <v>1625</v>
      </c>
      <c r="I716" s="383" t="s">
        <v>1644</v>
      </c>
      <c r="J716" s="383">
        <v>1</v>
      </c>
      <c r="K716" s="381" t="s">
        <v>2608</v>
      </c>
    </row>
    <row r="717" spans="1:11" ht="15.75" hidden="1">
      <c r="A717" s="456"/>
      <c r="B717" s="457"/>
      <c r="C717" s="457"/>
      <c r="D717" s="457"/>
      <c r="E717" s="458"/>
      <c r="F717" s="153"/>
      <c r="G717" s="153"/>
      <c r="H717" s="457"/>
      <c r="I717" s="457"/>
      <c r="J717" s="493">
        <f>SUM(J714:J716)</f>
        <v>3</v>
      </c>
      <c r="K717" s="457"/>
    </row>
    <row r="720" spans="1:11">
      <c r="A720" s="1665" t="s">
        <v>2680</v>
      </c>
      <c r="B720" s="1665"/>
      <c r="C720" s="1665"/>
      <c r="D720" s="1665"/>
      <c r="E720" s="1665"/>
      <c r="F720" s="1665"/>
      <c r="G720" s="1665"/>
      <c r="H720" s="1665"/>
      <c r="I720" s="1665"/>
      <c r="J720" s="1665"/>
      <c r="K720" s="1665"/>
    </row>
    <row r="721" spans="1:11">
      <c r="A721" s="1665"/>
      <c r="B721" s="1665"/>
      <c r="C721" s="1665"/>
      <c r="D721" s="1665"/>
      <c r="E721" s="1665"/>
      <c r="F721" s="1665"/>
      <c r="G721" s="1665"/>
      <c r="H721" s="1665"/>
      <c r="I721" s="1665"/>
      <c r="J721" s="1665"/>
      <c r="K721" s="1665"/>
    </row>
    <row r="723" spans="1:11" ht="26.25" hidden="1">
      <c r="A723" s="1667" t="s">
        <v>2681</v>
      </c>
      <c r="B723" s="1667"/>
      <c r="C723" s="1667"/>
      <c r="D723" s="1667"/>
      <c r="E723" s="1667"/>
      <c r="F723" s="1667"/>
      <c r="G723" s="1667"/>
      <c r="H723" s="1667"/>
      <c r="I723" s="1667"/>
      <c r="J723" s="1667"/>
      <c r="K723" s="1667"/>
    </row>
    <row r="724" spans="1:11" ht="31.5" hidden="1">
      <c r="A724" s="375" t="s">
        <v>1941</v>
      </c>
      <c r="B724" s="378" t="s">
        <v>1942</v>
      </c>
      <c r="C724" s="378" t="s">
        <v>1943</v>
      </c>
      <c r="D724" s="378" t="s">
        <v>1944</v>
      </c>
      <c r="E724" s="452" t="s">
        <v>1945</v>
      </c>
      <c r="F724" s="378" t="s">
        <v>1946</v>
      </c>
      <c r="G724" s="378" t="s">
        <v>2590</v>
      </c>
      <c r="H724" s="378" t="s">
        <v>1947</v>
      </c>
      <c r="I724" s="378" t="s">
        <v>1948</v>
      </c>
      <c r="J724" s="453" t="s">
        <v>1949</v>
      </c>
      <c r="K724" s="378" t="s">
        <v>10</v>
      </c>
    </row>
    <row r="725" spans="1:11" ht="15.75" hidden="1">
      <c r="A725" s="454" t="s">
        <v>2682</v>
      </c>
      <c r="B725" s="455" t="s">
        <v>1952</v>
      </c>
      <c r="C725" s="455" t="s">
        <v>2683</v>
      </c>
      <c r="D725" s="455" t="s">
        <v>75</v>
      </c>
      <c r="E725" s="461">
        <v>280000000</v>
      </c>
      <c r="F725" s="464" t="s">
        <v>2213</v>
      </c>
      <c r="G725" s="464" t="s">
        <v>2593</v>
      </c>
      <c r="H725" s="460" t="s">
        <v>1955</v>
      </c>
      <c r="I725" s="460" t="s">
        <v>1625</v>
      </c>
      <c r="J725" s="460">
        <v>1</v>
      </c>
      <c r="K725" s="455" t="s">
        <v>2629</v>
      </c>
    </row>
    <row r="726" spans="1:11" ht="15.75" hidden="1">
      <c r="A726" s="454" t="s">
        <v>2618</v>
      </c>
      <c r="B726" s="455" t="s">
        <v>1952</v>
      </c>
      <c r="C726" s="455" t="s">
        <v>2684</v>
      </c>
      <c r="D726" s="455" t="s">
        <v>75</v>
      </c>
      <c r="E726" s="461">
        <v>300000000</v>
      </c>
      <c r="F726" s="464" t="s">
        <v>2292</v>
      </c>
      <c r="G726" s="464" t="s">
        <v>30</v>
      </c>
      <c r="H726" s="460" t="s">
        <v>1625</v>
      </c>
      <c r="I726" s="460" t="s">
        <v>1625</v>
      </c>
      <c r="J726" s="460">
        <v>1</v>
      </c>
      <c r="K726" s="455" t="s">
        <v>2629</v>
      </c>
    </row>
    <row r="727" spans="1:11" ht="15.75" hidden="1">
      <c r="A727" s="477">
        <v>44384</v>
      </c>
      <c r="B727" s="472" t="s">
        <v>2182</v>
      </c>
      <c r="C727" s="455" t="s">
        <v>2685</v>
      </c>
      <c r="D727" s="455" t="s">
        <v>2237</v>
      </c>
      <c r="E727" s="461">
        <v>165000000</v>
      </c>
      <c r="F727" s="464" t="s">
        <v>2292</v>
      </c>
      <c r="G727" s="464" t="s">
        <v>2593</v>
      </c>
      <c r="H727" s="460" t="s">
        <v>1955</v>
      </c>
      <c r="I727" s="460" t="s">
        <v>1625</v>
      </c>
      <c r="J727" s="460">
        <v>1</v>
      </c>
      <c r="K727" s="455" t="s">
        <v>2482</v>
      </c>
    </row>
    <row r="728" spans="1:11" ht="15.75" hidden="1">
      <c r="A728" s="454" t="s">
        <v>2686</v>
      </c>
      <c r="B728" s="455" t="s">
        <v>2182</v>
      </c>
      <c r="C728" s="459" t="s">
        <v>2687</v>
      </c>
      <c r="D728" s="455" t="s">
        <v>2237</v>
      </c>
      <c r="E728" s="461">
        <v>207000000</v>
      </c>
      <c r="F728" s="464" t="s">
        <v>2292</v>
      </c>
      <c r="G728" s="464" t="s">
        <v>185</v>
      </c>
      <c r="H728" s="460" t="s">
        <v>1625</v>
      </c>
      <c r="I728" s="460" t="s">
        <v>1625</v>
      </c>
      <c r="J728" s="460">
        <v>1</v>
      </c>
      <c r="K728" s="455" t="s">
        <v>2482</v>
      </c>
    </row>
    <row r="729" spans="1:11" ht="15.75" hidden="1">
      <c r="A729" s="479" t="s">
        <v>2688</v>
      </c>
      <c r="B729" s="612" t="s">
        <v>1952</v>
      </c>
      <c r="C729" s="381" t="s">
        <v>2689</v>
      </c>
      <c r="D729" s="381" t="s">
        <v>2543</v>
      </c>
      <c r="E729" s="451">
        <v>1200000</v>
      </c>
      <c r="F729" s="275" t="s">
        <v>2213</v>
      </c>
      <c r="G729" s="275" t="s">
        <v>30</v>
      </c>
      <c r="H729" s="383" t="s">
        <v>1625</v>
      </c>
      <c r="I729" s="383" t="s">
        <v>1625</v>
      </c>
      <c r="J729" s="383">
        <v>1</v>
      </c>
      <c r="K729" s="381" t="s">
        <v>2690</v>
      </c>
    </row>
    <row r="730" spans="1:11" ht="15.75" hidden="1">
      <c r="A730" s="412" t="s">
        <v>2691</v>
      </c>
      <c r="B730" s="411" t="s">
        <v>1952</v>
      </c>
      <c r="C730" s="381" t="s">
        <v>2692</v>
      </c>
      <c r="D730" s="381" t="s">
        <v>2693</v>
      </c>
      <c r="E730" s="451">
        <v>650000</v>
      </c>
      <c r="F730" s="275" t="s">
        <v>2213</v>
      </c>
      <c r="G730" s="465" t="s">
        <v>2605</v>
      </c>
      <c r="H730" s="383" t="s">
        <v>1625</v>
      </c>
      <c r="I730" s="383" t="s">
        <v>1625</v>
      </c>
      <c r="J730" s="383">
        <v>1</v>
      </c>
      <c r="K730" s="381" t="s">
        <v>1496</v>
      </c>
    </row>
    <row r="731" spans="1:11" ht="15.75" hidden="1">
      <c r="A731" s="412" t="s">
        <v>2682</v>
      </c>
      <c r="B731" s="411" t="s">
        <v>1952</v>
      </c>
      <c r="C731" s="381" t="s">
        <v>2684</v>
      </c>
      <c r="D731" s="381" t="s">
        <v>75</v>
      </c>
      <c r="E731" s="451">
        <v>1400000</v>
      </c>
      <c r="F731" s="304" t="s">
        <v>2292</v>
      </c>
      <c r="G731" s="275" t="s">
        <v>30</v>
      </c>
      <c r="H731" s="467" t="s">
        <v>1625</v>
      </c>
      <c r="I731" s="383" t="s">
        <v>1625</v>
      </c>
      <c r="J731" s="383">
        <v>1</v>
      </c>
      <c r="K731" s="381" t="s">
        <v>1496</v>
      </c>
    </row>
    <row r="732" spans="1:11" ht="15.75" hidden="1">
      <c r="A732" s="412">
        <v>44203</v>
      </c>
      <c r="B732" s="411" t="s">
        <v>2694</v>
      </c>
      <c r="C732" s="381" t="s">
        <v>2695</v>
      </c>
      <c r="D732" s="381" t="s">
        <v>75</v>
      </c>
      <c r="E732" s="451">
        <v>1100000</v>
      </c>
      <c r="F732" s="275" t="s">
        <v>2292</v>
      </c>
      <c r="G732" s="491" t="s">
        <v>2605</v>
      </c>
      <c r="H732" s="383" t="s">
        <v>1625</v>
      </c>
      <c r="I732" s="383" t="s">
        <v>1625</v>
      </c>
      <c r="J732" s="383">
        <v>1</v>
      </c>
      <c r="K732" s="381" t="s">
        <v>1499</v>
      </c>
    </row>
    <row r="733" spans="1:11" ht="15.75" hidden="1">
      <c r="A733" s="412">
        <v>44203</v>
      </c>
      <c r="B733" s="411" t="s">
        <v>2182</v>
      </c>
      <c r="C733" s="381" t="s">
        <v>2696</v>
      </c>
      <c r="D733" s="381" t="s">
        <v>2495</v>
      </c>
      <c r="E733" s="451">
        <v>1100000</v>
      </c>
      <c r="F733" s="275" t="s">
        <v>2292</v>
      </c>
      <c r="G733" s="275" t="s">
        <v>2593</v>
      </c>
      <c r="H733" s="383" t="s">
        <v>1955</v>
      </c>
      <c r="I733" s="383" t="s">
        <v>1625</v>
      </c>
      <c r="J733" s="383">
        <v>1</v>
      </c>
      <c r="K733" s="381" t="s">
        <v>1496</v>
      </c>
    </row>
    <row r="734" spans="1:11" ht="15.75" hidden="1">
      <c r="A734" s="412">
        <v>44384</v>
      </c>
      <c r="B734" s="411" t="s">
        <v>2182</v>
      </c>
      <c r="C734" s="381" t="s">
        <v>334</v>
      </c>
      <c r="D734" s="381" t="s">
        <v>2506</v>
      </c>
      <c r="E734" s="451">
        <v>1000000</v>
      </c>
      <c r="F734" s="275" t="s">
        <v>2292</v>
      </c>
      <c r="G734" s="275" t="s">
        <v>2605</v>
      </c>
      <c r="H734" s="383" t="s">
        <v>1625</v>
      </c>
      <c r="I734" s="383" t="s">
        <v>1625</v>
      </c>
      <c r="J734" s="383">
        <v>1</v>
      </c>
      <c r="K734" s="381" t="s">
        <v>1496</v>
      </c>
    </row>
    <row r="735" spans="1:11" ht="15.75" hidden="1">
      <c r="A735" s="412">
        <v>44384</v>
      </c>
      <c r="B735" s="411" t="s">
        <v>2182</v>
      </c>
      <c r="C735" s="381" t="s">
        <v>2697</v>
      </c>
      <c r="D735" s="381" t="s">
        <v>2506</v>
      </c>
      <c r="E735" s="451">
        <v>1300000</v>
      </c>
      <c r="F735" s="275" t="s">
        <v>2213</v>
      </c>
      <c r="G735" s="275" t="s">
        <v>2605</v>
      </c>
      <c r="H735" s="383" t="s">
        <v>1625</v>
      </c>
      <c r="I735" s="383" t="s">
        <v>1625</v>
      </c>
      <c r="J735" s="383">
        <v>1</v>
      </c>
      <c r="K735" s="381" t="s">
        <v>1499</v>
      </c>
    </row>
    <row r="736" spans="1:11" ht="15.75" hidden="1">
      <c r="A736" s="393">
        <v>44415</v>
      </c>
      <c r="B736" s="381" t="s">
        <v>2182</v>
      </c>
      <c r="C736" s="381" t="s">
        <v>2698</v>
      </c>
      <c r="D736" s="381" t="s">
        <v>2481</v>
      </c>
      <c r="E736" s="451">
        <v>1900000</v>
      </c>
      <c r="F736" s="275" t="s">
        <v>2213</v>
      </c>
      <c r="G736" s="275" t="s">
        <v>185</v>
      </c>
      <c r="H736" s="383" t="s">
        <v>1625</v>
      </c>
      <c r="I736" s="383" t="s">
        <v>1625</v>
      </c>
      <c r="J736" s="383">
        <v>1</v>
      </c>
      <c r="K736" s="381" t="s">
        <v>1496</v>
      </c>
    </row>
    <row r="737" spans="1:11" ht="15.75" hidden="1">
      <c r="A737" s="393">
        <v>44446</v>
      </c>
      <c r="B737" s="381" t="s">
        <v>2182</v>
      </c>
      <c r="C737" s="381" t="s">
        <v>2699</v>
      </c>
      <c r="D737" s="381" t="s">
        <v>2506</v>
      </c>
      <c r="E737" s="451">
        <v>1550000</v>
      </c>
      <c r="F737" s="275" t="s">
        <v>2292</v>
      </c>
      <c r="G737" s="275" t="s">
        <v>2605</v>
      </c>
      <c r="H737" s="383" t="s">
        <v>1625</v>
      </c>
      <c r="I737" s="383" t="s">
        <v>1625</v>
      </c>
      <c r="J737" s="383">
        <v>1</v>
      </c>
      <c r="K737" s="381" t="s">
        <v>1496</v>
      </c>
    </row>
    <row r="738" spans="1:11" ht="15.75" hidden="1">
      <c r="A738" s="393">
        <v>44446</v>
      </c>
      <c r="B738" s="381" t="s">
        <v>1952</v>
      </c>
      <c r="C738" s="385" t="s">
        <v>1415</v>
      </c>
      <c r="D738" s="385" t="s">
        <v>75</v>
      </c>
      <c r="E738" s="462">
        <v>1300000</v>
      </c>
      <c r="F738" s="465" t="s">
        <v>2292</v>
      </c>
      <c r="G738" s="465" t="s">
        <v>2605</v>
      </c>
      <c r="H738" s="387" t="s">
        <v>1625</v>
      </c>
      <c r="I738" s="387" t="s">
        <v>1625</v>
      </c>
      <c r="J738" s="387">
        <v>1</v>
      </c>
      <c r="K738" s="385" t="s">
        <v>1499</v>
      </c>
    </row>
    <row r="739" spans="1:11" ht="15.75" hidden="1">
      <c r="A739" s="412">
        <v>44446</v>
      </c>
      <c r="B739" s="411" t="s">
        <v>2182</v>
      </c>
      <c r="C739" s="381" t="s">
        <v>390</v>
      </c>
      <c r="D739" s="381" t="s">
        <v>2253</v>
      </c>
      <c r="E739" s="451">
        <v>700000</v>
      </c>
      <c r="F739" s="381" t="s">
        <v>2213</v>
      </c>
      <c r="G739" s="381" t="s">
        <v>185</v>
      </c>
      <c r="H739" s="383" t="s">
        <v>1625</v>
      </c>
      <c r="I739" s="383" t="s">
        <v>1625</v>
      </c>
      <c r="J739" s="383">
        <v>1</v>
      </c>
      <c r="K739" s="381" t="s">
        <v>1499</v>
      </c>
    </row>
    <row r="740" spans="1:11" ht="15.75" hidden="1">
      <c r="A740" s="384">
        <v>44476</v>
      </c>
      <c r="B740" s="385" t="s">
        <v>2182</v>
      </c>
      <c r="C740" s="381" t="s">
        <v>1340</v>
      </c>
      <c r="D740" s="385" t="s">
        <v>2700</v>
      </c>
      <c r="E740" s="462">
        <v>1300000</v>
      </c>
      <c r="F740" s="465" t="s">
        <v>2292</v>
      </c>
      <c r="G740" s="465" t="s">
        <v>2625</v>
      </c>
      <c r="H740" s="387" t="s">
        <v>1625</v>
      </c>
      <c r="I740" s="387" t="s">
        <v>1625</v>
      </c>
      <c r="J740" s="387">
        <v>1</v>
      </c>
      <c r="K740" s="385" t="s">
        <v>1499</v>
      </c>
    </row>
    <row r="741" spans="1:11" ht="15.75" hidden="1">
      <c r="A741" s="384" t="s">
        <v>2701</v>
      </c>
      <c r="B741" s="385" t="s">
        <v>2182</v>
      </c>
      <c r="C741" s="385" t="s">
        <v>2702</v>
      </c>
      <c r="D741" s="385" t="s">
        <v>2506</v>
      </c>
      <c r="E741" s="462">
        <v>1100000</v>
      </c>
      <c r="F741" s="465" t="s">
        <v>2292</v>
      </c>
      <c r="G741" s="465" t="s">
        <v>2292</v>
      </c>
      <c r="H741" s="387" t="s">
        <v>1625</v>
      </c>
      <c r="I741" s="387" t="s">
        <v>1625</v>
      </c>
      <c r="J741" s="387">
        <v>1</v>
      </c>
      <c r="K741" s="385" t="s">
        <v>1496</v>
      </c>
    </row>
    <row r="742" spans="1:11" ht="15.75" hidden="1">
      <c r="A742" s="384" t="s">
        <v>2701</v>
      </c>
      <c r="B742" s="385" t="s">
        <v>2182</v>
      </c>
      <c r="C742" s="385" t="s">
        <v>2703</v>
      </c>
      <c r="D742" s="385" t="s">
        <v>75</v>
      </c>
      <c r="E742" s="462">
        <v>1350000</v>
      </c>
      <c r="F742" s="465" t="s">
        <v>2292</v>
      </c>
      <c r="G742" s="465" t="s">
        <v>2625</v>
      </c>
      <c r="H742" s="387" t="s">
        <v>1625</v>
      </c>
      <c r="I742" s="387" t="s">
        <v>1625</v>
      </c>
      <c r="J742" s="387">
        <v>1</v>
      </c>
      <c r="K742" s="385" t="s">
        <v>1499</v>
      </c>
    </row>
    <row r="743" spans="1:11" ht="15.75" hidden="1">
      <c r="A743" s="384" t="s">
        <v>2704</v>
      </c>
      <c r="B743" s="385" t="s">
        <v>2182</v>
      </c>
      <c r="C743" s="385" t="s">
        <v>2705</v>
      </c>
      <c r="D743" s="385" t="s">
        <v>75</v>
      </c>
      <c r="E743" s="462">
        <v>1200000</v>
      </c>
      <c r="F743" s="465" t="s">
        <v>2292</v>
      </c>
      <c r="G743" s="465" t="s">
        <v>2625</v>
      </c>
      <c r="H743" s="387" t="s">
        <v>1625</v>
      </c>
      <c r="I743" s="387" t="s">
        <v>1625</v>
      </c>
      <c r="J743" s="387">
        <v>1</v>
      </c>
      <c r="K743" s="385" t="s">
        <v>1496</v>
      </c>
    </row>
    <row r="744" spans="1:11" ht="15.75" hidden="1">
      <c r="A744" s="393" t="s">
        <v>2704</v>
      </c>
      <c r="B744" s="381" t="s">
        <v>2182</v>
      </c>
      <c r="C744" s="381" t="s">
        <v>2706</v>
      </c>
      <c r="D744" s="381" t="s">
        <v>2707</v>
      </c>
      <c r="E744" s="451">
        <v>1200000</v>
      </c>
      <c r="F744" s="275" t="s">
        <v>2292</v>
      </c>
      <c r="G744" s="275" t="s">
        <v>2625</v>
      </c>
      <c r="H744" s="383" t="s">
        <v>1625</v>
      </c>
      <c r="I744" s="383" t="s">
        <v>1625</v>
      </c>
      <c r="J744" s="383">
        <v>1</v>
      </c>
      <c r="K744" s="381" t="s">
        <v>1499</v>
      </c>
    </row>
    <row r="745" spans="1:11" ht="15.75" hidden="1">
      <c r="A745" s="405" t="s">
        <v>2708</v>
      </c>
      <c r="B745" s="385" t="s">
        <v>2182</v>
      </c>
      <c r="C745" s="385" t="s">
        <v>2709</v>
      </c>
      <c r="D745" s="385" t="s">
        <v>75</v>
      </c>
      <c r="E745" s="490">
        <v>1650000</v>
      </c>
      <c r="F745" s="491" t="s">
        <v>2292</v>
      </c>
      <c r="G745" s="491" t="s">
        <v>2625</v>
      </c>
      <c r="H745" s="408" t="s">
        <v>1625</v>
      </c>
      <c r="I745" s="408" t="s">
        <v>1625</v>
      </c>
      <c r="J745" s="408">
        <v>1</v>
      </c>
      <c r="K745" s="406" t="s">
        <v>1499</v>
      </c>
    </row>
    <row r="746" spans="1:11" ht="15.75" hidden="1">
      <c r="A746" s="579" t="s">
        <v>2708</v>
      </c>
      <c r="B746" s="381" t="s">
        <v>2182</v>
      </c>
      <c r="C746" s="381" t="s">
        <v>2710</v>
      </c>
      <c r="D746" s="381" t="s">
        <v>75</v>
      </c>
      <c r="E746" s="580">
        <v>1650000</v>
      </c>
      <c r="F746" s="491" t="s">
        <v>2292</v>
      </c>
      <c r="G746" s="491" t="s">
        <v>2625</v>
      </c>
      <c r="H746" s="408" t="s">
        <v>1625</v>
      </c>
      <c r="I746" s="408" t="s">
        <v>1625</v>
      </c>
      <c r="J746" s="408">
        <v>1</v>
      </c>
      <c r="K746" s="406" t="s">
        <v>1496</v>
      </c>
    </row>
    <row r="747" spans="1:11" ht="15.75" hidden="1">
      <c r="A747" s="405" t="s">
        <v>2708</v>
      </c>
      <c r="B747" s="406" t="s">
        <v>2182</v>
      </c>
      <c r="C747" s="406" t="s">
        <v>384</v>
      </c>
      <c r="D747" s="406" t="s">
        <v>2707</v>
      </c>
      <c r="E747" s="490">
        <v>1300000</v>
      </c>
      <c r="F747" s="491" t="s">
        <v>30</v>
      </c>
      <c r="G747" s="491" t="s">
        <v>2625</v>
      </c>
      <c r="H747" s="408" t="s">
        <v>1625</v>
      </c>
      <c r="I747" s="408" t="s">
        <v>1625</v>
      </c>
      <c r="J747" s="408">
        <v>1</v>
      </c>
      <c r="K747" s="406" t="s">
        <v>1499</v>
      </c>
    </row>
    <row r="748" spans="1:11" ht="15.75" hidden="1">
      <c r="A748" s="405" t="s">
        <v>2708</v>
      </c>
      <c r="B748" s="406" t="s">
        <v>2182</v>
      </c>
      <c r="C748" s="406" t="s">
        <v>383</v>
      </c>
      <c r="D748" s="406" t="s">
        <v>2711</v>
      </c>
      <c r="E748" s="490">
        <v>1250000</v>
      </c>
      <c r="F748" s="491" t="s">
        <v>2213</v>
      </c>
      <c r="G748" s="491" t="s">
        <v>185</v>
      </c>
      <c r="H748" s="408" t="s">
        <v>1625</v>
      </c>
      <c r="I748" s="408" t="s">
        <v>1625</v>
      </c>
      <c r="J748" s="408">
        <v>1</v>
      </c>
      <c r="K748" s="406" t="s">
        <v>1496</v>
      </c>
    </row>
    <row r="749" spans="1:11" ht="15.75" hidden="1">
      <c r="A749" s="405" t="s">
        <v>2708</v>
      </c>
      <c r="B749" s="406" t="s">
        <v>2182</v>
      </c>
      <c r="C749" s="406" t="s">
        <v>2712</v>
      </c>
      <c r="D749" s="406" t="s">
        <v>75</v>
      </c>
      <c r="E749" s="490">
        <v>1300000</v>
      </c>
      <c r="F749" s="491" t="s">
        <v>2292</v>
      </c>
      <c r="G749" s="491" t="s">
        <v>2625</v>
      </c>
      <c r="H749" s="408" t="s">
        <v>1625</v>
      </c>
      <c r="I749" s="408" t="s">
        <v>1625</v>
      </c>
      <c r="J749" s="408">
        <v>1</v>
      </c>
      <c r="K749" s="406" t="s">
        <v>1499</v>
      </c>
    </row>
    <row r="750" spans="1:11" ht="15.75" hidden="1">
      <c r="A750" s="405" t="s">
        <v>2708</v>
      </c>
      <c r="B750" s="406" t="s">
        <v>2182</v>
      </c>
      <c r="C750" s="406" t="s">
        <v>2713</v>
      </c>
      <c r="D750" s="406" t="s">
        <v>75</v>
      </c>
      <c r="E750" s="490">
        <v>1550000</v>
      </c>
      <c r="F750" s="491" t="s">
        <v>2292</v>
      </c>
      <c r="G750" s="491" t="s">
        <v>185</v>
      </c>
      <c r="H750" s="408" t="s">
        <v>1625</v>
      </c>
      <c r="I750" s="408" t="s">
        <v>1625</v>
      </c>
      <c r="J750" s="408">
        <v>1</v>
      </c>
      <c r="K750" s="406" t="s">
        <v>1496</v>
      </c>
    </row>
    <row r="751" spans="1:11" ht="15.75" hidden="1">
      <c r="A751" s="405" t="s">
        <v>2708</v>
      </c>
      <c r="B751" s="406" t="s">
        <v>2182</v>
      </c>
      <c r="C751" s="406" t="s">
        <v>2714</v>
      </c>
      <c r="D751" s="406" t="s">
        <v>2502</v>
      </c>
      <c r="E751" s="490">
        <v>1300000</v>
      </c>
      <c r="F751" s="491" t="s">
        <v>2292</v>
      </c>
      <c r="G751" s="491" t="s">
        <v>2625</v>
      </c>
      <c r="H751" s="408" t="s">
        <v>1625</v>
      </c>
      <c r="I751" s="408" t="s">
        <v>1625</v>
      </c>
      <c r="J751" s="408">
        <v>1</v>
      </c>
      <c r="K751" s="406" t="s">
        <v>1499</v>
      </c>
    </row>
    <row r="752" spans="1:11" ht="15.75" hidden="1">
      <c r="A752" s="405" t="s">
        <v>2708</v>
      </c>
      <c r="B752" s="406" t="s">
        <v>2182</v>
      </c>
      <c r="C752" s="406" t="s">
        <v>2715</v>
      </c>
      <c r="D752" s="406" t="s">
        <v>2716</v>
      </c>
      <c r="E752" s="490">
        <v>900000</v>
      </c>
      <c r="F752" s="491" t="s">
        <v>2213</v>
      </c>
      <c r="G752" s="491" t="s">
        <v>185</v>
      </c>
      <c r="H752" s="408" t="s">
        <v>1625</v>
      </c>
      <c r="I752" s="408" t="s">
        <v>1625</v>
      </c>
      <c r="J752" s="408">
        <v>1</v>
      </c>
      <c r="K752" s="406" t="s">
        <v>1496</v>
      </c>
    </row>
    <row r="753" spans="1:11" ht="15.75" hidden="1">
      <c r="A753" s="405" t="s">
        <v>2686</v>
      </c>
      <c r="B753" s="406" t="s">
        <v>2182</v>
      </c>
      <c r="C753" s="406" t="s">
        <v>2687</v>
      </c>
      <c r="D753" s="406" t="s">
        <v>2237</v>
      </c>
      <c r="E753" s="490">
        <v>970000</v>
      </c>
      <c r="F753" s="491" t="s">
        <v>2292</v>
      </c>
      <c r="G753" s="491" t="s">
        <v>185</v>
      </c>
      <c r="H753" s="408" t="s">
        <v>1625</v>
      </c>
      <c r="I753" s="408" t="s">
        <v>1625</v>
      </c>
      <c r="J753" s="408">
        <v>1</v>
      </c>
      <c r="K753" s="406" t="s">
        <v>1496</v>
      </c>
    </row>
    <row r="754" spans="1:11" ht="15.75" hidden="1">
      <c r="A754" s="405" t="s">
        <v>2686</v>
      </c>
      <c r="B754" s="406" t="s">
        <v>2717</v>
      </c>
      <c r="C754" s="406" t="s">
        <v>2718</v>
      </c>
      <c r="D754" s="406" t="s">
        <v>2719</v>
      </c>
      <c r="E754" s="490">
        <v>9500000</v>
      </c>
      <c r="F754" s="491" t="s">
        <v>2213</v>
      </c>
      <c r="G754" s="491" t="s">
        <v>2593</v>
      </c>
      <c r="H754" s="408" t="s">
        <v>1955</v>
      </c>
      <c r="I754" s="408" t="s">
        <v>1625</v>
      </c>
      <c r="J754" s="408">
        <v>1</v>
      </c>
      <c r="K754" s="406" t="s">
        <v>1499</v>
      </c>
    </row>
    <row r="755" spans="1:11" ht="15.75" hidden="1">
      <c r="A755" s="419"/>
      <c r="B755" s="420"/>
      <c r="C755" s="420"/>
      <c r="D755" s="420"/>
      <c r="E755" s="463"/>
      <c r="F755" s="466"/>
      <c r="G755" s="466"/>
      <c r="H755" s="422"/>
      <c r="I755" s="422"/>
      <c r="J755" s="492">
        <f>SUM(J725:J754)</f>
        <v>30</v>
      </c>
      <c r="K755" s="420"/>
    </row>
    <row r="756" spans="1:11" ht="15.75" hidden="1">
      <c r="A756" s="394"/>
      <c r="B756" s="395"/>
      <c r="C756" s="395"/>
      <c r="D756" s="395"/>
      <c r="E756" s="396"/>
      <c r="F756" s="397"/>
      <c r="G756" s="397"/>
      <c r="H756" s="397"/>
      <c r="I756" s="395"/>
      <c r="J756" s="395"/>
      <c r="K756" s="395"/>
    </row>
    <row r="757" spans="1:11" ht="26.25" hidden="1">
      <c r="A757" s="1667" t="s">
        <v>2720</v>
      </c>
      <c r="B757" s="1667"/>
      <c r="C757" s="1667"/>
      <c r="D757" s="1667"/>
      <c r="E757" s="1667"/>
      <c r="F757" s="1667"/>
      <c r="G757" s="1667"/>
      <c r="H757" s="1667"/>
      <c r="I757" s="1667"/>
      <c r="J757" s="1667"/>
      <c r="K757" s="1667"/>
    </row>
    <row r="758" spans="1:11" ht="31.5" hidden="1">
      <c r="A758" s="375" t="s">
        <v>1941</v>
      </c>
      <c r="B758" s="378" t="s">
        <v>1942</v>
      </c>
      <c r="C758" s="378" t="s">
        <v>1943</v>
      </c>
      <c r="D758" s="378" t="s">
        <v>1944</v>
      </c>
      <c r="E758" s="452" t="s">
        <v>1945</v>
      </c>
      <c r="F758" s="378" t="s">
        <v>1946</v>
      </c>
      <c r="G758" s="378" t="s">
        <v>2590</v>
      </c>
      <c r="H758" s="378" t="s">
        <v>1947</v>
      </c>
      <c r="I758" s="378" t="s">
        <v>1948</v>
      </c>
      <c r="J758" s="453" t="s">
        <v>1949</v>
      </c>
      <c r="K758" s="378" t="s">
        <v>1950</v>
      </c>
    </row>
    <row r="759" spans="1:11" ht="15.75" hidden="1">
      <c r="A759" s="474"/>
      <c r="B759" s="472"/>
      <c r="C759" s="472"/>
      <c r="D759" s="472"/>
      <c r="E759" s="475"/>
      <c r="F759" s="472"/>
      <c r="G759" s="472"/>
      <c r="H759" s="473"/>
      <c r="I759" s="473"/>
      <c r="J759" s="473"/>
      <c r="K759" s="472"/>
    </row>
    <row r="760" spans="1:11" ht="15.75" hidden="1">
      <c r="A760" s="474"/>
      <c r="B760" s="455"/>
      <c r="C760" s="455"/>
      <c r="D760" s="455"/>
      <c r="E760" s="461"/>
      <c r="F760" s="455"/>
      <c r="G760" s="455"/>
      <c r="H760" s="460"/>
      <c r="I760" s="460"/>
      <c r="J760" s="460"/>
      <c r="K760" s="455"/>
    </row>
    <row r="761" spans="1:11" ht="15.75" hidden="1">
      <c r="A761" s="507"/>
      <c r="B761" s="459"/>
      <c r="C761" s="455"/>
      <c r="D761" s="455"/>
      <c r="E761" s="461"/>
      <c r="F761" s="455"/>
      <c r="G761" s="455"/>
      <c r="H761" s="460"/>
      <c r="I761" s="460"/>
      <c r="J761" s="460"/>
      <c r="K761" s="455"/>
    </row>
    <row r="762" spans="1:11" ht="15.75" hidden="1">
      <c r="A762" s="412" t="s">
        <v>2721</v>
      </c>
      <c r="B762" s="426" t="s">
        <v>2182</v>
      </c>
      <c r="C762" s="385" t="s">
        <v>2722</v>
      </c>
      <c r="D762" s="385" t="s">
        <v>2506</v>
      </c>
      <c r="E762" s="462">
        <v>1200000</v>
      </c>
      <c r="F762" s="385" t="s">
        <v>2213</v>
      </c>
      <c r="G762" s="385" t="s">
        <v>2605</v>
      </c>
      <c r="H762" s="387" t="s">
        <v>1625</v>
      </c>
      <c r="I762" s="387" t="s">
        <v>1625</v>
      </c>
      <c r="J762" s="387">
        <v>1</v>
      </c>
      <c r="K762" s="385" t="s">
        <v>1496</v>
      </c>
    </row>
    <row r="763" spans="1:11" ht="15.75" hidden="1">
      <c r="A763" s="479" t="s">
        <v>2721</v>
      </c>
      <c r="B763" s="381" t="s">
        <v>2182</v>
      </c>
      <c r="C763" s="381" t="s">
        <v>2723</v>
      </c>
      <c r="D763" s="381" t="s">
        <v>75</v>
      </c>
      <c r="E763" s="451">
        <v>1800000</v>
      </c>
      <c r="F763" s="381" t="s">
        <v>2292</v>
      </c>
      <c r="G763" s="381" t="s">
        <v>2593</v>
      </c>
      <c r="H763" s="383" t="s">
        <v>1955</v>
      </c>
      <c r="I763" s="383" t="s">
        <v>1625</v>
      </c>
      <c r="J763" s="383">
        <v>1</v>
      </c>
      <c r="K763" s="381" t="s">
        <v>1496</v>
      </c>
    </row>
    <row r="764" spans="1:11" ht="15.75" hidden="1">
      <c r="A764" s="481" t="s">
        <v>2721</v>
      </c>
      <c r="B764" s="482" t="s">
        <v>2182</v>
      </c>
      <c r="C764" s="482" t="s">
        <v>2724</v>
      </c>
      <c r="D764" s="482" t="s">
        <v>2506</v>
      </c>
      <c r="E764" s="483">
        <v>1300000</v>
      </c>
      <c r="F764" s="482" t="s">
        <v>2292</v>
      </c>
      <c r="G764" s="482" t="s">
        <v>2593</v>
      </c>
      <c r="H764" s="484" t="s">
        <v>1955</v>
      </c>
      <c r="I764" s="484" t="s">
        <v>1625</v>
      </c>
      <c r="J764" s="484">
        <v>1</v>
      </c>
      <c r="K764" s="482" t="s">
        <v>1499</v>
      </c>
    </row>
    <row r="765" spans="1:11" ht="15.75" hidden="1">
      <c r="A765" s="443" t="s">
        <v>2721</v>
      </c>
      <c r="B765" s="381" t="s">
        <v>2182</v>
      </c>
      <c r="C765" s="381" t="s">
        <v>2725</v>
      </c>
      <c r="D765" s="381" t="s">
        <v>75</v>
      </c>
      <c r="E765" s="451">
        <v>1450000</v>
      </c>
      <c r="F765" s="381" t="s">
        <v>2213</v>
      </c>
      <c r="G765" s="381" t="s">
        <v>2605</v>
      </c>
      <c r="H765" s="383" t="s">
        <v>1625</v>
      </c>
      <c r="I765" s="383" t="s">
        <v>1625</v>
      </c>
      <c r="J765" s="383">
        <v>1</v>
      </c>
      <c r="K765" s="381" t="s">
        <v>1499</v>
      </c>
    </row>
    <row r="766" spans="1:11" ht="15.75" hidden="1">
      <c r="A766" s="412">
        <v>44203</v>
      </c>
      <c r="B766" s="411" t="s">
        <v>2182</v>
      </c>
      <c r="C766" s="381" t="s">
        <v>2726</v>
      </c>
      <c r="D766" s="381" t="s">
        <v>2580</v>
      </c>
      <c r="E766" s="451">
        <v>1250000</v>
      </c>
      <c r="F766" s="381" t="s">
        <v>2213</v>
      </c>
      <c r="G766" s="381" t="s">
        <v>185</v>
      </c>
      <c r="H766" s="383" t="s">
        <v>1625</v>
      </c>
      <c r="I766" s="383" t="s">
        <v>1625</v>
      </c>
      <c r="J766" s="383">
        <v>1</v>
      </c>
      <c r="K766" s="381" t="s">
        <v>1496</v>
      </c>
    </row>
    <row r="767" spans="1:11" ht="15.75" hidden="1">
      <c r="A767" s="412" t="s">
        <v>2686</v>
      </c>
      <c r="B767" s="411" t="s">
        <v>2182</v>
      </c>
      <c r="C767" s="381" t="s">
        <v>2727</v>
      </c>
      <c r="D767" s="381" t="s">
        <v>2728</v>
      </c>
      <c r="E767" s="451">
        <v>1150000</v>
      </c>
      <c r="F767" s="381" t="s">
        <v>2292</v>
      </c>
      <c r="G767" s="381" t="s">
        <v>2625</v>
      </c>
      <c r="H767" s="383" t="s">
        <v>1625</v>
      </c>
      <c r="I767" s="383" t="s">
        <v>1625</v>
      </c>
      <c r="J767" s="383">
        <v>1</v>
      </c>
      <c r="K767" s="381" t="s">
        <v>1499</v>
      </c>
    </row>
    <row r="768" spans="1:11" ht="15.75" hidden="1">
      <c r="A768" s="393" t="s">
        <v>2729</v>
      </c>
      <c r="B768" s="381" t="s">
        <v>2182</v>
      </c>
      <c r="C768" s="381" t="s">
        <v>2730</v>
      </c>
      <c r="D768" s="381" t="s">
        <v>75</v>
      </c>
      <c r="E768" s="451">
        <v>1500000</v>
      </c>
      <c r="F768" s="381" t="s">
        <v>2292</v>
      </c>
      <c r="G768" s="381" t="s">
        <v>185</v>
      </c>
      <c r="H768" s="383" t="s">
        <v>1625</v>
      </c>
      <c r="I768" s="383" t="s">
        <v>1625</v>
      </c>
      <c r="J768" s="383">
        <v>1</v>
      </c>
      <c r="K768" s="381" t="s">
        <v>1496</v>
      </c>
    </row>
    <row r="769" spans="1:11" ht="15.75" hidden="1">
      <c r="A769" s="393" t="s">
        <v>2729</v>
      </c>
      <c r="B769" s="381" t="s">
        <v>2182</v>
      </c>
      <c r="C769" s="381" t="s">
        <v>2731</v>
      </c>
      <c r="D769" s="381" t="s">
        <v>75</v>
      </c>
      <c r="E769" s="451">
        <v>1450000</v>
      </c>
      <c r="F769" s="381" t="s">
        <v>2292</v>
      </c>
      <c r="G769" s="381" t="s">
        <v>2625</v>
      </c>
      <c r="H769" s="383" t="s">
        <v>1625</v>
      </c>
      <c r="I769" s="383" t="s">
        <v>1625</v>
      </c>
      <c r="J769" s="383">
        <v>1</v>
      </c>
      <c r="K769" s="381" t="s">
        <v>1499</v>
      </c>
    </row>
    <row r="770" spans="1:11" ht="15.75" hidden="1">
      <c r="A770" s="456"/>
      <c r="B770" s="457"/>
      <c r="C770" s="457"/>
      <c r="D770" s="457"/>
      <c r="E770" s="476"/>
      <c r="F770" s="457"/>
      <c r="G770" s="457"/>
      <c r="H770" s="153"/>
      <c r="I770" s="153"/>
      <c r="J770" s="493">
        <f>SUM(J759:J769)</f>
        <v>8</v>
      </c>
      <c r="K770" s="457"/>
    </row>
    <row r="771" spans="1:11" ht="15.75" hidden="1">
      <c r="A771" s="394"/>
      <c r="B771" s="395"/>
      <c r="C771" s="395"/>
      <c r="D771" s="395"/>
      <c r="E771" s="396"/>
      <c r="F771" s="397"/>
      <c r="G771" s="397"/>
      <c r="H771" s="395"/>
      <c r="I771" s="395"/>
      <c r="J771" s="395"/>
      <c r="K771" s="395"/>
    </row>
    <row r="772" spans="1:11" ht="26.25" hidden="1">
      <c r="A772" s="1667" t="s">
        <v>2732</v>
      </c>
      <c r="B772" s="1667"/>
      <c r="C772" s="1667"/>
      <c r="D772" s="1667"/>
      <c r="E772" s="1667"/>
      <c r="F772" s="1667"/>
      <c r="G772" s="1667"/>
      <c r="H772" s="1667"/>
      <c r="I772" s="1667"/>
      <c r="J772" s="1667"/>
      <c r="K772" s="1667"/>
    </row>
    <row r="773" spans="1:11" ht="31.5" hidden="1">
      <c r="A773" s="375" t="s">
        <v>1941</v>
      </c>
      <c r="B773" s="378" t="s">
        <v>1942</v>
      </c>
      <c r="C773" s="378" t="s">
        <v>1943</v>
      </c>
      <c r="D773" s="378" t="s">
        <v>1944</v>
      </c>
      <c r="E773" s="452" t="s">
        <v>1945</v>
      </c>
      <c r="F773" s="378" t="s">
        <v>1946</v>
      </c>
      <c r="G773" s="378" t="s">
        <v>2590</v>
      </c>
      <c r="H773" s="378" t="s">
        <v>1947</v>
      </c>
      <c r="I773" s="378" t="s">
        <v>1948</v>
      </c>
      <c r="J773" s="453" t="s">
        <v>1949</v>
      </c>
      <c r="K773" s="378" t="s">
        <v>1950</v>
      </c>
    </row>
    <row r="774" spans="1:11" ht="15.75" hidden="1">
      <c r="A774" s="474" t="s">
        <v>2682</v>
      </c>
      <c r="B774" s="472" t="s">
        <v>2182</v>
      </c>
      <c r="C774" s="472" t="s">
        <v>2733</v>
      </c>
      <c r="D774" s="472" t="s">
        <v>2253</v>
      </c>
      <c r="E774" s="475">
        <v>115000000</v>
      </c>
      <c r="F774" s="472" t="s">
        <v>2292</v>
      </c>
      <c r="G774" s="472" t="s">
        <v>2593</v>
      </c>
      <c r="H774" s="473" t="s">
        <v>1955</v>
      </c>
      <c r="I774" s="473" t="s">
        <v>1625</v>
      </c>
      <c r="J774" s="473">
        <v>1</v>
      </c>
      <c r="K774" s="472" t="s">
        <v>2482</v>
      </c>
    </row>
    <row r="775" spans="1:11" ht="15.75" hidden="1">
      <c r="A775" s="474">
        <v>44384</v>
      </c>
      <c r="B775" s="472" t="s">
        <v>2182</v>
      </c>
      <c r="C775" s="472" t="s">
        <v>685</v>
      </c>
      <c r="D775" s="472" t="s">
        <v>2253</v>
      </c>
      <c r="E775" s="475">
        <v>140000000</v>
      </c>
      <c r="F775" s="472" t="s">
        <v>2292</v>
      </c>
      <c r="G775" s="472" t="s">
        <v>185</v>
      </c>
      <c r="H775" s="473" t="s">
        <v>1625</v>
      </c>
      <c r="I775" s="473" t="s">
        <v>1625</v>
      </c>
      <c r="J775" s="473">
        <v>1</v>
      </c>
      <c r="K775" s="472" t="s">
        <v>2482</v>
      </c>
    </row>
    <row r="776" spans="1:11" ht="15.75" hidden="1">
      <c r="A776" s="474">
        <v>44354</v>
      </c>
      <c r="B776" s="472" t="s">
        <v>2694</v>
      </c>
      <c r="C776" s="472" t="s">
        <v>2369</v>
      </c>
      <c r="D776" s="472" t="s">
        <v>2711</v>
      </c>
      <c r="E776" s="475">
        <v>185000000</v>
      </c>
      <c r="F776" s="472" t="s">
        <v>2213</v>
      </c>
      <c r="G776" s="472" t="s">
        <v>2593</v>
      </c>
      <c r="H776" s="473" t="s">
        <v>1955</v>
      </c>
      <c r="I776" s="473" t="s">
        <v>1625</v>
      </c>
      <c r="J776" s="473">
        <v>1</v>
      </c>
      <c r="K776" s="472" t="s">
        <v>2482</v>
      </c>
    </row>
    <row r="777" spans="1:11" ht="15.75" hidden="1">
      <c r="A777" s="611">
        <v>44384</v>
      </c>
      <c r="B777" s="455" t="s">
        <v>2182</v>
      </c>
      <c r="C777" s="455" t="s">
        <v>2469</v>
      </c>
      <c r="D777" s="455" t="s">
        <v>2580</v>
      </c>
      <c r="E777" s="461">
        <v>260000000</v>
      </c>
      <c r="F777" s="455" t="s">
        <v>2213</v>
      </c>
      <c r="G777" s="455" t="s">
        <v>185</v>
      </c>
      <c r="H777" s="460" t="s">
        <v>1625</v>
      </c>
      <c r="I777" s="473" t="s">
        <v>1625</v>
      </c>
      <c r="J777" s="473">
        <v>1</v>
      </c>
      <c r="K777" s="472" t="s">
        <v>2482</v>
      </c>
    </row>
    <row r="778" spans="1:11" ht="15.75" hidden="1">
      <c r="A778" s="405" t="s">
        <v>2721</v>
      </c>
      <c r="B778" s="610" t="s">
        <v>2034</v>
      </c>
      <c r="C778" s="482" t="s">
        <v>2734</v>
      </c>
      <c r="D778" s="482" t="s">
        <v>2347</v>
      </c>
      <c r="E778" s="483">
        <v>1300000</v>
      </c>
      <c r="F778" s="482" t="s">
        <v>2213</v>
      </c>
      <c r="G778" s="482" t="s">
        <v>185</v>
      </c>
      <c r="H778" s="484" t="s">
        <v>1625</v>
      </c>
      <c r="I778" s="387" t="s">
        <v>1625</v>
      </c>
      <c r="J778" s="387">
        <v>1</v>
      </c>
      <c r="K778" s="385" t="s">
        <v>1499</v>
      </c>
    </row>
    <row r="779" spans="1:11" ht="15.75" hidden="1">
      <c r="A779" s="405" t="s">
        <v>2721</v>
      </c>
      <c r="B779" s="426" t="s">
        <v>1966</v>
      </c>
      <c r="C779" s="385" t="s">
        <v>2735</v>
      </c>
      <c r="D779" s="385" t="s">
        <v>1590</v>
      </c>
      <c r="E779" s="462">
        <v>1300000</v>
      </c>
      <c r="F779" s="385" t="s">
        <v>2213</v>
      </c>
      <c r="G779" s="385" t="s">
        <v>2593</v>
      </c>
      <c r="H779" s="387" t="s">
        <v>1625</v>
      </c>
      <c r="I779" s="387" t="s">
        <v>1625</v>
      </c>
      <c r="J779" s="387">
        <v>1</v>
      </c>
      <c r="K779" s="385" t="s">
        <v>1499</v>
      </c>
    </row>
    <row r="780" spans="1:11" ht="15.75" hidden="1">
      <c r="A780" s="393" t="s">
        <v>2721</v>
      </c>
      <c r="B780" s="426" t="s">
        <v>2182</v>
      </c>
      <c r="C780" s="385" t="s">
        <v>685</v>
      </c>
      <c r="D780" s="385" t="s">
        <v>2253</v>
      </c>
      <c r="E780" s="462">
        <v>750000</v>
      </c>
      <c r="F780" s="385" t="s">
        <v>2292</v>
      </c>
      <c r="G780" s="385" t="s">
        <v>185</v>
      </c>
      <c r="H780" s="387" t="s">
        <v>1625</v>
      </c>
      <c r="I780" s="387" t="s">
        <v>1625</v>
      </c>
      <c r="J780" s="387">
        <v>1</v>
      </c>
      <c r="K780" s="385" t="s">
        <v>1496</v>
      </c>
    </row>
    <row r="781" spans="1:11" ht="15.75" hidden="1">
      <c r="A781" s="393">
        <v>44203</v>
      </c>
      <c r="B781" s="426" t="s">
        <v>2182</v>
      </c>
      <c r="C781" s="385" t="s">
        <v>2736</v>
      </c>
      <c r="D781" s="385" t="s">
        <v>2576</v>
      </c>
      <c r="E781" s="462">
        <v>700000</v>
      </c>
      <c r="F781" s="385" t="s">
        <v>2213</v>
      </c>
      <c r="G781" s="385" t="s">
        <v>185</v>
      </c>
      <c r="H781" s="387" t="s">
        <v>1625</v>
      </c>
      <c r="I781" s="387" t="s">
        <v>1625</v>
      </c>
      <c r="J781" s="387">
        <v>1</v>
      </c>
      <c r="K781" s="385" t="s">
        <v>1499</v>
      </c>
    </row>
    <row r="782" spans="1:11" ht="15.75" hidden="1">
      <c r="A782" s="412">
        <v>44234</v>
      </c>
      <c r="B782" s="411" t="s">
        <v>2182</v>
      </c>
      <c r="C782" s="381" t="s">
        <v>2737</v>
      </c>
      <c r="D782" s="381" t="s">
        <v>2659</v>
      </c>
      <c r="E782" s="451">
        <v>1250000</v>
      </c>
      <c r="F782" s="381" t="s">
        <v>2292</v>
      </c>
      <c r="G782" s="381" t="s">
        <v>2625</v>
      </c>
      <c r="H782" s="383" t="s">
        <v>1625</v>
      </c>
      <c r="I782" s="383" t="s">
        <v>1625</v>
      </c>
      <c r="J782" s="383">
        <v>1</v>
      </c>
      <c r="K782" s="381" t="s">
        <v>1496</v>
      </c>
    </row>
    <row r="783" spans="1:11" ht="15.75" hidden="1">
      <c r="A783" s="412">
        <v>44354</v>
      </c>
      <c r="B783" s="411" t="s">
        <v>2182</v>
      </c>
      <c r="C783" s="381" t="s">
        <v>2738</v>
      </c>
      <c r="D783" s="381" t="s">
        <v>2659</v>
      </c>
      <c r="E783" s="451">
        <v>1300000</v>
      </c>
      <c r="F783" s="381" t="s">
        <v>2292</v>
      </c>
      <c r="G783" s="381" t="s">
        <v>2625</v>
      </c>
      <c r="H783" s="383" t="s">
        <v>1625</v>
      </c>
      <c r="I783" s="383" t="s">
        <v>1625</v>
      </c>
      <c r="J783" s="383">
        <v>1</v>
      </c>
      <c r="K783" s="381" t="s">
        <v>1496</v>
      </c>
    </row>
    <row r="784" spans="1:11" ht="15.75" hidden="1">
      <c r="A784" s="412">
        <v>44354</v>
      </c>
      <c r="B784" s="411" t="s">
        <v>2182</v>
      </c>
      <c r="C784" s="381" t="s">
        <v>369</v>
      </c>
      <c r="D784" s="381" t="s">
        <v>2580</v>
      </c>
      <c r="E784" s="451">
        <v>1300000</v>
      </c>
      <c r="F784" s="381" t="s">
        <v>2213</v>
      </c>
      <c r="G784" s="385" t="s">
        <v>185</v>
      </c>
      <c r="H784" s="387" t="s">
        <v>1625</v>
      </c>
      <c r="I784" s="383" t="s">
        <v>1625</v>
      </c>
      <c r="J784" s="383">
        <v>1</v>
      </c>
      <c r="K784" s="381" t="s">
        <v>1499</v>
      </c>
    </row>
    <row r="785" spans="1:11" ht="15.75" hidden="1">
      <c r="A785" s="479" t="s">
        <v>2739</v>
      </c>
      <c r="B785" s="411" t="s">
        <v>2182</v>
      </c>
      <c r="C785" s="381" t="s">
        <v>367</v>
      </c>
      <c r="D785" s="381" t="s">
        <v>2253</v>
      </c>
      <c r="E785" s="451">
        <v>700000</v>
      </c>
      <c r="F785" s="575" t="s">
        <v>2213</v>
      </c>
      <c r="G785" s="381" t="s">
        <v>2625</v>
      </c>
      <c r="H785" s="530" t="s">
        <v>1625</v>
      </c>
      <c r="I785" s="531" t="s">
        <v>1625</v>
      </c>
      <c r="J785" s="383">
        <v>1</v>
      </c>
      <c r="K785" s="381" t="s">
        <v>1499</v>
      </c>
    </row>
    <row r="786" spans="1:11" ht="15.75" hidden="1">
      <c r="A786" s="412">
        <v>44446</v>
      </c>
      <c r="B786" s="411" t="s">
        <v>2182</v>
      </c>
      <c r="C786" s="381" t="s">
        <v>448</v>
      </c>
      <c r="D786" s="381" t="s">
        <v>2253</v>
      </c>
      <c r="E786" s="451">
        <v>700000</v>
      </c>
      <c r="F786" s="381" t="s">
        <v>2292</v>
      </c>
      <c r="G786" s="406" t="s">
        <v>185</v>
      </c>
      <c r="H786" s="408" t="s">
        <v>1625</v>
      </c>
      <c r="I786" s="383" t="s">
        <v>1625</v>
      </c>
      <c r="J786" s="383">
        <v>1</v>
      </c>
      <c r="K786" s="381" t="s">
        <v>1496</v>
      </c>
    </row>
    <row r="787" spans="1:11" ht="15.75" hidden="1">
      <c r="A787" s="412">
        <v>44537</v>
      </c>
      <c r="B787" s="411" t="s">
        <v>2182</v>
      </c>
      <c r="C787" s="381" t="s">
        <v>2740</v>
      </c>
      <c r="D787" s="381" t="s">
        <v>2661</v>
      </c>
      <c r="E787" s="451">
        <v>850000</v>
      </c>
      <c r="F787" s="381" t="s">
        <v>2292</v>
      </c>
      <c r="G787" s="381" t="s">
        <v>2292</v>
      </c>
      <c r="H787" s="383" t="s">
        <v>1625</v>
      </c>
      <c r="I787" s="383" t="s">
        <v>1625</v>
      </c>
      <c r="J787" s="383">
        <v>1</v>
      </c>
      <c r="K787" s="381" t="s">
        <v>1496</v>
      </c>
    </row>
    <row r="788" spans="1:11" ht="15.75" hidden="1">
      <c r="A788" s="412" t="s">
        <v>2704</v>
      </c>
      <c r="B788" s="411" t="s">
        <v>2182</v>
      </c>
      <c r="C788" s="381" t="s">
        <v>444</v>
      </c>
      <c r="D788" s="381" t="s">
        <v>2659</v>
      </c>
      <c r="E788" s="451">
        <v>1200000</v>
      </c>
      <c r="F788" s="381" t="s">
        <v>2292</v>
      </c>
      <c r="G788" s="381" t="s">
        <v>2741</v>
      </c>
      <c r="H788" s="383" t="s">
        <v>1625</v>
      </c>
      <c r="I788" s="383" t="s">
        <v>1625</v>
      </c>
      <c r="J788" s="383">
        <v>1</v>
      </c>
      <c r="K788" s="381" t="s">
        <v>1499</v>
      </c>
    </row>
    <row r="789" spans="1:11" ht="15.75" hidden="1">
      <c r="A789" s="393" t="s">
        <v>2704</v>
      </c>
      <c r="B789" s="381" t="s">
        <v>2182</v>
      </c>
      <c r="C789" s="381" t="s">
        <v>2742</v>
      </c>
      <c r="D789" s="381" t="s">
        <v>2568</v>
      </c>
      <c r="E789" s="451">
        <v>900000</v>
      </c>
      <c r="F789" s="381" t="s">
        <v>2292</v>
      </c>
      <c r="G789" s="381" t="s">
        <v>2625</v>
      </c>
      <c r="H789" s="383" t="s">
        <v>1625</v>
      </c>
      <c r="I789" s="383" t="s">
        <v>1625</v>
      </c>
      <c r="J789" s="383">
        <v>1</v>
      </c>
      <c r="K789" s="381" t="s">
        <v>1496</v>
      </c>
    </row>
    <row r="790" spans="1:11" ht="15.75" hidden="1">
      <c r="A790" s="412" t="s">
        <v>2743</v>
      </c>
      <c r="B790" s="411" t="s">
        <v>2182</v>
      </c>
      <c r="C790" s="381" t="s">
        <v>2744</v>
      </c>
      <c r="D790" s="381" t="s">
        <v>2253</v>
      </c>
      <c r="E790" s="451">
        <v>700000</v>
      </c>
      <c r="F790" s="381" t="s">
        <v>2213</v>
      </c>
      <c r="G790" s="381" t="s">
        <v>185</v>
      </c>
      <c r="H790" s="383" t="s">
        <v>1625</v>
      </c>
      <c r="I790" s="383" t="s">
        <v>1625</v>
      </c>
      <c r="J790" s="383">
        <v>1</v>
      </c>
      <c r="K790" s="381" t="s">
        <v>1496</v>
      </c>
    </row>
    <row r="791" spans="1:11" ht="15.75" hidden="1">
      <c r="A791" s="384" t="s">
        <v>2708</v>
      </c>
      <c r="B791" s="385" t="s">
        <v>2182</v>
      </c>
      <c r="C791" s="385" t="s">
        <v>2745</v>
      </c>
      <c r="D791" s="385" t="s">
        <v>2746</v>
      </c>
      <c r="E791" s="462">
        <v>1600000</v>
      </c>
      <c r="F791" s="385" t="s">
        <v>2213</v>
      </c>
      <c r="G791" s="385" t="s">
        <v>2625</v>
      </c>
      <c r="H791" s="387" t="s">
        <v>1955</v>
      </c>
      <c r="I791" s="387" t="s">
        <v>1625</v>
      </c>
      <c r="J791" s="387">
        <v>1</v>
      </c>
      <c r="K791" s="385" t="s">
        <v>1496</v>
      </c>
    </row>
    <row r="792" spans="1:11" ht="15.75" hidden="1">
      <c r="A792" s="393" t="s">
        <v>2708</v>
      </c>
      <c r="B792" s="381" t="s">
        <v>2182</v>
      </c>
      <c r="C792" s="381" t="s">
        <v>371</v>
      </c>
      <c r="D792" s="381" t="s">
        <v>2253</v>
      </c>
      <c r="E792" s="451">
        <v>700000</v>
      </c>
      <c r="F792" s="381" t="s">
        <v>2292</v>
      </c>
      <c r="G792" s="381" t="s">
        <v>185</v>
      </c>
      <c r="H792" s="383" t="s">
        <v>1625</v>
      </c>
      <c r="I792" s="383" t="s">
        <v>1625</v>
      </c>
      <c r="J792" s="383">
        <v>1</v>
      </c>
      <c r="K792" s="381" t="s">
        <v>1499</v>
      </c>
    </row>
    <row r="793" spans="1:11" ht="15.75" hidden="1">
      <c r="A793" s="393" t="s">
        <v>2686</v>
      </c>
      <c r="B793" s="381" t="s">
        <v>2182</v>
      </c>
      <c r="C793" s="381" t="s">
        <v>386</v>
      </c>
      <c r="D793" s="381" t="s">
        <v>2700</v>
      </c>
      <c r="E793" s="451">
        <v>1150000</v>
      </c>
      <c r="F793" s="381" t="s">
        <v>2213</v>
      </c>
      <c r="G793" s="381" t="s">
        <v>185</v>
      </c>
      <c r="H793" s="383" t="s">
        <v>1625</v>
      </c>
      <c r="I793" s="383" t="s">
        <v>1625</v>
      </c>
      <c r="J793" s="383">
        <v>1</v>
      </c>
      <c r="K793" s="381" t="s">
        <v>1496</v>
      </c>
    </row>
    <row r="794" spans="1:11" ht="15.75" hidden="1">
      <c r="A794" s="393" t="s">
        <v>2747</v>
      </c>
      <c r="B794" s="381" t="s">
        <v>2182</v>
      </c>
      <c r="C794" s="381" t="s">
        <v>2748</v>
      </c>
      <c r="D794" s="381" t="s">
        <v>2749</v>
      </c>
      <c r="E794" s="451">
        <v>1200000</v>
      </c>
      <c r="F794" s="381" t="s">
        <v>2292</v>
      </c>
      <c r="G794" s="381" t="s">
        <v>185</v>
      </c>
      <c r="H794" s="383" t="s">
        <v>1625</v>
      </c>
      <c r="I794" s="383" t="s">
        <v>1625</v>
      </c>
      <c r="J794" s="383">
        <v>1</v>
      </c>
      <c r="K794" s="381" t="s">
        <v>1499</v>
      </c>
    </row>
    <row r="795" spans="1:11" ht="15.75" hidden="1">
      <c r="A795" s="393" t="s">
        <v>2747</v>
      </c>
      <c r="B795" s="381" t="s">
        <v>2182</v>
      </c>
      <c r="C795" s="381" t="s">
        <v>2750</v>
      </c>
      <c r="D795" s="381" t="s">
        <v>2580</v>
      </c>
      <c r="E795" s="451">
        <v>1400000</v>
      </c>
      <c r="F795" s="381" t="s">
        <v>2213</v>
      </c>
      <c r="G795" s="381" t="s">
        <v>185</v>
      </c>
      <c r="H795" s="383" t="s">
        <v>1625</v>
      </c>
      <c r="I795" s="383" t="s">
        <v>1625</v>
      </c>
      <c r="J795" s="383">
        <v>1</v>
      </c>
      <c r="K795" s="381" t="s">
        <v>1496</v>
      </c>
    </row>
    <row r="796" spans="1:11" ht="15.75" hidden="1">
      <c r="A796" s="393" t="s">
        <v>2751</v>
      </c>
      <c r="B796" s="381" t="s">
        <v>2182</v>
      </c>
      <c r="C796" s="381" t="s">
        <v>2752</v>
      </c>
      <c r="D796" s="381" t="s">
        <v>2580</v>
      </c>
      <c r="E796" s="451">
        <v>1400000</v>
      </c>
      <c r="F796" s="381" t="s">
        <v>2292</v>
      </c>
      <c r="G796" s="381" t="s">
        <v>2625</v>
      </c>
      <c r="H796" s="383" t="s">
        <v>1625</v>
      </c>
      <c r="I796" s="383" t="s">
        <v>1625</v>
      </c>
      <c r="J796" s="383">
        <v>1</v>
      </c>
      <c r="K796" s="381" t="s">
        <v>1499</v>
      </c>
    </row>
    <row r="797" spans="1:11" ht="15.75" hidden="1">
      <c r="A797" s="393" t="s">
        <v>2751</v>
      </c>
      <c r="B797" s="381" t="s">
        <v>2182</v>
      </c>
      <c r="C797" s="381" t="s">
        <v>443</v>
      </c>
      <c r="D797" s="381" t="s">
        <v>2749</v>
      </c>
      <c r="E797" s="451">
        <v>1100000</v>
      </c>
      <c r="F797" s="381" t="s">
        <v>2292</v>
      </c>
      <c r="G797" s="381" t="s">
        <v>2625</v>
      </c>
      <c r="H797" s="383" t="s">
        <v>1625</v>
      </c>
      <c r="I797" s="383" t="s">
        <v>1625</v>
      </c>
      <c r="J797" s="383">
        <v>1</v>
      </c>
      <c r="K797" s="381" t="s">
        <v>1496</v>
      </c>
    </row>
    <row r="798" spans="1:11" ht="15.75" hidden="1">
      <c r="A798" s="393" t="s">
        <v>2753</v>
      </c>
      <c r="B798" s="381" t="s">
        <v>2182</v>
      </c>
      <c r="C798" s="381" t="s">
        <v>2754</v>
      </c>
      <c r="D798" s="381" t="s">
        <v>2580</v>
      </c>
      <c r="E798" s="451">
        <v>1400000</v>
      </c>
      <c r="F798" s="381" t="s">
        <v>2292</v>
      </c>
      <c r="G798" s="381" t="s">
        <v>185</v>
      </c>
      <c r="H798" s="383" t="s">
        <v>1625</v>
      </c>
      <c r="I798" s="383" t="s">
        <v>1625</v>
      </c>
      <c r="J798" s="383">
        <v>1</v>
      </c>
      <c r="K798" s="381" t="s">
        <v>1499</v>
      </c>
    </row>
    <row r="799" spans="1:11" ht="15.75" hidden="1">
      <c r="A799" s="393" t="s">
        <v>2753</v>
      </c>
      <c r="B799" s="381" t="s">
        <v>2182</v>
      </c>
      <c r="C799" s="381" t="s">
        <v>2755</v>
      </c>
      <c r="D799" s="381" t="s">
        <v>2580</v>
      </c>
      <c r="E799" s="451">
        <v>1250000</v>
      </c>
      <c r="F799" s="381" t="s">
        <v>2292</v>
      </c>
      <c r="G799" s="381" t="s">
        <v>2741</v>
      </c>
      <c r="H799" s="383" t="s">
        <v>1955</v>
      </c>
      <c r="I799" s="383" t="s">
        <v>1625</v>
      </c>
      <c r="J799" s="383">
        <v>1</v>
      </c>
      <c r="K799" s="381" t="s">
        <v>1496</v>
      </c>
    </row>
    <row r="800" spans="1:11" ht="15.75" hidden="1">
      <c r="A800" s="393" t="s">
        <v>2753</v>
      </c>
      <c r="B800" s="381" t="s">
        <v>2182</v>
      </c>
      <c r="C800" s="381" t="s">
        <v>445</v>
      </c>
      <c r="D800" s="381" t="s">
        <v>2253</v>
      </c>
      <c r="E800" s="451">
        <v>750000</v>
      </c>
      <c r="F800" s="381" t="s">
        <v>2292</v>
      </c>
      <c r="G800" s="381" t="s">
        <v>185</v>
      </c>
      <c r="H800" s="383" t="s">
        <v>1625</v>
      </c>
      <c r="I800" s="383" t="s">
        <v>1625</v>
      </c>
      <c r="J800" s="383">
        <v>1</v>
      </c>
      <c r="K800" s="381" t="s">
        <v>1499</v>
      </c>
    </row>
    <row r="801" spans="1:11" ht="15.75" hidden="1">
      <c r="A801" s="393" t="s">
        <v>2756</v>
      </c>
      <c r="B801" s="381" t="s">
        <v>2182</v>
      </c>
      <c r="C801" s="381" t="s">
        <v>2757</v>
      </c>
      <c r="D801" s="381" t="s">
        <v>2758</v>
      </c>
      <c r="E801" s="451">
        <v>900000</v>
      </c>
      <c r="F801" s="381" t="s">
        <v>2213</v>
      </c>
      <c r="G801" s="381" t="s">
        <v>2625</v>
      </c>
      <c r="H801" s="383" t="s">
        <v>1625</v>
      </c>
      <c r="I801" s="383" t="s">
        <v>1625</v>
      </c>
      <c r="J801" s="383">
        <v>1</v>
      </c>
      <c r="K801" s="381" t="s">
        <v>1496</v>
      </c>
    </row>
    <row r="802" spans="1:11" ht="15.75" hidden="1">
      <c r="A802" s="393" t="s">
        <v>2756</v>
      </c>
      <c r="B802" s="381" t="s">
        <v>2182</v>
      </c>
      <c r="C802" s="381" t="s">
        <v>2759</v>
      </c>
      <c r="D802" s="381" t="s">
        <v>2758</v>
      </c>
      <c r="E802" s="451">
        <v>900000</v>
      </c>
      <c r="F802" s="381" t="s">
        <v>2213</v>
      </c>
      <c r="G802" s="381" t="s">
        <v>2625</v>
      </c>
      <c r="H802" s="383" t="s">
        <v>1625</v>
      </c>
      <c r="I802" s="383" t="s">
        <v>1625</v>
      </c>
      <c r="J802" s="383">
        <v>1</v>
      </c>
      <c r="K802" s="381" t="s">
        <v>1499</v>
      </c>
    </row>
    <row r="803" spans="1:11" ht="15.75" hidden="1">
      <c r="A803" s="456"/>
      <c r="B803" s="457"/>
      <c r="C803" s="457"/>
      <c r="D803" s="457"/>
      <c r="E803" s="476"/>
      <c r="F803" s="457"/>
      <c r="G803" s="457"/>
      <c r="H803" s="153"/>
      <c r="I803" s="153"/>
      <c r="J803" s="493">
        <f>SUM(J774:J802)</f>
        <v>29</v>
      </c>
      <c r="K803" s="457"/>
    </row>
    <row r="804" spans="1:11" ht="15.75" hidden="1">
      <c r="A804" s="394"/>
      <c r="B804" s="395"/>
      <c r="C804" s="395"/>
      <c r="D804" s="395"/>
      <c r="E804" s="396"/>
      <c r="F804" s="397"/>
      <c r="G804" s="397"/>
      <c r="H804" s="395"/>
      <c r="I804" s="395"/>
      <c r="J804" s="395"/>
      <c r="K804" s="395"/>
    </row>
    <row r="805" spans="1:11" ht="15.75" hidden="1">
      <c r="A805" s="394"/>
      <c r="B805" s="395"/>
      <c r="C805" s="395"/>
      <c r="D805" s="395"/>
      <c r="E805" s="396"/>
      <c r="F805" s="397"/>
      <c r="G805" s="397"/>
      <c r="H805" s="395"/>
      <c r="I805" s="395"/>
      <c r="J805" s="395"/>
      <c r="K805" s="395"/>
    </row>
    <row r="806" spans="1:11" ht="26.25" hidden="1">
      <c r="A806" s="1667" t="s">
        <v>2760</v>
      </c>
      <c r="B806" s="1667"/>
      <c r="C806" s="1667"/>
      <c r="D806" s="1667"/>
      <c r="E806" s="1667"/>
      <c r="F806" s="1667"/>
      <c r="G806" s="1667"/>
      <c r="H806" s="1667"/>
      <c r="I806" s="1667"/>
      <c r="J806" s="1667"/>
      <c r="K806" s="1667"/>
    </row>
    <row r="807" spans="1:11" ht="31.5" hidden="1">
      <c r="A807" s="375" t="s">
        <v>1941</v>
      </c>
      <c r="B807" s="378" t="s">
        <v>1942</v>
      </c>
      <c r="C807" s="378" t="s">
        <v>1943</v>
      </c>
      <c r="D807" s="378" t="s">
        <v>1944</v>
      </c>
      <c r="E807" s="452" t="s">
        <v>1945</v>
      </c>
      <c r="F807" s="378" t="s">
        <v>1946</v>
      </c>
      <c r="G807" s="378" t="s">
        <v>2590</v>
      </c>
      <c r="H807" s="378" t="s">
        <v>1947</v>
      </c>
      <c r="I807" s="378" t="s">
        <v>1948</v>
      </c>
      <c r="J807" s="453" t="s">
        <v>1949</v>
      </c>
      <c r="K807" s="378" t="s">
        <v>1950</v>
      </c>
    </row>
    <row r="808" spans="1:11" ht="15.75" hidden="1">
      <c r="A808" s="384">
        <v>44537</v>
      </c>
      <c r="B808" s="577" t="s">
        <v>2182</v>
      </c>
      <c r="C808" s="385" t="s">
        <v>2761</v>
      </c>
      <c r="D808" s="385" t="s">
        <v>2491</v>
      </c>
      <c r="E808" s="462">
        <v>900000</v>
      </c>
      <c r="F808" s="385" t="s">
        <v>2213</v>
      </c>
      <c r="G808" s="385" t="s">
        <v>2593</v>
      </c>
      <c r="H808" s="387" t="s">
        <v>1625</v>
      </c>
      <c r="I808" s="387" t="s">
        <v>1625</v>
      </c>
      <c r="J808" s="387">
        <v>1</v>
      </c>
      <c r="K808" s="385" t="s">
        <v>1499</v>
      </c>
    </row>
    <row r="809" spans="1:11" ht="15.75" hidden="1">
      <c r="A809" s="443">
        <v>44537</v>
      </c>
      <c r="B809" s="577" t="s">
        <v>2182</v>
      </c>
      <c r="C809" s="385" t="s">
        <v>2762</v>
      </c>
      <c r="D809" s="385" t="s">
        <v>2763</v>
      </c>
      <c r="E809" s="462">
        <v>1400000</v>
      </c>
      <c r="F809" s="385" t="s">
        <v>2605</v>
      </c>
      <c r="G809" s="385" t="s">
        <v>2625</v>
      </c>
      <c r="H809" s="387" t="s">
        <v>1625</v>
      </c>
      <c r="I809" s="387" t="s">
        <v>1625</v>
      </c>
      <c r="J809" s="387">
        <v>1</v>
      </c>
      <c r="K809" s="385" t="s">
        <v>1499</v>
      </c>
    </row>
    <row r="810" spans="1:11" ht="15.75" hidden="1">
      <c r="A810" s="443">
        <v>44537</v>
      </c>
      <c r="B810" s="577" t="s">
        <v>2182</v>
      </c>
      <c r="C810" s="385" t="s">
        <v>2764</v>
      </c>
      <c r="D810" s="385" t="s">
        <v>75</v>
      </c>
      <c r="E810" s="462">
        <v>2500000</v>
      </c>
      <c r="F810" s="385" t="s">
        <v>2605</v>
      </c>
      <c r="G810" s="385" t="s">
        <v>2593</v>
      </c>
      <c r="H810" s="387" t="s">
        <v>1625</v>
      </c>
      <c r="I810" s="387" t="s">
        <v>1625</v>
      </c>
      <c r="J810" s="387">
        <v>1</v>
      </c>
      <c r="K810" s="385" t="s">
        <v>1496</v>
      </c>
    </row>
    <row r="811" spans="1:11" ht="15.75" hidden="1">
      <c r="A811" s="443">
        <v>44537</v>
      </c>
      <c r="B811" s="577" t="s">
        <v>1966</v>
      </c>
      <c r="C811" s="385" t="s">
        <v>2765</v>
      </c>
      <c r="D811" s="385" t="s">
        <v>2766</v>
      </c>
      <c r="E811" s="462">
        <v>700000</v>
      </c>
      <c r="F811" s="385" t="s">
        <v>2213</v>
      </c>
      <c r="G811" s="385" t="s">
        <v>2593</v>
      </c>
      <c r="H811" s="387" t="s">
        <v>1625</v>
      </c>
      <c r="I811" s="387" t="s">
        <v>1625</v>
      </c>
      <c r="J811" s="387">
        <v>1</v>
      </c>
      <c r="K811" s="385" t="s">
        <v>1496</v>
      </c>
    </row>
    <row r="812" spans="1:11" ht="15.75" hidden="1">
      <c r="A812" s="443" t="s">
        <v>2701</v>
      </c>
      <c r="B812" s="577" t="s">
        <v>1952</v>
      </c>
      <c r="C812" s="385" t="s">
        <v>2767</v>
      </c>
      <c r="D812" s="385" t="s">
        <v>2768</v>
      </c>
      <c r="E812" s="462">
        <v>850000</v>
      </c>
      <c r="F812" s="385" t="s">
        <v>2213</v>
      </c>
      <c r="G812" s="385" t="s">
        <v>185</v>
      </c>
      <c r="H812" s="387" t="s">
        <v>1625</v>
      </c>
      <c r="I812" s="387" t="s">
        <v>1625</v>
      </c>
      <c r="J812" s="387">
        <v>1</v>
      </c>
      <c r="K812" s="385" t="s">
        <v>1499</v>
      </c>
    </row>
    <row r="813" spans="1:11" ht="15.75" hidden="1">
      <c r="A813" s="443" t="s">
        <v>2701</v>
      </c>
      <c r="B813" s="577" t="s">
        <v>2182</v>
      </c>
      <c r="C813" s="385" t="s">
        <v>2769</v>
      </c>
      <c r="D813" s="385" t="s">
        <v>2770</v>
      </c>
      <c r="E813" s="462">
        <v>1000000</v>
      </c>
      <c r="F813" s="385" t="s">
        <v>2213</v>
      </c>
      <c r="G813" s="385" t="s">
        <v>2741</v>
      </c>
      <c r="H813" s="387" t="s">
        <v>1955</v>
      </c>
      <c r="I813" s="387" t="s">
        <v>1625</v>
      </c>
      <c r="J813" s="387">
        <v>1</v>
      </c>
      <c r="K813" s="385" t="s">
        <v>2608</v>
      </c>
    </row>
    <row r="814" spans="1:11" ht="15.75" hidden="1">
      <c r="A814" s="443" t="s">
        <v>2704</v>
      </c>
      <c r="B814" s="381" t="s">
        <v>2182</v>
      </c>
      <c r="C814" s="381" t="s">
        <v>2771</v>
      </c>
      <c r="D814" s="381" t="s">
        <v>2749</v>
      </c>
      <c r="E814" s="451">
        <v>900000</v>
      </c>
      <c r="F814" s="381" t="s">
        <v>2213</v>
      </c>
      <c r="G814" s="381" t="s">
        <v>185</v>
      </c>
      <c r="H814" s="383" t="s">
        <v>1625</v>
      </c>
      <c r="I814" s="383" t="s">
        <v>1625</v>
      </c>
      <c r="J814" s="383">
        <v>1</v>
      </c>
      <c r="K814" s="381" t="s">
        <v>1499</v>
      </c>
    </row>
    <row r="815" spans="1:11" ht="15.75" hidden="1">
      <c r="A815" s="412" t="s">
        <v>2772</v>
      </c>
      <c r="B815" s="411" t="s">
        <v>2182</v>
      </c>
      <c r="C815" s="381" t="s">
        <v>2773</v>
      </c>
      <c r="D815" s="381" t="s">
        <v>2576</v>
      </c>
      <c r="E815" s="451">
        <v>700000</v>
      </c>
      <c r="F815" s="381" t="s">
        <v>2213</v>
      </c>
      <c r="G815" s="381" t="s">
        <v>185</v>
      </c>
      <c r="H815" s="383" t="s">
        <v>1625</v>
      </c>
      <c r="I815" s="383" t="s">
        <v>1625</v>
      </c>
      <c r="J815" s="383">
        <v>1</v>
      </c>
      <c r="K815" s="381" t="s">
        <v>1499</v>
      </c>
    </row>
    <row r="816" spans="1:11" ht="15.75" hidden="1">
      <c r="A816" s="412" t="s">
        <v>2686</v>
      </c>
      <c r="B816" s="411" t="s">
        <v>2182</v>
      </c>
      <c r="C816" s="381" t="s">
        <v>2774</v>
      </c>
      <c r="D816" s="381" t="s">
        <v>2728</v>
      </c>
      <c r="E816" s="451">
        <v>850000</v>
      </c>
      <c r="F816" s="381" t="s">
        <v>2213</v>
      </c>
      <c r="G816" s="381" t="s">
        <v>2741</v>
      </c>
      <c r="H816" s="383" t="s">
        <v>1625</v>
      </c>
      <c r="I816" s="383" t="s">
        <v>1625</v>
      </c>
      <c r="J816" s="383">
        <v>1</v>
      </c>
      <c r="K816" s="381" t="s">
        <v>1496</v>
      </c>
    </row>
    <row r="817" spans="1:11" ht="15.75" hidden="1">
      <c r="A817" s="456"/>
      <c r="B817" s="457"/>
      <c r="C817" s="457"/>
      <c r="D817" s="457"/>
      <c r="E817" s="458"/>
      <c r="F817" s="153"/>
      <c r="G817" s="153"/>
      <c r="H817" s="457"/>
      <c r="I817" s="457"/>
      <c r="J817" s="493">
        <f>SUM(J808:J816)</f>
        <v>9</v>
      </c>
      <c r="K817" s="457"/>
    </row>
    <row r="818" spans="1:11" hidden="1"/>
    <row r="819" spans="1:11" hidden="1"/>
    <row r="820" spans="1:11" ht="26.25" hidden="1">
      <c r="A820" s="1667" t="s">
        <v>2775</v>
      </c>
      <c r="B820" s="1667"/>
      <c r="C820" s="1667"/>
      <c r="D820" s="1667"/>
      <c r="E820" s="1667"/>
      <c r="F820" s="1667"/>
      <c r="G820" s="1667"/>
      <c r="H820" s="1667"/>
      <c r="I820" s="1667"/>
      <c r="J820" s="1667"/>
      <c r="K820" s="1667"/>
    </row>
    <row r="821" spans="1:11" ht="31.5" hidden="1">
      <c r="A821" s="375" t="s">
        <v>1941</v>
      </c>
      <c r="B821" s="378" t="s">
        <v>1942</v>
      </c>
      <c r="C821" s="378" t="s">
        <v>1943</v>
      </c>
      <c r="D821" s="378" t="s">
        <v>1944</v>
      </c>
      <c r="E821" s="452" t="s">
        <v>1945</v>
      </c>
      <c r="F821" s="378" t="s">
        <v>1946</v>
      </c>
      <c r="G821" s="378" t="s">
        <v>2590</v>
      </c>
      <c r="H821" s="378" t="s">
        <v>1947</v>
      </c>
      <c r="I821" s="378" t="s">
        <v>1948</v>
      </c>
      <c r="J821" s="453" t="s">
        <v>1949</v>
      </c>
      <c r="K821" s="378" t="s">
        <v>1950</v>
      </c>
    </row>
    <row r="822" spans="1:11" ht="15.75" hidden="1">
      <c r="A822" s="384" t="s">
        <v>2701</v>
      </c>
      <c r="B822" s="577" t="s">
        <v>2182</v>
      </c>
      <c r="C822" s="385" t="s">
        <v>2776</v>
      </c>
      <c r="D822" s="385" t="s">
        <v>2347</v>
      </c>
      <c r="E822" s="462">
        <v>1500000</v>
      </c>
      <c r="F822" s="385" t="s">
        <v>2292</v>
      </c>
      <c r="G822" s="385" t="s">
        <v>2741</v>
      </c>
      <c r="H822" s="387" t="s">
        <v>1625</v>
      </c>
      <c r="I822" s="387" t="s">
        <v>1625</v>
      </c>
      <c r="J822" s="387">
        <v>1</v>
      </c>
      <c r="K822" s="385" t="s">
        <v>1496</v>
      </c>
    </row>
    <row r="823" spans="1:11" ht="15.75" hidden="1">
      <c r="A823" s="443" t="s">
        <v>2701</v>
      </c>
      <c r="B823" s="385" t="s">
        <v>2182</v>
      </c>
      <c r="C823" s="381" t="s">
        <v>358</v>
      </c>
      <c r="D823" s="381" t="s">
        <v>2770</v>
      </c>
      <c r="E823" s="451">
        <v>1150000</v>
      </c>
      <c r="F823" s="381" t="s">
        <v>2292</v>
      </c>
      <c r="G823" s="381" t="s">
        <v>2625</v>
      </c>
      <c r="H823" s="383" t="s">
        <v>1625</v>
      </c>
      <c r="I823" s="383" t="s">
        <v>1625</v>
      </c>
      <c r="J823" s="383">
        <v>1</v>
      </c>
      <c r="K823" s="381" t="s">
        <v>1499</v>
      </c>
    </row>
    <row r="824" spans="1:11" ht="15.75" hidden="1">
      <c r="A824" s="393" t="s">
        <v>2701</v>
      </c>
      <c r="B824" s="381" t="s">
        <v>2182</v>
      </c>
      <c r="C824" s="411" t="s">
        <v>2777</v>
      </c>
      <c r="D824" s="381" t="s">
        <v>2770</v>
      </c>
      <c r="E824" s="451">
        <v>900000</v>
      </c>
      <c r="F824" s="381" t="s">
        <v>2292</v>
      </c>
      <c r="G824" s="381" t="s">
        <v>2741</v>
      </c>
      <c r="H824" s="383" t="s">
        <v>1625</v>
      </c>
      <c r="I824" s="383" t="s">
        <v>1625</v>
      </c>
      <c r="J824" s="383">
        <v>1</v>
      </c>
      <c r="K824" s="381" t="s">
        <v>1496</v>
      </c>
    </row>
    <row r="825" spans="1:11" ht="15.75" hidden="1">
      <c r="A825" s="479" t="s">
        <v>2701</v>
      </c>
      <c r="B825" s="612" t="s">
        <v>2182</v>
      </c>
      <c r="C825" s="381" t="s">
        <v>2778</v>
      </c>
      <c r="D825" s="381" t="s">
        <v>2728</v>
      </c>
      <c r="E825" s="451">
        <v>1100000</v>
      </c>
      <c r="F825" s="381" t="s">
        <v>2292</v>
      </c>
      <c r="G825" s="381" t="s">
        <v>2741</v>
      </c>
      <c r="H825" s="383" t="s">
        <v>1625</v>
      </c>
      <c r="I825" s="383" t="s">
        <v>1625</v>
      </c>
      <c r="J825" s="383">
        <v>1</v>
      </c>
      <c r="K825" s="381" t="s">
        <v>1499</v>
      </c>
    </row>
    <row r="826" spans="1:11" ht="15.75" hidden="1">
      <c r="A826" s="456" t="s">
        <v>2772</v>
      </c>
      <c r="B826" s="457" t="s">
        <v>2182</v>
      </c>
      <c r="C826" s="457" t="s">
        <v>2779</v>
      </c>
      <c r="D826" s="457" t="s">
        <v>2728</v>
      </c>
      <c r="E826" s="458">
        <v>1350000</v>
      </c>
      <c r="F826" s="457" t="s">
        <v>2292</v>
      </c>
      <c r="G826" s="457" t="s">
        <v>2625</v>
      </c>
      <c r="H826" s="153" t="s">
        <v>1625</v>
      </c>
      <c r="I826" s="153" t="s">
        <v>1625</v>
      </c>
      <c r="J826" s="383">
        <v>1</v>
      </c>
      <c r="K826" s="381" t="s">
        <v>1496</v>
      </c>
    </row>
    <row r="827" spans="1:11" ht="15.75" hidden="1">
      <c r="A827" s="456"/>
      <c r="B827" s="457"/>
      <c r="C827" s="457"/>
      <c r="D827" s="457"/>
      <c r="E827" s="458"/>
      <c r="F827" s="457"/>
      <c r="G827" s="457"/>
      <c r="H827" s="457"/>
      <c r="I827" s="457"/>
      <c r="J827" s="493">
        <f>SUM(J822:J826)</f>
        <v>5</v>
      </c>
      <c r="K827" s="457"/>
    </row>
    <row r="828" spans="1:11" hidden="1"/>
    <row r="829" spans="1:11" hidden="1"/>
    <row r="830" spans="1:11" hidden="1"/>
    <row r="831" spans="1:11" hidden="1"/>
    <row r="832" spans="1:11" ht="26.25" hidden="1">
      <c r="A832" s="1667" t="s">
        <v>2780</v>
      </c>
      <c r="B832" s="1667"/>
      <c r="C832" s="1667"/>
      <c r="D832" s="1667"/>
      <c r="E832" s="1667"/>
      <c r="F832" s="1667"/>
      <c r="G832" s="1667"/>
      <c r="H832" s="1667"/>
      <c r="I832" s="1667"/>
      <c r="J832" s="1667"/>
      <c r="K832" s="1667"/>
    </row>
    <row r="833" spans="1:11" ht="31.5" hidden="1">
      <c r="A833" s="375" t="s">
        <v>1941</v>
      </c>
      <c r="B833" s="378" t="s">
        <v>1942</v>
      </c>
      <c r="C833" s="378" t="s">
        <v>1943</v>
      </c>
      <c r="D833" s="378" t="s">
        <v>1944</v>
      </c>
      <c r="E833" s="452" t="s">
        <v>1945</v>
      </c>
      <c r="F833" s="378" t="s">
        <v>1946</v>
      </c>
      <c r="G833" s="378" t="s">
        <v>2590</v>
      </c>
      <c r="H833" s="378" t="s">
        <v>1947</v>
      </c>
      <c r="I833" s="378" t="s">
        <v>1948</v>
      </c>
      <c r="J833" s="453" t="s">
        <v>1949</v>
      </c>
      <c r="K833" s="378" t="s">
        <v>1950</v>
      </c>
    </row>
    <row r="834" spans="1:11" ht="15.75" hidden="1">
      <c r="A834" s="384" t="s">
        <v>2721</v>
      </c>
      <c r="B834" s="577" t="s">
        <v>2182</v>
      </c>
      <c r="C834" s="385" t="s">
        <v>2781</v>
      </c>
      <c r="D834" s="385" t="s">
        <v>2711</v>
      </c>
      <c r="E834" s="462" t="s">
        <v>2782</v>
      </c>
      <c r="F834" s="385" t="s">
        <v>2213</v>
      </c>
      <c r="G834" s="385" t="s">
        <v>2625</v>
      </c>
      <c r="H834" s="387" t="s">
        <v>1625</v>
      </c>
      <c r="I834" s="387" t="s">
        <v>1625</v>
      </c>
      <c r="J834" s="387">
        <v>1</v>
      </c>
      <c r="K834" s="385" t="s">
        <v>1496</v>
      </c>
    </row>
    <row r="835" spans="1:11" ht="15.75" hidden="1">
      <c r="A835" s="443">
        <v>44476</v>
      </c>
      <c r="B835" s="381" t="s">
        <v>2182</v>
      </c>
      <c r="C835" s="381" t="s">
        <v>335</v>
      </c>
      <c r="D835" s="381" t="s">
        <v>2711</v>
      </c>
      <c r="E835" s="451">
        <v>1300000</v>
      </c>
      <c r="F835" s="381" t="s">
        <v>2213</v>
      </c>
      <c r="G835" s="381" t="s">
        <v>185</v>
      </c>
      <c r="H835" s="383" t="s">
        <v>1625</v>
      </c>
      <c r="I835" s="383" t="s">
        <v>1625</v>
      </c>
      <c r="J835" s="383">
        <v>1</v>
      </c>
      <c r="K835" s="381" t="s">
        <v>1499</v>
      </c>
    </row>
    <row r="836" spans="1:11" ht="15.75" hidden="1">
      <c r="A836" s="412" t="s">
        <v>2686</v>
      </c>
      <c r="B836" s="411" t="s">
        <v>2182</v>
      </c>
      <c r="C836" s="381" t="s">
        <v>402</v>
      </c>
      <c r="D836" s="381" t="s">
        <v>2711</v>
      </c>
      <c r="E836" s="451">
        <v>1200000</v>
      </c>
      <c r="F836" s="381" t="s">
        <v>2213</v>
      </c>
      <c r="G836" s="381" t="s">
        <v>185</v>
      </c>
      <c r="H836" s="383" t="s">
        <v>1625</v>
      </c>
      <c r="I836" s="383" t="s">
        <v>1625</v>
      </c>
      <c r="J836" s="383">
        <v>1</v>
      </c>
      <c r="K836" s="381" t="s">
        <v>2608</v>
      </c>
    </row>
    <row r="837" spans="1:11" ht="15.75" hidden="1">
      <c r="A837" s="456"/>
      <c r="B837" s="457"/>
      <c r="C837" s="457"/>
      <c r="D837" s="457"/>
      <c r="E837" s="458"/>
      <c r="F837" s="153"/>
      <c r="G837" s="153"/>
      <c r="H837" s="457"/>
      <c r="I837" s="457"/>
      <c r="J837" s="493">
        <f>SUM(J834:J836)</f>
        <v>3</v>
      </c>
      <c r="K837" s="457"/>
    </row>
    <row r="838" spans="1:11" hidden="1"/>
    <row r="841" spans="1:11">
      <c r="A841" s="1665" t="s">
        <v>2783</v>
      </c>
      <c r="B841" s="1665"/>
      <c r="C841" s="1665"/>
      <c r="D841" s="1665"/>
      <c r="E841" s="1665"/>
      <c r="F841" s="1665"/>
      <c r="G841" s="1665"/>
      <c r="H841" s="1665"/>
      <c r="I841" s="1665"/>
      <c r="J841" s="1665"/>
      <c r="K841" s="1665"/>
    </row>
    <row r="842" spans="1:11">
      <c r="A842" s="1665"/>
      <c r="B842" s="1665"/>
      <c r="C842" s="1665"/>
      <c r="D842" s="1665"/>
      <c r="E842" s="1665"/>
      <c r="F842" s="1665"/>
      <c r="G842" s="1665"/>
      <c r="H842" s="1665"/>
      <c r="I842" s="1665"/>
      <c r="J842" s="1665"/>
      <c r="K842" s="1665"/>
    </row>
    <row r="844" spans="1:11" ht="26.25" hidden="1">
      <c r="A844" s="1667" t="s">
        <v>2784</v>
      </c>
      <c r="B844" s="1667"/>
      <c r="C844" s="1667"/>
      <c r="D844" s="1667"/>
      <c r="E844" s="1667"/>
      <c r="F844" s="1667"/>
      <c r="G844" s="1667"/>
      <c r="H844" s="1667"/>
      <c r="I844" s="1667"/>
      <c r="J844" s="1667"/>
      <c r="K844" s="1667"/>
    </row>
    <row r="845" spans="1:11" ht="31.5" hidden="1">
      <c r="A845" s="375" t="s">
        <v>1941</v>
      </c>
      <c r="B845" s="378" t="s">
        <v>1942</v>
      </c>
      <c r="C845" s="378" t="s">
        <v>1943</v>
      </c>
      <c r="D845" s="378" t="s">
        <v>1944</v>
      </c>
      <c r="E845" s="452" t="s">
        <v>1945</v>
      </c>
      <c r="F845" s="378" t="s">
        <v>1946</v>
      </c>
      <c r="G845" s="378" t="s">
        <v>2590</v>
      </c>
      <c r="H845" s="378" t="s">
        <v>1947</v>
      </c>
      <c r="I845" s="378" t="s">
        <v>1948</v>
      </c>
      <c r="J845" s="453" t="s">
        <v>1949</v>
      </c>
      <c r="K845" s="378" t="s">
        <v>10</v>
      </c>
    </row>
    <row r="846" spans="1:11" ht="15.75" hidden="1">
      <c r="A846" s="454" t="s">
        <v>2785</v>
      </c>
      <c r="B846" s="455" t="s">
        <v>2182</v>
      </c>
      <c r="C846" s="455" t="s">
        <v>2696</v>
      </c>
      <c r="D846" s="455" t="s">
        <v>2394</v>
      </c>
      <c r="E846" s="461">
        <v>215000000</v>
      </c>
      <c r="F846" s="464" t="s">
        <v>2292</v>
      </c>
      <c r="G846" s="464" t="s">
        <v>2741</v>
      </c>
      <c r="H846" s="460" t="s">
        <v>2161</v>
      </c>
      <c r="I846" s="460" t="s">
        <v>1625</v>
      </c>
      <c r="J846" s="460">
        <v>1</v>
      </c>
      <c r="K846" s="455" t="s">
        <v>2482</v>
      </c>
    </row>
    <row r="847" spans="1:11" ht="15.75" hidden="1">
      <c r="A847" s="507" t="s">
        <v>2785</v>
      </c>
      <c r="B847" s="472" t="s">
        <v>2182</v>
      </c>
      <c r="C847" s="455" t="s">
        <v>2786</v>
      </c>
      <c r="D847" s="455" t="s">
        <v>2326</v>
      </c>
      <c r="E847" s="461">
        <v>185000000</v>
      </c>
      <c r="F847" s="464" t="s">
        <v>2292</v>
      </c>
      <c r="G847" s="464" t="s">
        <v>2593</v>
      </c>
      <c r="H847" s="460" t="s">
        <v>2161</v>
      </c>
      <c r="I847" s="460" t="s">
        <v>1625</v>
      </c>
      <c r="J847" s="460">
        <v>1</v>
      </c>
      <c r="K847" s="455" t="s">
        <v>2482</v>
      </c>
    </row>
    <row r="848" spans="1:11" ht="15.75" hidden="1">
      <c r="A848" s="454" t="s">
        <v>2785</v>
      </c>
      <c r="B848" s="455" t="s">
        <v>2182</v>
      </c>
      <c r="C848" s="459" t="s">
        <v>2787</v>
      </c>
      <c r="D848" s="455" t="s">
        <v>2326</v>
      </c>
      <c r="E848" s="461">
        <v>160000000</v>
      </c>
      <c r="F848" s="464" t="s">
        <v>2292</v>
      </c>
      <c r="G848" s="464" t="s">
        <v>2741</v>
      </c>
      <c r="H848" s="460" t="s">
        <v>2161</v>
      </c>
      <c r="I848" s="460" t="s">
        <v>1625</v>
      </c>
      <c r="J848" s="460">
        <v>1</v>
      </c>
      <c r="K848" s="455" t="s">
        <v>2482</v>
      </c>
    </row>
    <row r="849" spans="1:11" ht="16.5" hidden="1" customHeight="1">
      <c r="A849" s="454" t="s">
        <v>2788</v>
      </c>
      <c r="B849" s="455" t="s">
        <v>2182</v>
      </c>
      <c r="C849" s="459" t="s">
        <v>526</v>
      </c>
      <c r="D849" s="455" t="s">
        <v>75</v>
      </c>
      <c r="E849" s="461">
        <v>341000000</v>
      </c>
      <c r="F849" s="464" t="s">
        <v>2292</v>
      </c>
      <c r="G849" s="464" t="s">
        <v>2625</v>
      </c>
      <c r="H849" s="460" t="s">
        <v>1625</v>
      </c>
      <c r="I849" s="460" t="s">
        <v>1625</v>
      </c>
      <c r="J849" s="460">
        <v>1</v>
      </c>
      <c r="K849" s="455" t="s">
        <v>2482</v>
      </c>
    </row>
    <row r="850" spans="1:11" ht="16.5" hidden="1" customHeight="1">
      <c r="A850" s="649" t="s">
        <v>2789</v>
      </c>
      <c r="B850" s="650" t="s">
        <v>2182</v>
      </c>
      <c r="C850" s="459" t="s">
        <v>2790</v>
      </c>
      <c r="D850" s="455" t="s">
        <v>2573</v>
      </c>
      <c r="E850" s="461">
        <v>315000000</v>
      </c>
      <c r="F850" s="464" t="s">
        <v>2213</v>
      </c>
      <c r="G850" s="464" t="s">
        <v>2741</v>
      </c>
      <c r="H850" s="460" t="s">
        <v>2161</v>
      </c>
      <c r="I850" s="460" t="s">
        <v>1625</v>
      </c>
      <c r="J850" s="460">
        <v>1</v>
      </c>
      <c r="K850" s="455" t="s">
        <v>2482</v>
      </c>
    </row>
    <row r="851" spans="1:11" ht="15.75" hidden="1">
      <c r="A851" s="479" t="s">
        <v>2753</v>
      </c>
      <c r="B851" s="612" t="s">
        <v>2182</v>
      </c>
      <c r="C851" s="381" t="s">
        <v>2791</v>
      </c>
      <c r="D851" s="381" t="s">
        <v>2326</v>
      </c>
      <c r="E851" s="451">
        <v>930000</v>
      </c>
      <c r="F851" s="275" t="s">
        <v>2213</v>
      </c>
      <c r="G851" s="275" t="s">
        <v>2741</v>
      </c>
      <c r="H851" s="383" t="s">
        <v>1625</v>
      </c>
      <c r="I851" s="383" t="s">
        <v>1625</v>
      </c>
      <c r="J851" s="383">
        <v>1</v>
      </c>
      <c r="K851" s="381" t="s">
        <v>1499</v>
      </c>
    </row>
    <row r="852" spans="1:11" ht="15.75" hidden="1">
      <c r="A852" s="412" t="s">
        <v>2756</v>
      </c>
      <c r="B852" s="411" t="s">
        <v>2182</v>
      </c>
      <c r="C852" s="381" t="s">
        <v>2792</v>
      </c>
      <c r="D852" s="381" t="s">
        <v>2502</v>
      </c>
      <c r="E852" s="451">
        <v>1500000</v>
      </c>
      <c r="F852" s="275" t="s">
        <v>2292</v>
      </c>
      <c r="G852" s="465" t="s">
        <v>2793</v>
      </c>
      <c r="H852" s="383" t="s">
        <v>1625</v>
      </c>
      <c r="I852" s="383" t="s">
        <v>1625</v>
      </c>
      <c r="J852" s="383">
        <v>1</v>
      </c>
      <c r="K852" s="381" t="s">
        <v>1496</v>
      </c>
    </row>
    <row r="853" spans="1:11" ht="15.75" hidden="1">
      <c r="A853" s="412" t="s">
        <v>2794</v>
      </c>
      <c r="B853" s="411" t="s">
        <v>2182</v>
      </c>
      <c r="C853" s="381" t="s">
        <v>2795</v>
      </c>
      <c r="D853" s="381" t="s">
        <v>2711</v>
      </c>
      <c r="E853" s="451">
        <v>1100000</v>
      </c>
      <c r="F853" s="275" t="s">
        <v>2306</v>
      </c>
      <c r="G853" s="491" t="s">
        <v>2625</v>
      </c>
      <c r="H853" s="383" t="s">
        <v>1625</v>
      </c>
      <c r="I853" s="383" t="s">
        <v>1625</v>
      </c>
      <c r="J853" s="383">
        <v>1</v>
      </c>
      <c r="K853" s="381" t="s">
        <v>1499</v>
      </c>
    </row>
    <row r="854" spans="1:11" ht="15.75" hidden="1">
      <c r="A854" s="412" t="s">
        <v>2796</v>
      </c>
      <c r="B854" s="411" t="s">
        <v>2182</v>
      </c>
      <c r="C854" s="381" t="s">
        <v>2797</v>
      </c>
      <c r="D854" s="381" t="s">
        <v>75</v>
      </c>
      <c r="E854" s="451">
        <v>1300000</v>
      </c>
      <c r="F854" s="275" t="s">
        <v>2292</v>
      </c>
      <c r="G854" s="275" t="s">
        <v>2741</v>
      </c>
      <c r="H854" s="383" t="s">
        <v>1955</v>
      </c>
      <c r="I854" s="383" t="s">
        <v>1625</v>
      </c>
      <c r="J854" s="383">
        <v>1</v>
      </c>
      <c r="K854" s="381" t="s">
        <v>1496</v>
      </c>
    </row>
    <row r="855" spans="1:11" ht="15.75" hidden="1">
      <c r="A855" s="412" t="s">
        <v>2796</v>
      </c>
      <c r="B855" s="411" t="s">
        <v>2182</v>
      </c>
      <c r="C855" s="381" t="s">
        <v>2787</v>
      </c>
      <c r="D855" s="381" t="s">
        <v>2326</v>
      </c>
      <c r="E855" s="451">
        <v>900000</v>
      </c>
      <c r="F855" s="275" t="s">
        <v>2292</v>
      </c>
      <c r="G855" s="275" t="s">
        <v>2741</v>
      </c>
      <c r="H855" s="383" t="s">
        <v>1955</v>
      </c>
      <c r="I855" s="383" t="s">
        <v>1625</v>
      </c>
      <c r="J855" s="383">
        <v>1</v>
      </c>
      <c r="K855" s="381" t="s">
        <v>1496</v>
      </c>
    </row>
    <row r="856" spans="1:11" ht="15.75" hidden="1">
      <c r="A856" s="412" t="s">
        <v>2798</v>
      </c>
      <c r="B856" s="411" t="s">
        <v>2182</v>
      </c>
      <c r="C856" s="381" t="s">
        <v>2799</v>
      </c>
      <c r="D856" s="381" t="s">
        <v>75</v>
      </c>
      <c r="E856" s="451">
        <v>900000</v>
      </c>
      <c r="F856" s="275" t="s">
        <v>2213</v>
      </c>
      <c r="G856" s="275" t="s">
        <v>2741</v>
      </c>
      <c r="H856" s="383" t="s">
        <v>1955</v>
      </c>
      <c r="I856" s="383" t="s">
        <v>1625</v>
      </c>
      <c r="J856" s="383">
        <v>1</v>
      </c>
      <c r="K856" s="381" t="s">
        <v>1499</v>
      </c>
    </row>
    <row r="857" spans="1:11" ht="15.75" hidden="1">
      <c r="A857" s="393" t="s">
        <v>2798</v>
      </c>
      <c r="B857" s="381" t="s">
        <v>2182</v>
      </c>
      <c r="C857" s="381" t="s">
        <v>2800</v>
      </c>
      <c r="D857" s="381" t="s">
        <v>2326</v>
      </c>
      <c r="E857" s="451">
        <v>1100000</v>
      </c>
      <c r="F857" s="275" t="s">
        <v>2292</v>
      </c>
      <c r="G857" s="275" t="s">
        <v>2741</v>
      </c>
      <c r="H857" s="383" t="s">
        <v>1955</v>
      </c>
      <c r="I857" s="383" t="s">
        <v>1625</v>
      </c>
      <c r="J857" s="383">
        <v>1</v>
      </c>
      <c r="K857" s="381" t="s">
        <v>1496</v>
      </c>
    </row>
    <row r="858" spans="1:11" ht="15.75" hidden="1">
      <c r="A858" s="393">
        <v>44235</v>
      </c>
      <c r="B858" s="381" t="s">
        <v>2182</v>
      </c>
      <c r="C858" s="381" t="s">
        <v>2801</v>
      </c>
      <c r="D858" s="381" t="s">
        <v>2326</v>
      </c>
      <c r="E858" s="451">
        <v>780000</v>
      </c>
      <c r="F858" s="395" t="s">
        <v>2213</v>
      </c>
      <c r="G858" s="275" t="s">
        <v>2741</v>
      </c>
      <c r="H858" s="383" t="s">
        <v>1955</v>
      </c>
      <c r="I858" s="383" t="s">
        <v>1625</v>
      </c>
      <c r="J858" s="383">
        <v>1</v>
      </c>
      <c r="K858" s="381" t="s">
        <v>1499</v>
      </c>
    </row>
    <row r="859" spans="1:11" ht="15.75" hidden="1">
      <c r="A859" s="393">
        <v>44294</v>
      </c>
      <c r="B859" s="381" t="s">
        <v>2182</v>
      </c>
      <c r="C859" s="385" t="s">
        <v>2802</v>
      </c>
      <c r="D859" s="385" t="s">
        <v>75</v>
      </c>
      <c r="E859" s="462">
        <v>1000000</v>
      </c>
      <c r="F859" s="275" t="s">
        <v>2292</v>
      </c>
      <c r="G859" s="465" t="s">
        <v>2741</v>
      </c>
      <c r="H859" s="387" t="s">
        <v>1625</v>
      </c>
      <c r="I859" s="387" t="s">
        <v>1625</v>
      </c>
      <c r="J859" s="387">
        <v>1</v>
      </c>
      <c r="K859" s="385" t="s">
        <v>1496</v>
      </c>
    </row>
    <row r="860" spans="1:11" ht="15.75" hidden="1">
      <c r="A860" s="412">
        <v>44294</v>
      </c>
      <c r="B860" s="411" t="s">
        <v>2182</v>
      </c>
      <c r="C860" s="381" t="s">
        <v>2803</v>
      </c>
      <c r="D860" s="381" t="s">
        <v>75</v>
      </c>
      <c r="E860" s="451">
        <v>1300000</v>
      </c>
      <c r="F860" s="381" t="s">
        <v>2292</v>
      </c>
      <c r="G860" s="381" t="s">
        <v>2741</v>
      </c>
      <c r="H860" s="383" t="s">
        <v>1625</v>
      </c>
      <c r="I860" s="383" t="s">
        <v>1625</v>
      </c>
      <c r="J860" s="383">
        <v>1</v>
      </c>
      <c r="K860" s="381" t="s">
        <v>1499</v>
      </c>
    </row>
    <row r="861" spans="1:11" ht="15.75" hidden="1">
      <c r="A861" s="384">
        <v>44294</v>
      </c>
      <c r="B861" s="385" t="s">
        <v>2182</v>
      </c>
      <c r="C861" s="381" t="s">
        <v>1224</v>
      </c>
      <c r="D861" s="385" t="s">
        <v>75</v>
      </c>
      <c r="E861" s="462">
        <v>1350000</v>
      </c>
      <c r="F861" s="465" t="s">
        <v>2292</v>
      </c>
      <c r="G861" s="465" t="s">
        <v>2741</v>
      </c>
      <c r="H861" s="387" t="s">
        <v>1625</v>
      </c>
      <c r="I861" s="387" t="s">
        <v>1625</v>
      </c>
      <c r="J861" s="387">
        <v>1</v>
      </c>
      <c r="K861" s="385" t="s">
        <v>1499</v>
      </c>
    </row>
    <row r="862" spans="1:11" ht="15.75" hidden="1">
      <c r="A862" s="384">
        <v>44294</v>
      </c>
      <c r="B862" s="385" t="s">
        <v>2182</v>
      </c>
      <c r="C862" s="385" t="s">
        <v>2804</v>
      </c>
      <c r="D862" s="385" t="s">
        <v>75</v>
      </c>
      <c r="E862" s="462">
        <v>1350000</v>
      </c>
      <c r="F862" s="465" t="s">
        <v>2292</v>
      </c>
      <c r="G862" s="465" t="s">
        <v>2741</v>
      </c>
      <c r="H862" s="387" t="s">
        <v>1625</v>
      </c>
      <c r="I862" s="387" t="s">
        <v>1625</v>
      </c>
      <c r="J862" s="387">
        <v>1</v>
      </c>
      <c r="K862" s="385" t="s">
        <v>1496</v>
      </c>
    </row>
    <row r="863" spans="1:11" ht="15.75" hidden="1">
      <c r="A863" s="384">
        <v>44294</v>
      </c>
      <c r="B863" s="385" t="s">
        <v>2182</v>
      </c>
      <c r="C863" s="385" t="s">
        <v>2805</v>
      </c>
      <c r="D863" s="385" t="s">
        <v>75</v>
      </c>
      <c r="E863" s="462">
        <v>1500000</v>
      </c>
      <c r="F863" s="465" t="s">
        <v>2292</v>
      </c>
      <c r="G863" s="465" t="s">
        <v>2741</v>
      </c>
      <c r="H863" s="387" t="s">
        <v>1625</v>
      </c>
      <c r="I863" s="387" t="s">
        <v>1625</v>
      </c>
      <c r="J863" s="387">
        <v>1</v>
      </c>
      <c r="K863" s="385" t="s">
        <v>1496</v>
      </c>
    </row>
    <row r="864" spans="1:11" ht="15.75" hidden="1">
      <c r="A864" s="384">
        <v>44294</v>
      </c>
      <c r="B864" s="385" t="s">
        <v>2182</v>
      </c>
      <c r="C864" s="385" t="s">
        <v>2806</v>
      </c>
      <c r="D864" s="385" t="s">
        <v>75</v>
      </c>
      <c r="E864" s="462">
        <v>1500000</v>
      </c>
      <c r="F864" s="465" t="s">
        <v>2292</v>
      </c>
      <c r="G864" s="465" t="s">
        <v>2741</v>
      </c>
      <c r="H864" s="387" t="s">
        <v>1625</v>
      </c>
      <c r="I864" s="387" t="s">
        <v>1625</v>
      </c>
      <c r="J864" s="387">
        <v>1</v>
      </c>
      <c r="K864" s="385" t="s">
        <v>1499</v>
      </c>
    </row>
    <row r="865" spans="1:11" ht="15.75" hidden="1">
      <c r="A865" s="393">
        <v>44355</v>
      </c>
      <c r="B865" s="381" t="s">
        <v>2182</v>
      </c>
      <c r="C865" s="381" t="s">
        <v>2807</v>
      </c>
      <c r="D865" s="381" t="s">
        <v>2700</v>
      </c>
      <c r="E865" s="451">
        <v>1250000</v>
      </c>
      <c r="F865" s="275" t="s">
        <v>2292</v>
      </c>
      <c r="G865" s="275" t="s">
        <v>2625</v>
      </c>
      <c r="H865" s="383" t="s">
        <v>1625</v>
      </c>
      <c r="I865" s="383" t="s">
        <v>1625</v>
      </c>
      <c r="J865" s="383">
        <v>1</v>
      </c>
      <c r="K865" s="381" t="s">
        <v>1499</v>
      </c>
    </row>
    <row r="866" spans="1:11" ht="15.75" hidden="1">
      <c r="A866" s="405">
        <v>44447</v>
      </c>
      <c r="B866" s="385" t="s">
        <v>2182</v>
      </c>
      <c r="C866" s="385" t="s">
        <v>1976</v>
      </c>
      <c r="D866" s="385" t="s">
        <v>75</v>
      </c>
      <c r="E866" s="490">
        <v>1600000</v>
      </c>
      <c r="F866" s="491" t="s">
        <v>2292</v>
      </c>
      <c r="G866" s="491" t="s">
        <v>2741</v>
      </c>
      <c r="H866" s="408" t="s">
        <v>1625</v>
      </c>
      <c r="I866" s="408" t="s">
        <v>1625</v>
      </c>
      <c r="J866" s="408">
        <v>1</v>
      </c>
      <c r="K866" s="406" t="s">
        <v>1499</v>
      </c>
    </row>
    <row r="867" spans="1:11" ht="15.75" hidden="1">
      <c r="A867" s="579">
        <v>44447</v>
      </c>
      <c r="B867" s="381" t="s">
        <v>2182</v>
      </c>
      <c r="C867" s="381" t="s">
        <v>2808</v>
      </c>
      <c r="D867" s="381" t="s">
        <v>2326</v>
      </c>
      <c r="E867" s="580">
        <v>850000</v>
      </c>
      <c r="F867" s="491" t="s">
        <v>2292</v>
      </c>
      <c r="G867" s="491" t="s">
        <v>2809</v>
      </c>
      <c r="H867" s="408" t="s">
        <v>1625</v>
      </c>
      <c r="I867" s="408" t="s">
        <v>1625</v>
      </c>
      <c r="J867" s="408">
        <v>1</v>
      </c>
      <c r="K867" s="406" t="s">
        <v>1496</v>
      </c>
    </row>
    <row r="868" spans="1:11" ht="15.75" hidden="1">
      <c r="A868" s="405">
        <v>44477</v>
      </c>
      <c r="B868" s="406" t="s">
        <v>2182</v>
      </c>
      <c r="C868" s="406" t="s">
        <v>2810</v>
      </c>
      <c r="D868" s="406" t="s">
        <v>75</v>
      </c>
      <c r="E868" s="490">
        <v>1550000</v>
      </c>
      <c r="F868" s="491" t="s">
        <v>2292</v>
      </c>
      <c r="G868" s="491" t="s">
        <v>2625</v>
      </c>
      <c r="H868" s="408" t="s">
        <v>1625</v>
      </c>
      <c r="I868" s="408" t="s">
        <v>1625</v>
      </c>
      <c r="J868" s="408">
        <v>1</v>
      </c>
      <c r="K868" s="406" t="s">
        <v>1496</v>
      </c>
    </row>
    <row r="869" spans="1:11" ht="15.75" hidden="1">
      <c r="A869" s="405">
        <v>44477</v>
      </c>
      <c r="B869" s="406" t="s">
        <v>2182</v>
      </c>
      <c r="C869" s="406" t="s">
        <v>2811</v>
      </c>
      <c r="D869" s="406" t="s">
        <v>75</v>
      </c>
      <c r="E869" s="490">
        <v>1550000</v>
      </c>
      <c r="F869" s="491" t="s">
        <v>2292</v>
      </c>
      <c r="G869" s="491" t="s">
        <v>2625</v>
      </c>
      <c r="H869" s="408" t="s">
        <v>1625</v>
      </c>
      <c r="I869" s="408" t="s">
        <v>1625</v>
      </c>
      <c r="J869" s="408">
        <v>1</v>
      </c>
      <c r="K869" s="406" t="s">
        <v>1499</v>
      </c>
    </row>
    <row r="870" spans="1:11" ht="15.75" hidden="1">
      <c r="A870" s="405">
        <v>44477</v>
      </c>
      <c r="B870" s="406" t="s">
        <v>1966</v>
      </c>
      <c r="C870" s="406" t="s">
        <v>2812</v>
      </c>
      <c r="D870" s="406" t="s">
        <v>2326</v>
      </c>
      <c r="E870" s="490">
        <v>5000000</v>
      </c>
      <c r="F870" s="491" t="s">
        <v>2213</v>
      </c>
      <c r="G870" s="491" t="s">
        <v>2741</v>
      </c>
      <c r="H870" s="408" t="s">
        <v>1955</v>
      </c>
      <c r="I870" s="408" t="s">
        <v>1625</v>
      </c>
      <c r="J870" s="408">
        <v>1</v>
      </c>
      <c r="K870" s="406" t="s">
        <v>1496</v>
      </c>
    </row>
    <row r="871" spans="1:11" ht="15.75" hidden="1">
      <c r="A871" s="405" t="s">
        <v>2785</v>
      </c>
      <c r="B871" s="406" t="s">
        <v>2182</v>
      </c>
      <c r="C871" s="406" t="s">
        <v>2786</v>
      </c>
      <c r="D871" s="406" t="s">
        <v>2326</v>
      </c>
      <c r="E871" s="490">
        <v>920000</v>
      </c>
      <c r="F871" s="491" t="s">
        <v>2292</v>
      </c>
      <c r="G871" s="491" t="s">
        <v>2741</v>
      </c>
      <c r="H871" s="408" t="s">
        <v>2161</v>
      </c>
      <c r="I871" s="408" t="s">
        <v>1625</v>
      </c>
      <c r="J871" s="408">
        <v>1</v>
      </c>
      <c r="K871" s="406" t="s">
        <v>1496</v>
      </c>
    </row>
    <row r="872" spans="1:11" ht="15.75" hidden="1">
      <c r="A872" s="405" t="s">
        <v>2785</v>
      </c>
      <c r="B872" s="406" t="s">
        <v>2182</v>
      </c>
      <c r="C872" s="406" t="s">
        <v>2813</v>
      </c>
      <c r="D872" s="406" t="s">
        <v>75</v>
      </c>
      <c r="E872" s="490">
        <v>1800000</v>
      </c>
      <c r="F872" s="491" t="s">
        <v>2292</v>
      </c>
      <c r="G872" s="491" t="s">
        <v>2741</v>
      </c>
      <c r="H872" s="408" t="s">
        <v>2161</v>
      </c>
      <c r="I872" s="408" t="s">
        <v>1625</v>
      </c>
      <c r="J872" s="408">
        <v>1</v>
      </c>
      <c r="K872" s="406" t="s">
        <v>1496</v>
      </c>
    </row>
    <row r="873" spans="1:11" ht="15.75" hidden="1">
      <c r="A873" s="405" t="s">
        <v>2785</v>
      </c>
      <c r="B873" s="406" t="s">
        <v>2182</v>
      </c>
      <c r="C873" s="406" t="s">
        <v>2814</v>
      </c>
      <c r="D873" s="406" t="s">
        <v>2394</v>
      </c>
      <c r="E873" s="490">
        <v>1000000</v>
      </c>
      <c r="F873" s="491" t="s">
        <v>2292</v>
      </c>
      <c r="G873" s="491" t="s">
        <v>30</v>
      </c>
      <c r="H873" s="408" t="s">
        <v>1625</v>
      </c>
      <c r="I873" s="408" t="s">
        <v>1625</v>
      </c>
      <c r="J873" s="408">
        <v>1</v>
      </c>
      <c r="K873" s="406" t="s">
        <v>1499</v>
      </c>
    </row>
    <row r="874" spans="1:11" ht="15.75" hidden="1">
      <c r="A874" s="405" t="s">
        <v>2788</v>
      </c>
      <c r="B874" s="406" t="s">
        <v>2182</v>
      </c>
      <c r="C874" s="406" t="s">
        <v>2815</v>
      </c>
      <c r="D874" s="406" t="s">
        <v>75</v>
      </c>
      <c r="E874" s="490">
        <v>1100000</v>
      </c>
      <c r="F874" s="491" t="s">
        <v>2292</v>
      </c>
      <c r="G874" s="491" t="s">
        <v>2741</v>
      </c>
      <c r="H874" s="408" t="s">
        <v>2161</v>
      </c>
      <c r="I874" s="408" t="s">
        <v>1625</v>
      </c>
      <c r="J874" s="408">
        <v>1</v>
      </c>
      <c r="K874" s="406" t="s">
        <v>1496</v>
      </c>
    </row>
    <row r="875" spans="1:11" ht="15.75" hidden="1">
      <c r="A875" s="405" t="s">
        <v>2788</v>
      </c>
      <c r="B875" s="406" t="s">
        <v>2182</v>
      </c>
      <c r="C875" s="406" t="s">
        <v>526</v>
      </c>
      <c r="D875" s="406" t="s">
        <v>2816</v>
      </c>
      <c r="E875" s="490">
        <v>1600000</v>
      </c>
      <c r="F875" s="491" t="s">
        <v>2292</v>
      </c>
      <c r="G875" s="491" t="s">
        <v>2625</v>
      </c>
      <c r="H875" s="408" t="s">
        <v>1625</v>
      </c>
      <c r="I875" s="408" t="s">
        <v>1625</v>
      </c>
      <c r="J875" s="408">
        <v>1</v>
      </c>
      <c r="K875" s="406" t="s">
        <v>1499</v>
      </c>
    </row>
    <row r="876" spans="1:11" ht="15.75" hidden="1">
      <c r="A876" s="405" t="s">
        <v>2788</v>
      </c>
      <c r="B876" s="406" t="s">
        <v>2182</v>
      </c>
      <c r="C876" s="406" t="s">
        <v>2817</v>
      </c>
      <c r="D876" s="406" t="s">
        <v>75</v>
      </c>
      <c r="E876" s="490">
        <v>1350000</v>
      </c>
      <c r="F876" s="491" t="s">
        <v>2213</v>
      </c>
      <c r="G876" s="491" t="s">
        <v>2741</v>
      </c>
      <c r="H876" s="408" t="s">
        <v>1625</v>
      </c>
      <c r="I876" s="408" t="s">
        <v>1625</v>
      </c>
      <c r="J876" s="408">
        <v>1</v>
      </c>
      <c r="K876" s="406" t="s">
        <v>1499</v>
      </c>
    </row>
    <row r="877" spans="1:11" ht="15.75" hidden="1">
      <c r="A877" s="405" t="s">
        <v>2788</v>
      </c>
      <c r="B877" s="406" t="s">
        <v>2182</v>
      </c>
      <c r="C877" s="406" t="s">
        <v>871</v>
      </c>
      <c r="D877" s="406" t="s">
        <v>2559</v>
      </c>
      <c r="E877" s="490">
        <v>1000000</v>
      </c>
      <c r="F877" s="491" t="s">
        <v>2213</v>
      </c>
      <c r="G877" s="491" t="s">
        <v>30</v>
      </c>
      <c r="H877" s="408" t="s">
        <v>2161</v>
      </c>
      <c r="I877" s="408" t="s">
        <v>1625</v>
      </c>
      <c r="J877" s="408">
        <v>1</v>
      </c>
      <c r="K877" s="406" t="s">
        <v>1499</v>
      </c>
    </row>
    <row r="878" spans="1:11" ht="15.75" hidden="1">
      <c r="A878" s="405" t="s">
        <v>2818</v>
      </c>
      <c r="B878" s="406" t="s">
        <v>2182</v>
      </c>
      <c r="C878" s="406" t="s">
        <v>1556</v>
      </c>
      <c r="D878" s="406" t="s">
        <v>2711</v>
      </c>
      <c r="E878" s="490">
        <v>1200000</v>
      </c>
      <c r="F878" s="491" t="s">
        <v>2292</v>
      </c>
      <c r="G878" s="491" t="s">
        <v>30</v>
      </c>
      <c r="H878" s="408" t="s">
        <v>2161</v>
      </c>
      <c r="I878" s="408" t="s">
        <v>1625</v>
      </c>
      <c r="J878" s="408">
        <v>1</v>
      </c>
      <c r="K878" s="406" t="s">
        <v>1496</v>
      </c>
    </row>
    <row r="879" spans="1:11" ht="15.75" hidden="1">
      <c r="A879" s="405" t="s">
        <v>2818</v>
      </c>
      <c r="B879" s="406" t="s">
        <v>1966</v>
      </c>
      <c r="C879" s="406" t="s">
        <v>2819</v>
      </c>
      <c r="D879" s="406" t="s">
        <v>75</v>
      </c>
      <c r="E879" s="490">
        <v>1000000</v>
      </c>
      <c r="F879" s="491" t="s">
        <v>2292</v>
      </c>
      <c r="G879" s="491" t="s">
        <v>2593</v>
      </c>
      <c r="H879" s="408" t="s">
        <v>1625</v>
      </c>
      <c r="I879" s="408" t="s">
        <v>1625</v>
      </c>
      <c r="J879" s="408">
        <v>1</v>
      </c>
      <c r="K879" s="406" t="s">
        <v>1496</v>
      </c>
    </row>
    <row r="880" spans="1:11" ht="15.75" hidden="1">
      <c r="A880" s="419"/>
      <c r="B880" s="420"/>
      <c r="C880" s="420"/>
      <c r="D880" s="420"/>
      <c r="E880" s="463"/>
      <c r="F880" s="466"/>
      <c r="G880" s="466"/>
      <c r="H880" s="422"/>
      <c r="I880" s="422"/>
      <c r="J880" s="492">
        <f>SUM(J846:J879)</f>
        <v>34</v>
      </c>
      <c r="K880" s="420"/>
    </row>
    <row r="881" spans="1:11" ht="15.75" hidden="1">
      <c r="A881" s="394"/>
      <c r="B881" s="395"/>
      <c r="C881" s="395"/>
      <c r="D881" s="395"/>
      <c r="E881" s="396"/>
      <c r="F881" s="397"/>
      <c r="G881" s="397"/>
      <c r="H881" s="397"/>
      <c r="I881" s="395"/>
      <c r="J881" s="395"/>
      <c r="K881" s="395"/>
    </row>
    <row r="882" spans="1:11" ht="26.25" hidden="1">
      <c r="A882" s="1667" t="s">
        <v>2820</v>
      </c>
      <c r="B882" s="1667"/>
      <c r="C882" s="1667"/>
      <c r="D882" s="1667"/>
      <c r="E882" s="1667"/>
      <c r="F882" s="1667"/>
      <c r="G882" s="1667"/>
      <c r="H882" s="1667"/>
      <c r="I882" s="1667"/>
      <c r="J882" s="1667"/>
      <c r="K882" s="1667"/>
    </row>
    <row r="883" spans="1:11" ht="31.5" hidden="1">
      <c r="A883" s="375" t="s">
        <v>1941</v>
      </c>
      <c r="B883" s="378" t="s">
        <v>1942</v>
      </c>
      <c r="C883" s="378" t="s">
        <v>1943</v>
      </c>
      <c r="D883" s="378" t="s">
        <v>1944</v>
      </c>
      <c r="E883" s="452" t="s">
        <v>1945</v>
      </c>
      <c r="F883" s="378" t="s">
        <v>1946</v>
      </c>
      <c r="G883" s="378" t="s">
        <v>2590</v>
      </c>
      <c r="H883" s="378" t="s">
        <v>1947</v>
      </c>
      <c r="I883" s="378" t="s">
        <v>1948</v>
      </c>
      <c r="J883" s="453" t="s">
        <v>1949</v>
      </c>
      <c r="K883" s="378" t="s">
        <v>1950</v>
      </c>
    </row>
    <row r="884" spans="1:11" ht="15.75" hidden="1">
      <c r="A884" s="474">
        <v>44324</v>
      </c>
      <c r="B884" s="472" t="s">
        <v>2182</v>
      </c>
      <c r="C884" s="472" t="s">
        <v>2821</v>
      </c>
      <c r="D884" s="472" t="s">
        <v>2580</v>
      </c>
      <c r="E884" s="475">
        <v>249000000</v>
      </c>
      <c r="F884" s="472" t="s">
        <v>2213</v>
      </c>
      <c r="G884" s="472" t="s">
        <v>2625</v>
      </c>
      <c r="H884" s="473" t="s">
        <v>1955</v>
      </c>
      <c r="I884" s="473" t="s">
        <v>1625</v>
      </c>
      <c r="J884" s="473">
        <v>1</v>
      </c>
      <c r="K884" s="472" t="s">
        <v>2482</v>
      </c>
    </row>
    <row r="885" spans="1:11" ht="15.75" hidden="1">
      <c r="A885" s="474" t="s">
        <v>2789</v>
      </c>
      <c r="B885" s="455" t="s">
        <v>2182</v>
      </c>
      <c r="C885" s="455" t="s">
        <v>2822</v>
      </c>
      <c r="D885" s="455" t="s">
        <v>75</v>
      </c>
      <c r="E885" s="461">
        <v>360000000</v>
      </c>
      <c r="F885" s="455" t="s">
        <v>2292</v>
      </c>
      <c r="G885" s="455" t="s">
        <v>2625</v>
      </c>
      <c r="H885" s="460" t="s">
        <v>2161</v>
      </c>
      <c r="I885" s="460" t="s">
        <v>1625</v>
      </c>
      <c r="J885" s="460">
        <v>1</v>
      </c>
      <c r="K885" s="455" t="s">
        <v>2482</v>
      </c>
    </row>
    <row r="886" spans="1:11" ht="15.75" hidden="1">
      <c r="A886" s="507" t="s">
        <v>2789</v>
      </c>
      <c r="B886" s="459" t="s">
        <v>2182</v>
      </c>
      <c r="C886" s="455" t="s">
        <v>2823</v>
      </c>
      <c r="D886" s="455" t="s">
        <v>2326</v>
      </c>
      <c r="E886" s="461">
        <v>145000000</v>
      </c>
      <c r="F886" s="455" t="s">
        <v>2213</v>
      </c>
      <c r="G886" s="455" t="s">
        <v>2605</v>
      </c>
      <c r="H886" s="460" t="s">
        <v>1625</v>
      </c>
      <c r="I886" s="460" t="s">
        <v>1625</v>
      </c>
      <c r="J886" s="460">
        <v>1</v>
      </c>
      <c r="K886" s="455" t="s">
        <v>2482</v>
      </c>
    </row>
    <row r="887" spans="1:11" ht="15.75" hidden="1">
      <c r="A887" s="412" t="s">
        <v>2753</v>
      </c>
      <c r="B887" s="426" t="s">
        <v>2182</v>
      </c>
      <c r="C887" s="385" t="s">
        <v>2824</v>
      </c>
      <c r="D887" s="385" t="s">
        <v>2825</v>
      </c>
      <c r="E887" s="462">
        <v>1750000</v>
      </c>
      <c r="F887" s="385" t="s">
        <v>2213</v>
      </c>
      <c r="G887" s="385" t="s">
        <v>2625</v>
      </c>
      <c r="H887" s="387" t="s">
        <v>1625</v>
      </c>
      <c r="I887" s="387" t="s">
        <v>1625</v>
      </c>
      <c r="J887" s="387">
        <v>1</v>
      </c>
      <c r="K887" s="385" t="s">
        <v>1496</v>
      </c>
    </row>
    <row r="888" spans="1:11" ht="15.75" hidden="1">
      <c r="A888" s="479" t="s">
        <v>2796</v>
      </c>
      <c r="B888" s="381" t="s">
        <v>2182</v>
      </c>
      <c r="C888" s="381" t="s">
        <v>2826</v>
      </c>
      <c r="D888" s="381" t="s">
        <v>2700</v>
      </c>
      <c r="E888" s="451">
        <v>1200000</v>
      </c>
      <c r="F888" s="381" t="s">
        <v>2292</v>
      </c>
      <c r="G888" s="381" t="s">
        <v>2625</v>
      </c>
      <c r="H888" s="383" t="s">
        <v>1625</v>
      </c>
      <c r="I888" s="383" t="s">
        <v>1625</v>
      </c>
      <c r="J888" s="383">
        <v>1</v>
      </c>
      <c r="K888" s="381" t="s">
        <v>1499</v>
      </c>
    </row>
    <row r="889" spans="1:11" ht="15.75" hidden="1">
      <c r="A889" s="481" t="s">
        <v>2796</v>
      </c>
      <c r="B889" s="482" t="s">
        <v>2182</v>
      </c>
      <c r="C889" s="482" t="s">
        <v>2827</v>
      </c>
      <c r="D889" s="482" t="s">
        <v>2700</v>
      </c>
      <c r="E889" s="483">
        <v>1300000</v>
      </c>
      <c r="F889" s="482" t="s">
        <v>2292</v>
      </c>
      <c r="G889" s="482" t="s">
        <v>2625</v>
      </c>
      <c r="H889" s="484" t="s">
        <v>1625</v>
      </c>
      <c r="I889" s="484" t="s">
        <v>1625</v>
      </c>
      <c r="J889" s="484">
        <v>1</v>
      </c>
      <c r="K889" s="482" t="s">
        <v>1499</v>
      </c>
    </row>
    <row r="890" spans="1:11" ht="15.75" hidden="1">
      <c r="A890" s="443" t="s">
        <v>2828</v>
      </c>
      <c r="B890" s="381" t="s">
        <v>2182</v>
      </c>
      <c r="C890" s="381" t="s">
        <v>2829</v>
      </c>
      <c r="D890" s="381" t="s">
        <v>2506</v>
      </c>
      <c r="E890" s="451">
        <v>1250000</v>
      </c>
      <c r="F890" s="381" t="s">
        <v>2292</v>
      </c>
      <c r="G890" s="381" t="s">
        <v>2625</v>
      </c>
      <c r="H890" s="383" t="s">
        <v>1625</v>
      </c>
      <c r="I890" s="383" t="s">
        <v>1625</v>
      </c>
      <c r="J890" s="383">
        <v>1</v>
      </c>
      <c r="K890" s="381" t="s">
        <v>1499</v>
      </c>
    </row>
    <row r="891" spans="1:11" ht="15.75" hidden="1">
      <c r="A891" s="412">
        <v>44235</v>
      </c>
      <c r="B891" s="411" t="s">
        <v>2182</v>
      </c>
      <c r="C891" s="381" t="s">
        <v>2830</v>
      </c>
      <c r="D891" s="381" t="s">
        <v>2831</v>
      </c>
      <c r="E891" s="451">
        <v>900000</v>
      </c>
      <c r="F891" s="381" t="s">
        <v>2213</v>
      </c>
      <c r="G891" s="381" t="s">
        <v>2741</v>
      </c>
      <c r="H891" s="383" t="s">
        <v>1625</v>
      </c>
      <c r="I891" s="383" t="s">
        <v>1625</v>
      </c>
      <c r="J891" s="383">
        <v>1</v>
      </c>
      <c r="K891" s="381" t="s">
        <v>1499</v>
      </c>
    </row>
    <row r="892" spans="1:11" ht="15.75" hidden="1">
      <c r="A892" s="412">
        <v>44263</v>
      </c>
      <c r="B892" s="411" t="s">
        <v>2182</v>
      </c>
      <c r="C892" s="381" t="s">
        <v>2832</v>
      </c>
      <c r="D892" s="381" t="s">
        <v>2506</v>
      </c>
      <c r="E892" s="451">
        <v>1700000</v>
      </c>
      <c r="F892" s="381" t="s">
        <v>2292</v>
      </c>
      <c r="G892" s="381" t="s">
        <v>2625</v>
      </c>
      <c r="H892" s="383" t="s">
        <v>1625</v>
      </c>
      <c r="I892" s="383" t="s">
        <v>1625</v>
      </c>
      <c r="J892" s="383">
        <v>1</v>
      </c>
      <c r="K892" s="381" t="s">
        <v>1496</v>
      </c>
    </row>
    <row r="893" spans="1:11" ht="15.75" hidden="1">
      <c r="A893" s="393">
        <v>44263</v>
      </c>
      <c r="B893" s="381" t="s">
        <v>2182</v>
      </c>
      <c r="C893" s="381" t="s">
        <v>2833</v>
      </c>
      <c r="D893" s="381" t="s">
        <v>2506</v>
      </c>
      <c r="E893" s="451">
        <v>1200000</v>
      </c>
      <c r="F893" s="381" t="s">
        <v>2306</v>
      </c>
      <c r="G893" s="381" t="s">
        <v>2625</v>
      </c>
      <c r="H893" s="383" t="s">
        <v>1625</v>
      </c>
      <c r="I893" s="383" t="s">
        <v>1625</v>
      </c>
      <c r="J893" s="383">
        <v>1</v>
      </c>
      <c r="K893" s="381" t="s">
        <v>1499</v>
      </c>
    </row>
    <row r="894" spans="1:11" ht="15.75" hidden="1">
      <c r="A894" s="393">
        <v>44294</v>
      </c>
      <c r="B894" s="381" t="s">
        <v>2182</v>
      </c>
      <c r="C894" s="381" t="s">
        <v>413</v>
      </c>
      <c r="D894" s="381" t="s">
        <v>2347</v>
      </c>
      <c r="E894" s="451">
        <v>1350000</v>
      </c>
      <c r="F894" s="381" t="s">
        <v>2292</v>
      </c>
      <c r="G894" s="381" t="s">
        <v>2741</v>
      </c>
      <c r="H894" s="383" t="s">
        <v>1625</v>
      </c>
      <c r="I894" s="383" t="s">
        <v>1625</v>
      </c>
      <c r="J894" s="383">
        <v>1</v>
      </c>
      <c r="K894" s="381" t="s">
        <v>1499</v>
      </c>
    </row>
    <row r="895" spans="1:11" ht="15.75" hidden="1">
      <c r="A895" s="393">
        <v>44538</v>
      </c>
      <c r="B895" s="381" t="s">
        <v>2182</v>
      </c>
      <c r="C895" s="381" t="s">
        <v>2834</v>
      </c>
      <c r="D895" s="381" t="s">
        <v>2502</v>
      </c>
      <c r="E895" s="451">
        <v>1250000</v>
      </c>
      <c r="F895" s="381" t="s">
        <v>2292</v>
      </c>
      <c r="G895" s="381" t="s">
        <v>2625</v>
      </c>
      <c r="H895" s="383" t="s">
        <v>1625</v>
      </c>
      <c r="I895" s="383" t="s">
        <v>1625</v>
      </c>
      <c r="J895" s="383">
        <v>1</v>
      </c>
      <c r="K895" s="381" t="s">
        <v>1496</v>
      </c>
    </row>
    <row r="896" spans="1:11" ht="15.75" hidden="1">
      <c r="A896" s="393">
        <v>44538</v>
      </c>
      <c r="B896" s="381" t="s">
        <v>1966</v>
      </c>
      <c r="C896" s="381" t="s">
        <v>2835</v>
      </c>
      <c r="D896" s="381" t="s">
        <v>2502</v>
      </c>
      <c r="E896" s="451">
        <v>2700000</v>
      </c>
      <c r="F896" s="381" t="s">
        <v>2292</v>
      </c>
      <c r="G896" s="381" t="s">
        <v>2625</v>
      </c>
      <c r="H896" s="383" t="s">
        <v>1625</v>
      </c>
      <c r="I896" s="383" t="s">
        <v>1625</v>
      </c>
      <c r="J896" s="383">
        <v>1</v>
      </c>
      <c r="K896" s="381" t="s">
        <v>1499</v>
      </c>
    </row>
    <row r="897" spans="1:11" ht="15.75" hidden="1">
      <c r="A897" s="393" t="s">
        <v>2836</v>
      </c>
      <c r="B897" s="381" t="s">
        <v>2182</v>
      </c>
      <c r="C897" s="381" t="s">
        <v>2837</v>
      </c>
      <c r="D897" s="381" t="s">
        <v>75</v>
      </c>
      <c r="E897" s="451">
        <v>1350000</v>
      </c>
      <c r="F897" s="381" t="s">
        <v>2292</v>
      </c>
      <c r="G897" s="381" t="s">
        <v>2838</v>
      </c>
      <c r="H897" s="383" t="s">
        <v>1625</v>
      </c>
      <c r="I897" s="383" t="s">
        <v>1625</v>
      </c>
      <c r="J897" s="383">
        <v>1</v>
      </c>
      <c r="K897" s="381" t="s">
        <v>1499</v>
      </c>
    </row>
    <row r="898" spans="1:11" ht="15.75" hidden="1">
      <c r="A898" s="393" t="s">
        <v>2839</v>
      </c>
      <c r="B898" s="381" t="s">
        <v>1966</v>
      </c>
      <c r="C898" s="381" t="s">
        <v>2840</v>
      </c>
      <c r="D898" s="381" t="s">
        <v>2841</v>
      </c>
      <c r="E898" s="451">
        <v>1000000</v>
      </c>
      <c r="F898" s="381" t="s">
        <v>2213</v>
      </c>
      <c r="G898" s="381" t="s">
        <v>30</v>
      </c>
      <c r="H898" s="383" t="s">
        <v>1625</v>
      </c>
      <c r="I898" s="383" t="s">
        <v>1625</v>
      </c>
      <c r="J898" s="383">
        <v>1</v>
      </c>
      <c r="K898" s="381" t="s">
        <v>1496</v>
      </c>
    </row>
    <row r="899" spans="1:11" ht="15.75" hidden="1">
      <c r="A899" s="393" t="s">
        <v>2842</v>
      </c>
      <c r="B899" s="381" t="s">
        <v>2182</v>
      </c>
      <c r="C899" s="381" t="s">
        <v>2843</v>
      </c>
      <c r="D899" s="381" t="s">
        <v>2506</v>
      </c>
      <c r="E899" s="451">
        <v>1100000</v>
      </c>
      <c r="F899" s="381" t="s">
        <v>2292</v>
      </c>
      <c r="G899" s="381" t="s">
        <v>2741</v>
      </c>
      <c r="H899" s="383" t="s">
        <v>1625</v>
      </c>
      <c r="I899" s="383" t="s">
        <v>1625</v>
      </c>
      <c r="J899" s="383">
        <v>1</v>
      </c>
      <c r="K899" s="381" t="s">
        <v>1499</v>
      </c>
    </row>
    <row r="900" spans="1:11" ht="15.75" hidden="1">
      <c r="A900" s="393" t="s">
        <v>2842</v>
      </c>
      <c r="B900" s="381" t="s">
        <v>2182</v>
      </c>
      <c r="C900" s="381" t="s">
        <v>488</v>
      </c>
      <c r="D900" s="381" t="s">
        <v>2326</v>
      </c>
      <c r="E900" s="451">
        <v>800000</v>
      </c>
      <c r="F900" s="381" t="s">
        <v>2213</v>
      </c>
      <c r="G900" s="381" t="s">
        <v>2741</v>
      </c>
      <c r="H900" s="383" t="s">
        <v>1625</v>
      </c>
      <c r="I900" s="383" t="s">
        <v>1625</v>
      </c>
      <c r="J900" s="383">
        <v>1</v>
      </c>
      <c r="K900" s="381" t="s">
        <v>1496</v>
      </c>
    </row>
    <row r="901" spans="1:11" ht="15.75" hidden="1">
      <c r="A901" s="393" t="s">
        <v>2842</v>
      </c>
      <c r="B901" s="381" t="s">
        <v>2182</v>
      </c>
      <c r="C901" s="381" t="s">
        <v>2844</v>
      </c>
      <c r="D901" s="381" t="s">
        <v>2845</v>
      </c>
      <c r="E901" s="451">
        <v>1750000</v>
      </c>
      <c r="F901" s="381" t="s">
        <v>2292</v>
      </c>
      <c r="G901" s="381" t="s">
        <v>2625</v>
      </c>
      <c r="H901" s="383" t="s">
        <v>1625</v>
      </c>
      <c r="I901" s="383" t="s">
        <v>1625</v>
      </c>
      <c r="J901" s="383">
        <v>1</v>
      </c>
      <c r="K901" s="381" t="s">
        <v>1496</v>
      </c>
    </row>
    <row r="902" spans="1:11" ht="15.75" hidden="1">
      <c r="A902" s="393" t="s">
        <v>2846</v>
      </c>
      <c r="B902" s="381" t="s">
        <v>2182</v>
      </c>
      <c r="C902" s="381" t="s">
        <v>2847</v>
      </c>
      <c r="D902" s="381" t="s">
        <v>75</v>
      </c>
      <c r="E902" s="451">
        <v>1600000</v>
      </c>
      <c r="F902" s="381" t="s">
        <v>2605</v>
      </c>
      <c r="G902" s="381" t="s">
        <v>2741</v>
      </c>
      <c r="H902" s="383" t="s">
        <v>1625</v>
      </c>
      <c r="I902" s="383" t="s">
        <v>1625</v>
      </c>
      <c r="J902" s="383">
        <v>1</v>
      </c>
      <c r="K902" s="381" t="s">
        <v>1499</v>
      </c>
    </row>
    <row r="903" spans="1:11" ht="15.75" hidden="1">
      <c r="A903" s="393" t="s">
        <v>2846</v>
      </c>
      <c r="B903" s="381" t="s">
        <v>2182</v>
      </c>
      <c r="C903" s="381" t="s">
        <v>2848</v>
      </c>
      <c r="D903" s="381" t="s">
        <v>2849</v>
      </c>
      <c r="E903" s="451">
        <v>1000000</v>
      </c>
      <c r="F903" s="381" t="s">
        <v>2213</v>
      </c>
      <c r="G903" s="381" t="s">
        <v>2741</v>
      </c>
      <c r="H903" s="383" t="s">
        <v>1625</v>
      </c>
      <c r="I903" s="383" t="s">
        <v>1625</v>
      </c>
      <c r="J903" s="383">
        <v>1</v>
      </c>
      <c r="K903" s="381" t="s">
        <v>1496</v>
      </c>
    </row>
    <row r="904" spans="1:11" ht="15.75" hidden="1">
      <c r="A904" s="393" t="s">
        <v>2789</v>
      </c>
      <c r="B904" s="381" t="s">
        <v>2182</v>
      </c>
      <c r="C904" s="381" t="s">
        <v>2850</v>
      </c>
      <c r="D904" s="381" t="s">
        <v>2502</v>
      </c>
      <c r="E904" s="451">
        <v>1300000</v>
      </c>
      <c r="F904" s="381" t="s">
        <v>2292</v>
      </c>
      <c r="G904" s="381" t="s">
        <v>2793</v>
      </c>
      <c r="H904" s="383" t="s">
        <v>1625</v>
      </c>
      <c r="I904" s="383" t="s">
        <v>1625</v>
      </c>
      <c r="J904" s="383">
        <v>1</v>
      </c>
      <c r="K904" s="381" t="s">
        <v>2608</v>
      </c>
    </row>
    <row r="905" spans="1:11" ht="15.75" hidden="1">
      <c r="A905" s="393" t="s">
        <v>2789</v>
      </c>
      <c r="B905" s="381" t="s">
        <v>2182</v>
      </c>
      <c r="C905" s="381" t="s">
        <v>2851</v>
      </c>
      <c r="D905" s="381" t="s">
        <v>2502</v>
      </c>
      <c r="E905" s="451">
        <v>1300000</v>
      </c>
      <c r="F905" s="381" t="s">
        <v>2292</v>
      </c>
      <c r="G905" s="381" t="s">
        <v>2625</v>
      </c>
      <c r="H905" s="383" t="s">
        <v>1625</v>
      </c>
      <c r="I905" s="383" t="s">
        <v>1625</v>
      </c>
      <c r="J905" s="383">
        <v>1</v>
      </c>
      <c r="K905" s="381" t="s">
        <v>2852</v>
      </c>
    </row>
    <row r="906" spans="1:11" ht="15.75" hidden="1">
      <c r="A906" s="393" t="s">
        <v>2789</v>
      </c>
      <c r="B906" s="381" t="s">
        <v>2182</v>
      </c>
      <c r="C906" s="381" t="s">
        <v>2853</v>
      </c>
      <c r="D906" s="381" t="s">
        <v>2502</v>
      </c>
      <c r="E906" s="451">
        <v>1300000</v>
      </c>
      <c r="F906" s="381" t="s">
        <v>2306</v>
      </c>
      <c r="G906" s="381" t="s">
        <v>2793</v>
      </c>
      <c r="H906" s="383" t="s">
        <v>1625</v>
      </c>
      <c r="I906" s="383" t="s">
        <v>1625</v>
      </c>
      <c r="J906" s="383">
        <v>1</v>
      </c>
      <c r="K906" s="381" t="s">
        <v>2852</v>
      </c>
    </row>
    <row r="907" spans="1:11" ht="15.75" hidden="1">
      <c r="A907" s="393" t="s">
        <v>2789</v>
      </c>
      <c r="B907" s="381" t="s">
        <v>2182</v>
      </c>
      <c r="C907" s="381" t="s">
        <v>2854</v>
      </c>
      <c r="D907" s="381" t="s">
        <v>2502</v>
      </c>
      <c r="E907" s="451">
        <v>1300000</v>
      </c>
      <c r="F907" s="381" t="s">
        <v>2292</v>
      </c>
      <c r="G907" s="381" t="s">
        <v>2793</v>
      </c>
      <c r="H907" s="383" t="s">
        <v>1625</v>
      </c>
      <c r="I907" s="383" t="s">
        <v>1625</v>
      </c>
      <c r="J907" s="383">
        <v>1</v>
      </c>
      <c r="K907" s="381" t="s">
        <v>2852</v>
      </c>
    </row>
    <row r="908" spans="1:11" ht="15.75" hidden="1">
      <c r="A908" s="393" t="s">
        <v>2789</v>
      </c>
      <c r="B908" s="381" t="s">
        <v>2182</v>
      </c>
      <c r="C908" s="381" t="s">
        <v>2822</v>
      </c>
      <c r="D908" s="381" t="s">
        <v>75</v>
      </c>
      <c r="E908" s="451">
        <v>1800000</v>
      </c>
      <c r="F908" s="381" t="s">
        <v>2292</v>
      </c>
      <c r="G908" s="381" t="s">
        <v>2625</v>
      </c>
      <c r="H908" s="383" t="s">
        <v>1625</v>
      </c>
      <c r="I908" s="383" t="s">
        <v>1625</v>
      </c>
      <c r="J908" s="383">
        <v>1</v>
      </c>
      <c r="K908" s="381" t="s">
        <v>2608</v>
      </c>
    </row>
    <row r="909" spans="1:11" ht="15.75" hidden="1">
      <c r="A909" s="393" t="s">
        <v>2789</v>
      </c>
      <c r="B909" s="381" t="s">
        <v>2182</v>
      </c>
      <c r="C909" s="381" t="s">
        <v>2855</v>
      </c>
      <c r="D909" s="381" t="s">
        <v>75</v>
      </c>
      <c r="E909" s="451">
        <v>1600000</v>
      </c>
      <c r="F909" s="381" t="s">
        <v>2292</v>
      </c>
      <c r="G909" s="381" t="s">
        <v>2625</v>
      </c>
      <c r="H909" s="383" t="s">
        <v>1625</v>
      </c>
      <c r="I909" s="383" t="s">
        <v>1625</v>
      </c>
      <c r="J909" s="383">
        <v>1</v>
      </c>
      <c r="K909" s="381" t="s">
        <v>2852</v>
      </c>
    </row>
    <row r="910" spans="1:11" ht="15.75" hidden="1">
      <c r="A910" s="393" t="s">
        <v>2789</v>
      </c>
      <c r="B910" s="381" t="s">
        <v>2182</v>
      </c>
      <c r="C910" s="381" t="s">
        <v>2856</v>
      </c>
      <c r="D910" s="381" t="s">
        <v>75</v>
      </c>
      <c r="E910" s="451">
        <v>1200000</v>
      </c>
      <c r="F910" s="381" t="s">
        <v>2292</v>
      </c>
      <c r="G910" s="381" t="s">
        <v>2625</v>
      </c>
      <c r="H910" s="383" t="s">
        <v>1625</v>
      </c>
      <c r="I910" s="383" t="s">
        <v>1625</v>
      </c>
      <c r="J910" s="383">
        <v>1</v>
      </c>
      <c r="K910" s="381" t="s">
        <v>2852</v>
      </c>
    </row>
    <row r="911" spans="1:11" ht="15.75" hidden="1">
      <c r="A911" s="393" t="s">
        <v>2857</v>
      </c>
      <c r="B911" s="381" t="s">
        <v>2060</v>
      </c>
      <c r="C911" s="381" t="s">
        <v>2858</v>
      </c>
      <c r="D911" s="381" t="s">
        <v>2580</v>
      </c>
      <c r="E911" s="451">
        <v>1550000</v>
      </c>
      <c r="F911" s="381" t="s">
        <v>2213</v>
      </c>
      <c r="G911" s="381" t="s">
        <v>185</v>
      </c>
      <c r="H911" s="383" t="s">
        <v>1625</v>
      </c>
      <c r="I911" s="383" t="s">
        <v>1625</v>
      </c>
      <c r="J911" s="383">
        <v>1</v>
      </c>
      <c r="K911" s="381" t="s">
        <v>2852</v>
      </c>
    </row>
    <row r="912" spans="1:11" ht="15.75" hidden="1">
      <c r="A912" s="456"/>
      <c r="B912" s="457"/>
      <c r="C912" s="457"/>
      <c r="D912" s="457"/>
      <c r="E912" s="476"/>
      <c r="F912" s="457"/>
      <c r="G912" s="457"/>
      <c r="H912" s="153"/>
      <c r="I912" s="153"/>
      <c r="J912" s="493">
        <f>SUM(J884:J911)</f>
        <v>28</v>
      </c>
      <c r="K912" s="457"/>
    </row>
    <row r="913" spans="1:11" ht="15.75" hidden="1">
      <c r="A913" s="394"/>
      <c r="B913" s="395"/>
      <c r="C913" s="395"/>
      <c r="D913" s="395"/>
      <c r="E913" s="396"/>
      <c r="F913" s="397"/>
      <c r="G913" s="397"/>
      <c r="H913" s="395"/>
      <c r="I913" s="395"/>
      <c r="J913" s="395"/>
      <c r="K913" s="395"/>
    </row>
    <row r="914" spans="1:11" ht="26.25" hidden="1">
      <c r="A914" s="1667" t="s">
        <v>2859</v>
      </c>
      <c r="B914" s="1667"/>
      <c r="C914" s="1667"/>
      <c r="D914" s="1667"/>
      <c r="E914" s="1667"/>
      <c r="F914" s="1667"/>
      <c r="G914" s="1667"/>
      <c r="H914" s="1667"/>
      <c r="I914" s="1667"/>
      <c r="J914" s="1667"/>
      <c r="K914" s="1667"/>
    </row>
    <row r="915" spans="1:11" ht="31.5" hidden="1">
      <c r="A915" s="375" t="s">
        <v>1941</v>
      </c>
      <c r="B915" s="378" t="s">
        <v>1942</v>
      </c>
      <c r="C915" s="378" t="s">
        <v>1943</v>
      </c>
      <c r="D915" s="378" t="s">
        <v>1944</v>
      </c>
      <c r="E915" s="452" t="s">
        <v>1945</v>
      </c>
      <c r="F915" s="378" t="s">
        <v>1946</v>
      </c>
      <c r="G915" s="378" t="s">
        <v>2590</v>
      </c>
      <c r="H915" s="378" t="s">
        <v>1947</v>
      </c>
      <c r="I915" s="378" t="s">
        <v>1948</v>
      </c>
      <c r="J915" s="453" t="s">
        <v>1949</v>
      </c>
      <c r="K915" s="378" t="s">
        <v>1950</v>
      </c>
    </row>
    <row r="916" spans="1:11" ht="15.75" hidden="1">
      <c r="A916" s="474" t="s">
        <v>2796</v>
      </c>
      <c r="B916" s="472" t="s">
        <v>2182</v>
      </c>
      <c r="C916" s="472" t="s">
        <v>2860</v>
      </c>
      <c r="D916" s="472" t="s">
        <v>2506</v>
      </c>
      <c r="E916" s="475">
        <v>299000000</v>
      </c>
      <c r="F916" s="472" t="s">
        <v>2213</v>
      </c>
      <c r="G916" s="472" t="s">
        <v>2593</v>
      </c>
      <c r="H916" s="473" t="s">
        <v>1955</v>
      </c>
      <c r="I916" s="473" t="s">
        <v>1625</v>
      </c>
      <c r="J916" s="473">
        <v>1</v>
      </c>
      <c r="K916" s="472" t="s">
        <v>2482</v>
      </c>
    </row>
    <row r="917" spans="1:11" ht="15.75" hidden="1">
      <c r="A917" s="474">
        <v>44447</v>
      </c>
      <c r="B917" s="472" t="s">
        <v>2182</v>
      </c>
      <c r="C917" s="472" t="s">
        <v>2861</v>
      </c>
      <c r="D917" s="472" t="s">
        <v>2573</v>
      </c>
      <c r="E917" s="475">
        <v>270000000</v>
      </c>
      <c r="F917" s="472" t="s">
        <v>2292</v>
      </c>
      <c r="G917" s="472" t="s">
        <v>2625</v>
      </c>
      <c r="H917" s="473" t="s">
        <v>1625</v>
      </c>
      <c r="I917" s="473" t="s">
        <v>1625</v>
      </c>
      <c r="J917" s="473">
        <v>1</v>
      </c>
      <c r="K917" s="472" t="s">
        <v>2482</v>
      </c>
    </row>
    <row r="918" spans="1:11" ht="15.75" hidden="1">
      <c r="A918" s="611" t="s">
        <v>2842</v>
      </c>
      <c r="B918" s="455" t="s">
        <v>2182</v>
      </c>
      <c r="C918" s="455" t="s">
        <v>281</v>
      </c>
      <c r="D918" s="455" t="s">
        <v>2862</v>
      </c>
      <c r="E918" s="461">
        <v>310000000</v>
      </c>
      <c r="F918" s="455" t="s">
        <v>2213</v>
      </c>
      <c r="G918" s="455" t="s">
        <v>2741</v>
      </c>
      <c r="H918" s="460" t="s">
        <v>1955</v>
      </c>
      <c r="I918" s="473" t="s">
        <v>1625</v>
      </c>
      <c r="J918" s="473">
        <v>1</v>
      </c>
      <c r="K918" s="472" t="s">
        <v>2482</v>
      </c>
    </row>
    <row r="919" spans="1:11" ht="15.75" hidden="1">
      <c r="A919" s="405" t="s">
        <v>2796</v>
      </c>
      <c r="B919" s="610" t="s">
        <v>2182</v>
      </c>
      <c r="C919" s="482" t="s">
        <v>2863</v>
      </c>
      <c r="D919" s="482" t="s">
        <v>2347</v>
      </c>
      <c r="E919" s="483">
        <v>1400000</v>
      </c>
      <c r="F919" s="482" t="s">
        <v>2292</v>
      </c>
      <c r="G919" s="482" t="s">
        <v>2625</v>
      </c>
      <c r="H919" s="484" t="s">
        <v>1625</v>
      </c>
      <c r="I919" s="387" t="s">
        <v>1625</v>
      </c>
      <c r="J919" s="387">
        <v>1</v>
      </c>
      <c r="K919" s="385" t="s">
        <v>1499</v>
      </c>
    </row>
    <row r="920" spans="1:11" ht="15.75" hidden="1">
      <c r="A920" s="405" t="s">
        <v>2796</v>
      </c>
      <c r="B920" s="426" t="s">
        <v>2182</v>
      </c>
      <c r="C920" s="385" t="s">
        <v>428</v>
      </c>
      <c r="D920" s="385" t="s">
        <v>2573</v>
      </c>
      <c r="E920" s="462">
        <v>1450000</v>
      </c>
      <c r="F920" s="385" t="s">
        <v>2292</v>
      </c>
      <c r="G920" s="385" t="s">
        <v>30</v>
      </c>
      <c r="H920" s="387" t="s">
        <v>1625</v>
      </c>
      <c r="I920" s="387" t="s">
        <v>1625</v>
      </c>
      <c r="J920" s="387">
        <v>1</v>
      </c>
      <c r="K920" s="385" t="s">
        <v>1496</v>
      </c>
    </row>
    <row r="921" spans="1:11" ht="15.75" hidden="1">
      <c r="A921" s="393">
        <v>44235</v>
      </c>
      <c r="B921" s="426" t="s">
        <v>2182</v>
      </c>
      <c r="C921" s="385" t="s">
        <v>2864</v>
      </c>
      <c r="D921" s="385" t="s">
        <v>2347</v>
      </c>
      <c r="E921" s="462">
        <v>1400000</v>
      </c>
      <c r="F921" s="385" t="s">
        <v>2292</v>
      </c>
      <c r="G921" s="385" t="s">
        <v>30</v>
      </c>
      <c r="H921" s="387" t="s">
        <v>1625</v>
      </c>
      <c r="I921" s="387" t="s">
        <v>1625</v>
      </c>
      <c r="J921" s="387">
        <v>1</v>
      </c>
      <c r="K921" s="385" t="s">
        <v>1496</v>
      </c>
    </row>
    <row r="922" spans="1:11" ht="15.75" hidden="1">
      <c r="A922" s="393">
        <v>44235</v>
      </c>
      <c r="B922" s="426" t="s">
        <v>2182</v>
      </c>
      <c r="C922" s="385" t="s">
        <v>433</v>
      </c>
      <c r="D922" s="385" t="s">
        <v>2573</v>
      </c>
      <c r="E922" s="462">
        <v>1400000</v>
      </c>
      <c r="F922" s="385" t="s">
        <v>2292</v>
      </c>
      <c r="G922" s="385" t="s">
        <v>2625</v>
      </c>
      <c r="H922" s="387" t="s">
        <v>1625</v>
      </c>
      <c r="I922" s="387" t="s">
        <v>1625</v>
      </c>
      <c r="J922" s="387">
        <v>1</v>
      </c>
      <c r="K922" s="385" t="s">
        <v>1499</v>
      </c>
    </row>
    <row r="923" spans="1:11" ht="15.75" hidden="1">
      <c r="A923" s="412">
        <v>44235</v>
      </c>
      <c r="B923" s="411" t="s">
        <v>2182</v>
      </c>
      <c r="C923" s="381" t="s">
        <v>447</v>
      </c>
      <c r="D923" s="381" t="s">
        <v>2347</v>
      </c>
      <c r="E923" s="451">
        <v>1300000</v>
      </c>
      <c r="F923" s="381" t="s">
        <v>2292</v>
      </c>
      <c r="G923" s="381" t="s">
        <v>2593</v>
      </c>
      <c r="H923" s="383" t="s">
        <v>1625</v>
      </c>
      <c r="I923" s="383" t="s">
        <v>1625</v>
      </c>
      <c r="J923" s="383">
        <v>1</v>
      </c>
      <c r="K923" s="381" t="s">
        <v>1496</v>
      </c>
    </row>
    <row r="924" spans="1:11" ht="15.75" hidden="1">
      <c r="A924" s="412">
        <v>44235</v>
      </c>
      <c r="B924" s="411" t="s">
        <v>2182</v>
      </c>
      <c r="C924" s="381" t="s">
        <v>2865</v>
      </c>
      <c r="D924" s="381" t="s">
        <v>2347</v>
      </c>
      <c r="E924" s="451">
        <v>1350000</v>
      </c>
      <c r="F924" s="381" t="s">
        <v>2292</v>
      </c>
      <c r="G924" s="381" t="s">
        <v>30</v>
      </c>
      <c r="H924" s="383" t="s">
        <v>1625</v>
      </c>
      <c r="I924" s="383" t="s">
        <v>1625</v>
      </c>
      <c r="J924" s="383">
        <v>1</v>
      </c>
      <c r="K924" s="381" t="s">
        <v>1499</v>
      </c>
    </row>
    <row r="925" spans="1:11" ht="15.75" hidden="1">
      <c r="A925" s="412">
        <v>44263</v>
      </c>
      <c r="B925" s="411" t="s">
        <v>2182</v>
      </c>
      <c r="C925" s="381" t="s">
        <v>442</v>
      </c>
      <c r="D925" s="381" t="s">
        <v>2347</v>
      </c>
      <c r="E925" s="451">
        <v>1400000</v>
      </c>
      <c r="F925" s="381" t="s">
        <v>2292</v>
      </c>
      <c r="G925" s="385" t="s">
        <v>30</v>
      </c>
      <c r="H925" s="387" t="s">
        <v>1625</v>
      </c>
      <c r="I925" s="383" t="s">
        <v>1625</v>
      </c>
      <c r="J925" s="383">
        <v>1</v>
      </c>
      <c r="K925" s="381" t="s">
        <v>1496</v>
      </c>
    </row>
    <row r="926" spans="1:11" ht="15.75" hidden="1">
      <c r="A926" s="479">
        <v>44324</v>
      </c>
      <c r="B926" s="411" t="s">
        <v>2182</v>
      </c>
      <c r="C926" s="381" t="s">
        <v>401</v>
      </c>
      <c r="D926" s="381" t="s">
        <v>2347</v>
      </c>
      <c r="E926" s="451">
        <v>1400000</v>
      </c>
      <c r="F926" s="575" t="s">
        <v>2292</v>
      </c>
      <c r="G926" s="381" t="s">
        <v>2625</v>
      </c>
      <c r="H926" s="530" t="s">
        <v>1625</v>
      </c>
      <c r="I926" s="531" t="s">
        <v>1625</v>
      </c>
      <c r="J926" s="383">
        <v>1</v>
      </c>
      <c r="K926" s="381" t="s">
        <v>1499</v>
      </c>
    </row>
    <row r="927" spans="1:11" ht="15.75" hidden="1">
      <c r="A927" s="412">
        <v>44324</v>
      </c>
      <c r="B927" s="411" t="s">
        <v>2182</v>
      </c>
      <c r="C927" s="381" t="s">
        <v>2866</v>
      </c>
      <c r="D927" s="381" t="s">
        <v>2347</v>
      </c>
      <c r="E927" s="451">
        <v>1350000</v>
      </c>
      <c r="F927" s="381" t="s">
        <v>2292</v>
      </c>
      <c r="G927" s="406" t="s">
        <v>2625</v>
      </c>
      <c r="H927" s="408" t="s">
        <v>1625</v>
      </c>
      <c r="I927" s="383" t="s">
        <v>1625</v>
      </c>
      <c r="J927" s="383">
        <v>1</v>
      </c>
      <c r="K927" s="381" t="s">
        <v>1496</v>
      </c>
    </row>
    <row r="928" spans="1:11" ht="15.75" hidden="1">
      <c r="A928" s="412">
        <v>44324</v>
      </c>
      <c r="B928" s="411" t="s">
        <v>2182</v>
      </c>
      <c r="C928" s="381" t="s">
        <v>982</v>
      </c>
      <c r="D928" s="381" t="s">
        <v>2347</v>
      </c>
      <c r="E928" s="451">
        <v>1400000</v>
      </c>
      <c r="F928" s="381" t="s">
        <v>2292</v>
      </c>
      <c r="G928" s="381" t="s">
        <v>30</v>
      </c>
      <c r="H928" s="383" t="s">
        <v>1625</v>
      </c>
      <c r="I928" s="383" t="s">
        <v>1625</v>
      </c>
      <c r="J928" s="383">
        <v>1</v>
      </c>
      <c r="K928" s="381" t="s">
        <v>1499</v>
      </c>
    </row>
    <row r="929" spans="1:11" ht="15.75" hidden="1">
      <c r="A929" s="412">
        <v>44324</v>
      </c>
      <c r="B929" s="411" t="s">
        <v>2182</v>
      </c>
      <c r="C929" s="381" t="s">
        <v>565</v>
      </c>
      <c r="D929" s="381" t="s">
        <v>2347</v>
      </c>
      <c r="E929" s="451">
        <v>1800000</v>
      </c>
      <c r="F929" s="381" t="s">
        <v>2292</v>
      </c>
      <c r="G929" s="381" t="s">
        <v>2625</v>
      </c>
      <c r="H929" s="383" t="s">
        <v>1625</v>
      </c>
      <c r="I929" s="383" t="s">
        <v>1625</v>
      </c>
      <c r="J929" s="383">
        <v>1</v>
      </c>
      <c r="K929" s="381" t="s">
        <v>1496</v>
      </c>
    </row>
    <row r="930" spans="1:11" ht="15.75" hidden="1">
      <c r="A930" s="393">
        <v>44355</v>
      </c>
      <c r="B930" s="381" t="s">
        <v>2182</v>
      </c>
      <c r="C930" s="381" t="s">
        <v>450</v>
      </c>
      <c r="D930" s="381" t="s">
        <v>2580</v>
      </c>
      <c r="E930" s="451">
        <v>1400000</v>
      </c>
      <c r="F930" s="381" t="s">
        <v>2292</v>
      </c>
      <c r="G930" s="381" t="s">
        <v>30</v>
      </c>
      <c r="H930" s="383" t="s">
        <v>1625</v>
      </c>
      <c r="I930" s="383" t="s">
        <v>1625</v>
      </c>
      <c r="J930" s="383">
        <v>1</v>
      </c>
      <c r="K930" s="381" t="s">
        <v>1496</v>
      </c>
    </row>
    <row r="931" spans="1:11" ht="15.75" hidden="1">
      <c r="A931" s="412">
        <v>44355</v>
      </c>
      <c r="B931" s="411" t="s">
        <v>2182</v>
      </c>
      <c r="C931" s="381" t="s">
        <v>2867</v>
      </c>
      <c r="D931" s="381" t="s">
        <v>2763</v>
      </c>
      <c r="E931" s="451">
        <v>1280000</v>
      </c>
      <c r="F931" s="381" t="s">
        <v>2213</v>
      </c>
      <c r="G931" s="381" t="s">
        <v>2741</v>
      </c>
      <c r="H931" s="383" t="s">
        <v>1955</v>
      </c>
      <c r="I931" s="383" t="s">
        <v>1625</v>
      </c>
      <c r="J931" s="383">
        <v>1</v>
      </c>
      <c r="K931" s="381" t="s">
        <v>1496</v>
      </c>
    </row>
    <row r="932" spans="1:11" ht="15.75" hidden="1">
      <c r="A932" s="384">
        <v>44355</v>
      </c>
      <c r="B932" s="385" t="s">
        <v>2182</v>
      </c>
      <c r="C932" s="385" t="s">
        <v>490</v>
      </c>
      <c r="D932" s="385" t="s">
        <v>2868</v>
      </c>
      <c r="E932" s="462">
        <v>1100000</v>
      </c>
      <c r="F932" s="385" t="s">
        <v>2306</v>
      </c>
      <c r="G932" s="385" t="s">
        <v>30</v>
      </c>
      <c r="H932" s="387" t="s">
        <v>1625</v>
      </c>
      <c r="I932" s="387" t="s">
        <v>1625</v>
      </c>
      <c r="J932" s="387">
        <v>1</v>
      </c>
      <c r="K932" s="385" t="s">
        <v>1499</v>
      </c>
    </row>
    <row r="933" spans="1:11" ht="15.75" hidden="1">
      <c r="A933" s="393">
        <v>44447</v>
      </c>
      <c r="B933" s="381" t="s">
        <v>2182</v>
      </c>
      <c r="C933" s="381" t="s">
        <v>2861</v>
      </c>
      <c r="D933" s="381" t="s">
        <v>2573</v>
      </c>
      <c r="E933" s="451">
        <v>1400000</v>
      </c>
      <c r="F933" s="381" t="s">
        <v>2292</v>
      </c>
      <c r="G933" s="381" t="s">
        <v>2625</v>
      </c>
      <c r="H933" s="383" t="s">
        <v>1625</v>
      </c>
      <c r="I933" s="383" t="s">
        <v>1625</v>
      </c>
      <c r="J933" s="383">
        <v>1</v>
      </c>
      <c r="K933" s="381" t="s">
        <v>1496</v>
      </c>
    </row>
    <row r="934" spans="1:11" ht="15.75" hidden="1">
      <c r="A934" s="393">
        <v>44477</v>
      </c>
      <c r="B934" s="381" t="s">
        <v>2182</v>
      </c>
      <c r="C934" s="381" t="s">
        <v>2869</v>
      </c>
      <c r="D934" s="381" t="s">
        <v>2580</v>
      </c>
      <c r="E934" s="451">
        <v>1100000</v>
      </c>
      <c r="F934" s="381" t="s">
        <v>2306</v>
      </c>
      <c r="G934" s="381" t="s">
        <v>2292</v>
      </c>
      <c r="H934" s="383" t="s">
        <v>1625</v>
      </c>
      <c r="I934" s="383" t="s">
        <v>1625</v>
      </c>
      <c r="J934" s="383">
        <v>1</v>
      </c>
      <c r="K934" s="381" t="s">
        <v>1499</v>
      </c>
    </row>
    <row r="935" spans="1:11" ht="15.75" hidden="1">
      <c r="A935" s="393">
        <v>44508</v>
      </c>
      <c r="B935" s="381" t="s">
        <v>2182</v>
      </c>
      <c r="C935" s="381" t="s">
        <v>489</v>
      </c>
      <c r="D935" s="381" t="s">
        <v>2580</v>
      </c>
      <c r="E935" s="451">
        <v>1450000</v>
      </c>
      <c r="F935" s="381" t="s">
        <v>2292</v>
      </c>
      <c r="G935" s="381" t="s">
        <v>30</v>
      </c>
      <c r="H935" s="383" t="s">
        <v>1625</v>
      </c>
      <c r="I935" s="383" t="s">
        <v>1625</v>
      </c>
      <c r="J935" s="383">
        <v>1</v>
      </c>
      <c r="K935" s="381" t="s">
        <v>1499</v>
      </c>
    </row>
    <row r="936" spans="1:11" ht="15.75" hidden="1">
      <c r="A936" s="393">
        <v>44538</v>
      </c>
      <c r="B936" s="381" t="s">
        <v>2182</v>
      </c>
      <c r="C936" s="381" t="s">
        <v>2870</v>
      </c>
      <c r="D936" s="381" t="s">
        <v>2580</v>
      </c>
      <c r="E936" s="451">
        <v>1400000</v>
      </c>
      <c r="F936" s="381" t="s">
        <v>2292</v>
      </c>
      <c r="G936" s="381" t="s">
        <v>2741</v>
      </c>
      <c r="H936" s="383" t="s">
        <v>1625</v>
      </c>
      <c r="I936" s="383" t="s">
        <v>1625</v>
      </c>
      <c r="J936" s="383">
        <v>1</v>
      </c>
      <c r="K936" s="381" t="s">
        <v>1499</v>
      </c>
    </row>
    <row r="937" spans="1:11" ht="15.75" hidden="1">
      <c r="A937" s="393">
        <v>44538</v>
      </c>
      <c r="B937" s="381" t="s">
        <v>2182</v>
      </c>
      <c r="C937" s="381" t="s">
        <v>492</v>
      </c>
      <c r="D937" s="381" t="s">
        <v>2868</v>
      </c>
      <c r="E937" s="451">
        <v>1300000</v>
      </c>
      <c r="F937" s="381" t="s">
        <v>2292</v>
      </c>
      <c r="G937" s="381" t="s">
        <v>2741</v>
      </c>
      <c r="H937" s="383" t="s">
        <v>1625</v>
      </c>
      <c r="I937" s="383" t="s">
        <v>1625</v>
      </c>
      <c r="J937" s="383">
        <v>1</v>
      </c>
      <c r="K937" s="381" t="s">
        <v>1496</v>
      </c>
    </row>
    <row r="938" spans="1:11" ht="15.75" hidden="1">
      <c r="A938" s="393" t="s">
        <v>2842</v>
      </c>
      <c r="B938" s="381" t="s">
        <v>2182</v>
      </c>
      <c r="C938" s="381" t="s">
        <v>560</v>
      </c>
      <c r="D938" s="381" t="s">
        <v>2580</v>
      </c>
      <c r="E938" s="451">
        <v>1400000</v>
      </c>
      <c r="F938" s="381" t="s">
        <v>2292</v>
      </c>
      <c r="G938" s="381" t="s">
        <v>2625</v>
      </c>
      <c r="H938" s="383" t="s">
        <v>1625</v>
      </c>
      <c r="I938" s="383" t="s">
        <v>1625</v>
      </c>
      <c r="J938" s="383">
        <v>1</v>
      </c>
      <c r="K938" s="381" t="s">
        <v>1499</v>
      </c>
    </row>
    <row r="939" spans="1:11" ht="15.75" hidden="1">
      <c r="A939" s="393" t="s">
        <v>2788</v>
      </c>
      <c r="B939" s="381" t="s">
        <v>2182</v>
      </c>
      <c r="C939" s="381" t="s">
        <v>2871</v>
      </c>
      <c r="D939" s="381" t="s">
        <v>2728</v>
      </c>
      <c r="E939" s="451">
        <v>1000000</v>
      </c>
      <c r="F939" s="381" t="s">
        <v>2292</v>
      </c>
      <c r="G939" s="381" t="s">
        <v>30</v>
      </c>
      <c r="H939" s="383" t="s">
        <v>1625</v>
      </c>
      <c r="I939" s="383" t="s">
        <v>1625</v>
      </c>
      <c r="J939" s="383">
        <v>1</v>
      </c>
      <c r="K939" s="381" t="s">
        <v>1496</v>
      </c>
    </row>
    <row r="940" spans="1:11" ht="15.75" hidden="1">
      <c r="A940" s="393" t="s">
        <v>2872</v>
      </c>
      <c r="B940" s="381" t="s">
        <v>2182</v>
      </c>
      <c r="C940" s="381" t="s">
        <v>452</v>
      </c>
      <c r="D940" s="381" t="s">
        <v>2868</v>
      </c>
      <c r="E940" s="451">
        <v>1300000</v>
      </c>
      <c r="F940" s="381" t="s">
        <v>2292</v>
      </c>
      <c r="G940" s="381" t="s">
        <v>2625</v>
      </c>
      <c r="H940" s="383" t="s">
        <v>1625</v>
      </c>
      <c r="I940" s="383" t="s">
        <v>1625</v>
      </c>
      <c r="J940" s="383">
        <v>1</v>
      </c>
      <c r="K940" s="381" t="s">
        <v>1496</v>
      </c>
    </row>
    <row r="941" spans="1:11" ht="15.75" hidden="1">
      <c r="A941" s="393" t="s">
        <v>2846</v>
      </c>
      <c r="B941" s="381" t="s">
        <v>2182</v>
      </c>
      <c r="C941" s="381" t="s">
        <v>493</v>
      </c>
      <c r="D941" s="381" t="s">
        <v>2573</v>
      </c>
      <c r="E941" s="451">
        <v>1250000</v>
      </c>
      <c r="F941" s="381" t="s">
        <v>2292</v>
      </c>
      <c r="G941" s="381" t="s">
        <v>2873</v>
      </c>
      <c r="H941" s="383" t="s">
        <v>1625</v>
      </c>
      <c r="I941" s="383" t="s">
        <v>1625</v>
      </c>
      <c r="J941" s="383">
        <v>1</v>
      </c>
      <c r="K941" s="381" t="s">
        <v>2608</v>
      </c>
    </row>
    <row r="942" spans="1:11" ht="15.75" hidden="1">
      <c r="A942" s="393" t="s">
        <v>2789</v>
      </c>
      <c r="B942" s="381" t="s">
        <v>2182</v>
      </c>
      <c r="C942" s="381" t="s">
        <v>2874</v>
      </c>
      <c r="D942" s="381" t="s">
        <v>2347</v>
      </c>
      <c r="E942" s="451">
        <v>1400000</v>
      </c>
      <c r="F942" s="381" t="s">
        <v>2292</v>
      </c>
      <c r="G942" s="381" t="s">
        <v>185</v>
      </c>
      <c r="H942" s="383" t="s">
        <v>1625</v>
      </c>
      <c r="I942" s="383" t="s">
        <v>1625</v>
      </c>
      <c r="J942" s="383">
        <v>1</v>
      </c>
      <c r="K942" s="381" t="s">
        <v>2608</v>
      </c>
    </row>
    <row r="943" spans="1:11" ht="15.75" hidden="1">
      <c r="A943" s="393" t="s">
        <v>2789</v>
      </c>
      <c r="B943" s="381" t="s">
        <v>2182</v>
      </c>
      <c r="C943" s="381" t="s">
        <v>2875</v>
      </c>
      <c r="D943" s="381" t="s">
        <v>2876</v>
      </c>
      <c r="E943" s="451">
        <v>1150000</v>
      </c>
      <c r="F943" s="381" t="s">
        <v>2292</v>
      </c>
      <c r="G943" s="381" t="s">
        <v>2625</v>
      </c>
      <c r="H943" s="383" t="s">
        <v>1625</v>
      </c>
      <c r="I943" s="383" t="s">
        <v>1625</v>
      </c>
      <c r="J943" s="383">
        <v>1</v>
      </c>
      <c r="K943" s="381" t="s">
        <v>2608</v>
      </c>
    </row>
    <row r="944" spans="1:11" ht="15.75" hidden="1">
      <c r="A944" s="456"/>
      <c r="B944" s="457"/>
      <c r="C944" s="457"/>
      <c r="D944" s="457"/>
      <c r="E944" s="476"/>
      <c r="F944" s="457"/>
      <c r="G944" s="457"/>
      <c r="H944" s="153"/>
      <c r="I944" s="153"/>
      <c r="J944" s="493">
        <f>SUM(J916:J943)</f>
        <v>28</v>
      </c>
      <c r="K944" s="457"/>
    </row>
    <row r="945" spans="1:11" ht="15.75" hidden="1">
      <c r="A945" s="394"/>
      <c r="B945" s="395"/>
      <c r="C945" s="395"/>
      <c r="D945" s="395"/>
      <c r="E945" s="396"/>
      <c r="F945" s="397"/>
      <c r="G945" s="397"/>
      <c r="H945" s="395"/>
      <c r="I945" s="395"/>
      <c r="J945" s="395"/>
      <c r="K945" s="395"/>
    </row>
    <row r="946" spans="1:11" ht="15.75" hidden="1">
      <c r="A946" s="394"/>
      <c r="B946" s="395"/>
      <c r="C946" s="395"/>
      <c r="D946" s="395"/>
      <c r="E946" s="396"/>
      <c r="F946" s="397"/>
      <c r="G946" s="397"/>
      <c r="H946" s="395"/>
      <c r="I946" s="395"/>
      <c r="J946" s="395"/>
      <c r="K946" s="395"/>
    </row>
    <row r="947" spans="1:11" ht="26.25" hidden="1">
      <c r="A947" s="1667" t="s">
        <v>2877</v>
      </c>
      <c r="B947" s="1667"/>
      <c r="C947" s="1667"/>
      <c r="D947" s="1667"/>
      <c r="E947" s="1667"/>
      <c r="F947" s="1667"/>
      <c r="G947" s="1667"/>
      <c r="H947" s="1667"/>
      <c r="I947" s="1667"/>
      <c r="J947" s="1667"/>
      <c r="K947" s="1667"/>
    </row>
    <row r="948" spans="1:11" ht="31.5" hidden="1">
      <c r="A948" s="375" t="s">
        <v>1941</v>
      </c>
      <c r="B948" s="378" t="s">
        <v>1942</v>
      </c>
      <c r="C948" s="378" t="s">
        <v>1943</v>
      </c>
      <c r="D948" s="378" t="s">
        <v>1944</v>
      </c>
      <c r="E948" s="452" t="s">
        <v>1945</v>
      </c>
      <c r="F948" s="378" t="s">
        <v>1946</v>
      </c>
      <c r="G948" s="378" t="s">
        <v>2590</v>
      </c>
      <c r="H948" s="378" t="s">
        <v>1947</v>
      </c>
      <c r="I948" s="378" t="s">
        <v>1948</v>
      </c>
      <c r="J948" s="453" t="s">
        <v>1949</v>
      </c>
      <c r="K948" s="378" t="s">
        <v>1950</v>
      </c>
    </row>
    <row r="949" spans="1:11" ht="15.75" hidden="1">
      <c r="A949" s="922">
        <v>44324</v>
      </c>
      <c r="B949" s="618" t="s">
        <v>2182</v>
      </c>
      <c r="C949" s="472" t="s">
        <v>2878</v>
      </c>
      <c r="D949" s="472" t="s">
        <v>2728</v>
      </c>
      <c r="E949" s="475">
        <v>210000000</v>
      </c>
      <c r="F949" s="472" t="s">
        <v>2292</v>
      </c>
      <c r="G949" s="472" t="s">
        <v>2741</v>
      </c>
      <c r="H949" s="473" t="s">
        <v>1625</v>
      </c>
      <c r="I949" s="473" t="s">
        <v>1625</v>
      </c>
      <c r="J949" s="473">
        <v>1</v>
      </c>
      <c r="K949" s="472" t="s">
        <v>2482</v>
      </c>
    </row>
    <row r="950" spans="1:11" ht="15.75" hidden="1">
      <c r="A950" s="474" t="s">
        <v>2842</v>
      </c>
      <c r="B950" s="618" t="s">
        <v>2182</v>
      </c>
      <c r="C950" s="472" t="s">
        <v>2879</v>
      </c>
      <c r="D950" s="472" t="s">
        <v>2728</v>
      </c>
      <c r="E950" s="475">
        <v>230000000</v>
      </c>
      <c r="F950" s="472" t="s">
        <v>2292</v>
      </c>
      <c r="G950" s="472" t="s">
        <v>2741</v>
      </c>
      <c r="H950" s="473" t="s">
        <v>2161</v>
      </c>
      <c r="I950" s="473" t="s">
        <v>1625</v>
      </c>
      <c r="J950" s="473">
        <v>1</v>
      </c>
      <c r="K950" s="472" t="s">
        <v>2482</v>
      </c>
    </row>
    <row r="951" spans="1:11" ht="15.75" hidden="1">
      <c r="A951" s="474"/>
      <c r="B951" s="618"/>
      <c r="C951" s="472"/>
      <c r="D951" s="472"/>
      <c r="E951" s="475"/>
      <c r="F951" s="472"/>
      <c r="G951" s="472"/>
      <c r="H951" s="473"/>
      <c r="I951" s="473"/>
      <c r="J951" s="473"/>
      <c r="K951" s="472"/>
    </row>
    <row r="952" spans="1:11" ht="15.75" hidden="1">
      <c r="A952" s="443" t="s">
        <v>2753</v>
      </c>
      <c r="B952" s="577" t="s">
        <v>2182</v>
      </c>
      <c r="C952" s="385" t="s">
        <v>2880</v>
      </c>
      <c r="D952" s="385" t="s">
        <v>2573</v>
      </c>
      <c r="E952" s="462">
        <v>1300000</v>
      </c>
      <c r="F952" s="385" t="s">
        <v>2292</v>
      </c>
      <c r="G952" s="385" t="s">
        <v>30</v>
      </c>
      <c r="H952" s="387" t="s">
        <v>1625</v>
      </c>
      <c r="I952" s="387" t="s">
        <v>1625</v>
      </c>
      <c r="J952" s="387">
        <v>1</v>
      </c>
      <c r="K952" s="385" t="s">
        <v>1496</v>
      </c>
    </row>
    <row r="953" spans="1:11" ht="15.75" hidden="1">
      <c r="A953" s="443" t="s">
        <v>2794</v>
      </c>
      <c r="B953" s="577" t="s">
        <v>2182</v>
      </c>
      <c r="C953" s="385" t="s">
        <v>2881</v>
      </c>
      <c r="D953" s="385" t="s">
        <v>2728</v>
      </c>
      <c r="E953" s="462">
        <v>1500000</v>
      </c>
      <c r="F953" s="385" t="s">
        <v>2292</v>
      </c>
      <c r="G953" s="385" t="s">
        <v>30</v>
      </c>
      <c r="H953" s="387" t="s">
        <v>1625</v>
      </c>
      <c r="I953" s="387" t="s">
        <v>1625</v>
      </c>
      <c r="J953" s="387">
        <v>1</v>
      </c>
      <c r="K953" s="385" t="s">
        <v>1496</v>
      </c>
    </row>
    <row r="954" spans="1:11" ht="15.75" hidden="1">
      <c r="A954" s="443" t="s">
        <v>2794</v>
      </c>
      <c r="B954" s="577" t="s">
        <v>2182</v>
      </c>
      <c r="C954" s="385" t="s">
        <v>2882</v>
      </c>
      <c r="D954" s="385" t="s">
        <v>2288</v>
      </c>
      <c r="E954" s="462">
        <v>800000</v>
      </c>
      <c r="F954" s="385" t="s">
        <v>1968</v>
      </c>
      <c r="G954" s="385" t="s">
        <v>2593</v>
      </c>
      <c r="H954" s="387" t="s">
        <v>1625</v>
      </c>
      <c r="I954" s="387" t="s">
        <v>1625</v>
      </c>
      <c r="J954" s="387">
        <v>1</v>
      </c>
      <c r="K954" s="385" t="s">
        <v>1496</v>
      </c>
    </row>
    <row r="955" spans="1:11" ht="15.75" hidden="1">
      <c r="A955" s="443" t="s">
        <v>2794</v>
      </c>
      <c r="B955" s="381" t="s">
        <v>2182</v>
      </c>
      <c r="C955" s="381" t="s">
        <v>2883</v>
      </c>
      <c r="D955" s="381" t="s">
        <v>2728</v>
      </c>
      <c r="E955" s="451">
        <v>1200000</v>
      </c>
      <c r="F955" s="381" t="s">
        <v>2292</v>
      </c>
      <c r="G955" s="381" t="s">
        <v>30</v>
      </c>
      <c r="H955" s="383" t="s">
        <v>1625</v>
      </c>
      <c r="I955" s="383" t="s">
        <v>1625</v>
      </c>
      <c r="J955" s="383">
        <v>1</v>
      </c>
      <c r="K955" s="381" t="s">
        <v>1499</v>
      </c>
    </row>
    <row r="956" spans="1:11" ht="15.75" hidden="1">
      <c r="A956" s="412" t="s">
        <v>2796</v>
      </c>
      <c r="B956" s="411" t="s">
        <v>2694</v>
      </c>
      <c r="C956" s="381" t="s">
        <v>2884</v>
      </c>
      <c r="D956" s="381" t="s">
        <v>2669</v>
      </c>
      <c r="E956" s="451">
        <v>500000</v>
      </c>
      <c r="F956" s="381" t="s">
        <v>1968</v>
      </c>
      <c r="G956" s="381" t="s">
        <v>30</v>
      </c>
      <c r="H956" s="383" t="s">
        <v>1625</v>
      </c>
      <c r="I956" s="383" t="s">
        <v>1625</v>
      </c>
      <c r="J956" s="383">
        <v>1</v>
      </c>
      <c r="K956" s="381" t="s">
        <v>1499</v>
      </c>
    </row>
    <row r="957" spans="1:11" ht="15.75" hidden="1">
      <c r="A957" s="923">
        <v>44324</v>
      </c>
      <c r="B957" s="411" t="s">
        <v>2182</v>
      </c>
      <c r="C957" s="381" t="s">
        <v>430</v>
      </c>
      <c r="D957" s="381" t="s">
        <v>2728</v>
      </c>
      <c r="E957" s="451">
        <v>1000000</v>
      </c>
      <c r="F957" s="381" t="s">
        <v>2292</v>
      </c>
      <c r="G957" s="381" t="s">
        <v>2625</v>
      </c>
      <c r="H957" s="383" t="s">
        <v>1625</v>
      </c>
      <c r="I957" s="383" t="s">
        <v>1625</v>
      </c>
      <c r="J957" s="383">
        <v>1</v>
      </c>
      <c r="K957" s="381" t="s">
        <v>1496</v>
      </c>
    </row>
    <row r="958" spans="1:11" ht="15.75" hidden="1">
      <c r="A958" s="412">
        <v>44324</v>
      </c>
      <c r="B958" s="411" t="s">
        <v>2623</v>
      </c>
      <c r="C958" s="381" t="s">
        <v>2885</v>
      </c>
      <c r="D958" s="381" t="s">
        <v>2728</v>
      </c>
      <c r="E958" s="451">
        <v>1200000</v>
      </c>
      <c r="F958" s="381" t="s">
        <v>2292</v>
      </c>
      <c r="G958" s="381" t="s">
        <v>2625</v>
      </c>
      <c r="H958" s="383" t="s">
        <v>1625</v>
      </c>
      <c r="I958" s="383" t="s">
        <v>1625</v>
      </c>
      <c r="J958" s="383">
        <v>1</v>
      </c>
      <c r="K958" s="381" t="s">
        <v>1499</v>
      </c>
    </row>
    <row r="959" spans="1:11" ht="15.75" hidden="1">
      <c r="A959" s="412">
        <v>44538</v>
      </c>
      <c r="B959" s="411" t="s">
        <v>2182</v>
      </c>
      <c r="C959" s="381" t="s">
        <v>2886</v>
      </c>
      <c r="D959" s="381" t="s">
        <v>2887</v>
      </c>
      <c r="E959" s="451">
        <v>1000000</v>
      </c>
      <c r="F959" s="381" t="s">
        <v>2213</v>
      </c>
      <c r="G959" s="381" t="s">
        <v>2741</v>
      </c>
      <c r="H959" s="383" t="s">
        <v>1955</v>
      </c>
      <c r="I959" s="383" t="s">
        <v>1625</v>
      </c>
      <c r="J959" s="383">
        <v>1</v>
      </c>
      <c r="K959" s="381" t="s">
        <v>1496</v>
      </c>
    </row>
    <row r="960" spans="1:11" ht="15.75" hidden="1">
      <c r="A960" s="412" t="s">
        <v>2842</v>
      </c>
      <c r="B960" s="411" t="s">
        <v>2182</v>
      </c>
      <c r="C960" s="381" t="s">
        <v>2888</v>
      </c>
      <c r="D960" s="381" t="s">
        <v>2568</v>
      </c>
      <c r="E960" s="451">
        <v>850000</v>
      </c>
      <c r="F960" s="381" t="s">
        <v>2292</v>
      </c>
      <c r="G960" s="381" t="s">
        <v>2741</v>
      </c>
      <c r="H960" s="383" t="s">
        <v>2161</v>
      </c>
      <c r="I960" s="383" t="s">
        <v>1625</v>
      </c>
      <c r="J960" s="383">
        <v>1</v>
      </c>
      <c r="K960" s="381" t="s">
        <v>1496</v>
      </c>
    </row>
    <row r="961" spans="1:11" ht="15.75" hidden="1">
      <c r="A961" s="924" t="s">
        <v>2788</v>
      </c>
      <c r="B961" s="426" t="s">
        <v>2182</v>
      </c>
      <c r="C961" s="381" t="s">
        <v>2889</v>
      </c>
      <c r="D961" s="381" t="s">
        <v>2890</v>
      </c>
      <c r="E961" s="451">
        <v>790000</v>
      </c>
      <c r="F961" s="381" t="s">
        <v>2213</v>
      </c>
      <c r="G961" s="381" t="s">
        <v>2741</v>
      </c>
      <c r="H961" s="383" t="s">
        <v>1625</v>
      </c>
      <c r="I961" s="383" t="s">
        <v>1625</v>
      </c>
      <c r="J961" s="383">
        <v>1</v>
      </c>
      <c r="K961" s="381" t="s">
        <v>1496</v>
      </c>
    </row>
    <row r="962" spans="1:11" ht="15.75" hidden="1">
      <c r="A962" s="412" t="s">
        <v>2785</v>
      </c>
      <c r="B962" s="381" t="s">
        <v>1966</v>
      </c>
      <c r="C962" s="426" t="s">
        <v>2891</v>
      </c>
      <c r="D962" s="385" t="s">
        <v>2669</v>
      </c>
      <c r="E962" s="462">
        <v>1250000</v>
      </c>
      <c r="F962" s="385" t="s">
        <v>2213</v>
      </c>
      <c r="G962" s="385" t="s">
        <v>2741</v>
      </c>
      <c r="H962" s="387" t="s">
        <v>1955</v>
      </c>
      <c r="I962" s="387" t="s">
        <v>1625</v>
      </c>
      <c r="J962" s="387">
        <v>1</v>
      </c>
      <c r="K962" s="385" t="s">
        <v>1499</v>
      </c>
    </row>
    <row r="963" spans="1:11" ht="15.75" hidden="1">
      <c r="A963" s="412" t="s">
        <v>2892</v>
      </c>
      <c r="B963" s="381" t="s">
        <v>2060</v>
      </c>
      <c r="C963" s="426" t="s">
        <v>2893</v>
      </c>
      <c r="D963" s="385" t="s">
        <v>2876</v>
      </c>
      <c r="E963" s="462">
        <v>1000000</v>
      </c>
      <c r="F963" s="385" t="s">
        <v>2213</v>
      </c>
      <c r="G963" s="385" t="s">
        <v>2741</v>
      </c>
      <c r="H963" s="387" t="s">
        <v>1625</v>
      </c>
      <c r="I963" s="387" t="s">
        <v>1625</v>
      </c>
      <c r="J963" s="387">
        <v>1</v>
      </c>
      <c r="K963" s="385" t="s">
        <v>1496</v>
      </c>
    </row>
    <row r="964" spans="1:11" ht="15.75" hidden="1">
      <c r="A964" s="412" t="s">
        <v>2892</v>
      </c>
      <c r="B964" s="381" t="s">
        <v>2182</v>
      </c>
      <c r="C964" s="426" t="s">
        <v>2894</v>
      </c>
      <c r="D964" s="385" t="s">
        <v>2876</v>
      </c>
      <c r="E964" s="462">
        <v>950000</v>
      </c>
      <c r="F964" s="385" t="s">
        <v>2213</v>
      </c>
      <c r="G964" s="385" t="s">
        <v>2895</v>
      </c>
      <c r="H964" s="387" t="s">
        <v>1625</v>
      </c>
      <c r="I964" s="387" t="s">
        <v>1625</v>
      </c>
      <c r="J964" s="387">
        <v>1</v>
      </c>
      <c r="K964" s="385" t="s">
        <v>1496</v>
      </c>
    </row>
    <row r="965" spans="1:11" ht="15.75" hidden="1">
      <c r="A965" s="479"/>
      <c r="B965" s="612"/>
      <c r="C965" s="381"/>
      <c r="D965" s="381"/>
      <c r="E965" s="451"/>
      <c r="F965" s="381"/>
      <c r="G965" s="381"/>
      <c r="H965" s="383"/>
      <c r="I965" s="383"/>
      <c r="J965" s="383"/>
      <c r="K965" s="381"/>
    </row>
    <row r="966" spans="1:11" ht="15.75" hidden="1">
      <c r="A966" s="412"/>
      <c r="B966" s="411"/>
      <c r="C966" s="381"/>
      <c r="D966" s="381"/>
      <c r="E966" s="451"/>
      <c r="F966" s="381"/>
      <c r="G966" s="381"/>
      <c r="H966" s="383"/>
      <c r="I966" s="383"/>
      <c r="J966" s="383"/>
      <c r="K966" s="381"/>
    </row>
    <row r="967" spans="1:11" ht="15.75" hidden="1">
      <c r="A967" s="456"/>
      <c r="B967" s="457"/>
      <c r="C967" s="457"/>
      <c r="D967" s="457"/>
      <c r="E967" s="458"/>
      <c r="F967" s="153"/>
      <c r="G967" s="153"/>
      <c r="H967" s="457"/>
      <c r="I967" s="457"/>
      <c r="J967" s="493">
        <f>SUM(J949:J966)</f>
        <v>15</v>
      </c>
      <c r="K967" s="457"/>
    </row>
    <row r="968" spans="1:11" hidden="1"/>
    <row r="969" spans="1:11" hidden="1"/>
    <row r="970" spans="1:11" ht="26.25" hidden="1">
      <c r="A970" s="1668" t="s">
        <v>2896</v>
      </c>
      <c r="B970" s="1669"/>
      <c r="C970" s="1669"/>
      <c r="D970" s="1669"/>
      <c r="E970" s="1669"/>
      <c r="F970" s="1669"/>
      <c r="G970" s="1669"/>
      <c r="H970" s="1669"/>
      <c r="I970" s="1669"/>
      <c r="J970" s="1669"/>
      <c r="K970" s="1670"/>
    </row>
    <row r="971" spans="1:11" ht="31.5" hidden="1">
      <c r="A971" s="375" t="s">
        <v>1941</v>
      </c>
      <c r="B971" s="378" t="s">
        <v>1942</v>
      </c>
      <c r="C971" s="378" t="s">
        <v>1943</v>
      </c>
      <c r="D971" s="378" t="s">
        <v>1944</v>
      </c>
      <c r="E971" s="452" t="s">
        <v>1945</v>
      </c>
      <c r="F971" s="378" t="s">
        <v>1946</v>
      </c>
      <c r="G971" s="378" t="s">
        <v>2590</v>
      </c>
      <c r="H971" s="378" t="s">
        <v>1947</v>
      </c>
      <c r="I971" s="378" t="s">
        <v>1948</v>
      </c>
      <c r="J971" s="453" t="s">
        <v>1949</v>
      </c>
      <c r="K971" s="378" t="s">
        <v>1950</v>
      </c>
    </row>
    <row r="972" spans="1:11" ht="15.75" hidden="1">
      <c r="A972" s="922">
        <v>44508</v>
      </c>
      <c r="B972" s="618" t="s">
        <v>2182</v>
      </c>
      <c r="C972" s="472" t="s">
        <v>2897</v>
      </c>
      <c r="D972" s="472" t="s">
        <v>2495</v>
      </c>
      <c r="E972" s="475">
        <v>221450000</v>
      </c>
      <c r="F972" s="472" t="s">
        <v>2213</v>
      </c>
      <c r="G972" s="472" t="s">
        <v>2741</v>
      </c>
      <c r="H972" s="473" t="s">
        <v>1955</v>
      </c>
      <c r="I972" s="473" t="s">
        <v>1625</v>
      </c>
      <c r="J972" s="473">
        <v>1</v>
      </c>
      <c r="K972" s="472" t="s">
        <v>2482</v>
      </c>
    </row>
    <row r="973" spans="1:11" ht="15.75" hidden="1">
      <c r="A973" s="922">
        <v>44538</v>
      </c>
      <c r="B973" s="618" t="s">
        <v>2182</v>
      </c>
      <c r="C973" s="472" t="s">
        <v>2898</v>
      </c>
      <c r="D973" s="472" t="s">
        <v>2495</v>
      </c>
      <c r="E973" s="475">
        <v>200000000</v>
      </c>
      <c r="F973" s="472" t="s">
        <v>2213</v>
      </c>
      <c r="G973" s="472" t="s">
        <v>2741</v>
      </c>
      <c r="H973" s="473" t="s">
        <v>1625</v>
      </c>
      <c r="I973" s="473" t="s">
        <v>1625</v>
      </c>
      <c r="J973" s="473">
        <v>1</v>
      </c>
      <c r="K973" s="472" t="s">
        <v>2482</v>
      </c>
    </row>
    <row r="974" spans="1:11" ht="15.75" hidden="1">
      <c r="A974" s="922" t="s">
        <v>2842</v>
      </c>
      <c r="B974" s="618" t="s">
        <v>2182</v>
      </c>
      <c r="C974" s="472" t="s">
        <v>2899</v>
      </c>
      <c r="D974" s="472" t="s">
        <v>2711</v>
      </c>
      <c r="E974" s="475">
        <v>210000000</v>
      </c>
      <c r="F974" s="472" t="s">
        <v>2292</v>
      </c>
      <c r="G974" s="472" t="s">
        <v>2741</v>
      </c>
      <c r="H974" s="473" t="s">
        <v>1625</v>
      </c>
      <c r="I974" s="473" t="s">
        <v>1625</v>
      </c>
      <c r="J974" s="473">
        <v>1</v>
      </c>
      <c r="K974" s="472" t="s">
        <v>2482</v>
      </c>
    </row>
    <row r="975" spans="1:11" ht="15.75" hidden="1">
      <c r="A975" s="384">
        <v>44508</v>
      </c>
      <c r="B975" s="577" t="s">
        <v>2182</v>
      </c>
      <c r="C975" s="385" t="s">
        <v>504</v>
      </c>
      <c r="D975" s="385" t="s">
        <v>2700</v>
      </c>
      <c r="E975" s="462">
        <v>1070000</v>
      </c>
      <c r="F975" s="385" t="s">
        <v>2292</v>
      </c>
      <c r="G975" s="385" t="s">
        <v>2625</v>
      </c>
      <c r="H975" s="387" t="s">
        <v>1625</v>
      </c>
      <c r="I975" s="387" t="s">
        <v>1625</v>
      </c>
      <c r="J975" s="387">
        <v>1</v>
      </c>
      <c r="K975" s="385" t="s">
        <v>1496</v>
      </c>
    </row>
    <row r="976" spans="1:11" ht="15.75" hidden="1">
      <c r="A976" s="393" t="s">
        <v>2900</v>
      </c>
      <c r="B976" s="381" t="s">
        <v>2060</v>
      </c>
      <c r="C976" s="411" t="s">
        <v>2901</v>
      </c>
      <c r="D976" s="381" t="s">
        <v>75</v>
      </c>
      <c r="E976" s="451">
        <v>2000000</v>
      </c>
      <c r="F976" s="381" t="s">
        <v>2213</v>
      </c>
      <c r="G976" s="381" t="s">
        <v>2741</v>
      </c>
      <c r="H976" s="383" t="s">
        <v>1625</v>
      </c>
      <c r="I976" s="383" t="s">
        <v>1625</v>
      </c>
      <c r="J976" s="383">
        <v>1</v>
      </c>
      <c r="K976" s="381" t="s">
        <v>1496</v>
      </c>
    </row>
    <row r="977" spans="1:11" ht="15.75" hidden="1">
      <c r="A977" s="925">
        <v>44538</v>
      </c>
      <c r="B977" s="610" t="s">
        <v>2182</v>
      </c>
      <c r="C977" s="381" t="s">
        <v>2902</v>
      </c>
      <c r="D977" s="381" t="s">
        <v>2506</v>
      </c>
      <c r="E977" s="451">
        <v>1700000</v>
      </c>
      <c r="F977" s="381" t="s">
        <v>2292</v>
      </c>
      <c r="G977" s="381" t="s">
        <v>2625</v>
      </c>
      <c r="H977" s="383" t="s">
        <v>1625</v>
      </c>
      <c r="I977" s="383" t="s">
        <v>1625</v>
      </c>
      <c r="J977" s="383">
        <v>1</v>
      </c>
      <c r="K977" s="381" t="s">
        <v>1499</v>
      </c>
    </row>
    <row r="978" spans="1:11" ht="15.75" hidden="1">
      <c r="A978" s="412">
        <v>44538</v>
      </c>
      <c r="B978" s="381" t="s">
        <v>1966</v>
      </c>
      <c r="C978" s="426" t="s">
        <v>2903</v>
      </c>
      <c r="D978" s="385" t="s">
        <v>2506</v>
      </c>
      <c r="E978" s="462">
        <v>2500000</v>
      </c>
      <c r="F978" s="385" t="s">
        <v>2292</v>
      </c>
      <c r="G978" s="385" t="s">
        <v>2625</v>
      </c>
      <c r="H978" s="387" t="s">
        <v>1955</v>
      </c>
      <c r="I978" s="387" t="s">
        <v>1625</v>
      </c>
      <c r="J978" s="387">
        <v>1</v>
      </c>
      <c r="K978" s="385" t="s">
        <v>1496</v>
      </c>
    </row>
    <row r="979" spans="1:11" ht="15.75" hidden="1">
      <c r="A979" s="412" t="s">
        <v>2836</v>
      </c>
      <c r="B979" s="381" t="s">
        <v>2182</v>
      </c>
      <c r="C979" s="426" t="s">
        <v>2904</v>
      </c>
      <c r="D979" s="385" t="s">
        <v>75</v>
      </c>
      <c r="E979" s="462">
        <v>1250000</v>
      </c>
      <c r="F979" s="385" t="s">
        <v>2292</v>
      </c>
      <c r="G979" s="385" t="s">
        <v>2625</v>
      </c>
      <c r="H979" s="387" t="s">
        <v>1625</v>
      </c>
      <c r="I979" s="387" t="s">
        <v>1625</v>
      </c>
      <c r="J979" s="387">
        <v>1</v>
      </c>
      <c r="K979" s="385" t="s">
        <v>1496</v>
      </c>
    </row>
    <row r="980" spans="1:11" ht="15.75" hidden="1">
      <c r="A980" s="412" t="s">
        <v>2785</v>
      </c>
      <c r="B980" s="381" t="s">
        <v>2905</v>
      </c>
      <c r="C980" s="426" t="s">
        <v>2906</v>
      </c>
      <c r="D980" s="385" t="s">
        <v>75</v>
      </c>
      <c r="E980" s="462">
        <v>1500000</v>
      </c>
      <c r="F980" s="385" t="s">
        <v>2213</v>
      </c>
      <c r="G980" s="385" t="s">
        <v>185</v>
      </c>
      <c r="H980" s="387" t="s">
        <v>1625</v>
      </c>
      <c r="I980" s="387" t="s">
        <v>1625</v>
      </c>
      <c r="J980" s="387">
        <v>1</v>
      </c>
      <c r="K980" s="385" t="s">
        <v>1499</v>
      </c>
    </row>
    <row r="981" spans="1:11" ht="15.75" hidden="1">
      <c r="A981" s="456" t="s">
        <v>2788</v>
      </c>
      <c r="B981" s="457" t="s">
        <v>2182</v>
      </c>
      <c r="C981" s="743" t="s">
        <v>2907</v>
      </c>
      <c r="D981" s="633" t="s">
        <v>2237</v>
      </c>
      <c r="E981" s="644">
        <v>950000</v>
      </c>
      <c r="F981" s="633" t="s">
        <v>2213</v>
      </c>
      <c r="G981" s="633" t="s">
        <v>185</v>
      </c>
      <c r="H981" s="635" t="s">
        <v>1625</v>
      </c>
      <c r="I981" s="635" t="s">
        <v>1625</v>
      </c>
      <c r="J981" s="387">
        <v>1</v>
      </c>
      <c r="K981" s="385" t="s">
        <v>1496</v>
      </c>
    </row>
    <row r="982" spans="1:11" ht="15.75" hidden="1">
      <c r="A982" s="419" t="s">
        <v>2788</v>
      </c>
      <c r="B982" s="420" t="s">
        <v>2060</v>
      </c>
      <c r="C982" s="743" t="s">
        <v>2908</v>
      </c>
      <c r="D982" s="633" t="s">
        <v>2909</v>
      </c>
      <c r="E982" s="644">
        <v>750000</v>
      </c>
      <c r="F982" s="633" t="s">
        <v>1968</v>
      </c>
      <c r="G982" s="633" t="s">
        <v>2741</v>
      </c>
      <c r="H982" s="635" t="s">
        <v>1625</v>
      </c>
      <c r="I982" s="635" t="s">
        <v>1625</v>
      </c>
      <c r="J982" s="387">
        <v>1</v>
      </c>
      <c r="K982" s="385" t="s">
        <v>1499</v>
      </c>
    </row>
    <row r="983" spans="1:11" ht="15.75" hidden="1">
      <c r="A983" s="419" t="s">
        <v>2892</v>
      </c>
      <c r="B983" s="420" t="s">
        <v>2060</v>
      </c>
      <c r="C983" s="743" t="s">
        <v>2910</v>
      </c>
      <c r="D983" s="633" t="s">
        <v>75</v>
      </c>
      <c r="E983" s="644">
        <v>7500000</v>
      </c>
      <c r="F983" s="633" t="s">
        <v>2213</v>
      </c>
      <c r="G983" s="633" t="s">
        <v>2741</v>
      </c>
      <c r="H983" s="635" t="s">
        <v>1625</v>
      </c>
      <c r="I983" s="635" t="s">
        <v>1625</v>
      </c>
      <c r="J983" s="387">
        <v>1</v>
      </c>
      <c r="K983" s="385" t="s">
        <v>1496</v>
      </c>
    </row>
    <row r="984" spans="1:11" ht="15.75" hidden="1">
      <c r="A984" s="419" t="s">
        <v>2892</v>
      </c>
      <c r="B984" s="420" t="s">
        <v>2060</v>
      </c>
      <c r="C984" s="743" t="s">
        <v>2911</v>
      </c>
      <c r="D984" s="633" t="s">
        <v>75</v>
      </c>
      <c r="E984" s="644">
        <v>7500000</v>
      </c>
      <c r="F984" s="633" t="s">
        <v>2213</v>
      </c>
      <c r="G984" s="633" t="s">
        <v>2741</v>
      </c>
      <c r="H984" s="635" t="s">
        <v>1625</v>
      </c>
      <c r="I984" s="635" t="s">
        <v>1625</v>
      </c>
      <c r="J984" s="387">
        <v>1</v>
      </c>
      <c r="K984" s="385" t="s">
        <v>1496</v>
      </c>
    </row>
    <row r="985" spans="1:11" ht="15.75" hidden="1">
      <c r="A985" s="419" t="s">
        <v>2912</v>
      </c>
      <c r="B985" s="420" t="s">
        <v>2182</v>
      </c>
      <c r="C985" s="743" t="s">
        <v>2913</v>
      </c>
      <c r="D985" s="633" t="s">
        <v>2849</v>
      </c>
      <c r="E985" s="644">
        <v>1000000</v>
      </c>
      <c r="F985" s="633" t="s">
        <v>2292</v>
      </c>
      <c r="G985" s="633" t="s">
        <v>2625</v>
      </c>
      <c r="H985" s="635" t="s">
        <v>1625</v>
      </c>
      <c r="I985" s="635" t="s">
        <v>1625</v>
      </c>
      <c r="J985" s="387">
        <v>1</v>
      </c>
      <c r="K985" s="385" t="s">
        <v>2608</v>
      </c>
    </row>
    <row r="986" spans="1:11" ht="15.75" hidden="1">
      <c r="A986" s="419" t="s">
        <v>2846</v>
      </c>
      <c r="B986" s="420" t="s">
        <v>2182</v>
      </c>
      <c r="C986" s="743" t="s">
        <v>2914</v>
      </c>
      <c r="D986" s="633" t="s">
        <v>2711</v>
      </c>
      <c r="E986" s="644">
        <v>1400000</v>
      </c>
      <c r="F986" s="633" t="s">
        <v>2292</v>
      </c>
      <c r="G986" s="633" t="s">
        <v>2625</v>
      </c>
      <c r="H986" s="635" t="s">
        <v>1955</v>
      </c>
      <c r="I986" s="635" t="s">
        <v>1625</v>
      </c>
      <c r="J986" s="387">
        <v>1</v>
      </c>
      <c r="K986" s="385" t="s">
        <v>1496</v>
      </c>
    </row>
    <row r="987" spans="1:11" ht="15.75" hidden="1">
      <c r="A987" s="419" t="s">
        <v>2857</v>
      </c>
      <c r="B987" s="420" t="s">
        <v>2182</v>
      </c>
      <c r="C987" s="743" t="s">
        <v>2915</v>
      </c>
      <c r="D987" s="633" t="s">
        <v>2580</v>
      </c>
      <c r="E987" s="644">
        <v>1400000</v>
      </c>
      <c r="F987" s="633" t="s">
        <v>2292</v>
      </c>
      <c r="G987" s="633" t="s">
        <v>185</v>
      </c>
      <c r="H987" s="635" t="s">
        <v>1625</v>
      </c>
      <c r="I987" s="635" t="s">
        <v>1625</v>
      </c>
      <c r="J987" s="387">
        <v>1</v>
      </c>
      <c r="K987" s="385" t="s">
        <v>2852</v>
      </c>
    </row>
    <row r="988" spans="1:11" ht="15.75" hidden="1">
      <c r="A988" s="419"/>
      <c r="B988" s="420"/>
      <c r="C988" s="743"/>
      <c r="D988" s="633"/>
      <c r="E988" s="644"/>
      <c r="F988" s="633"/>
      <c r="G988" s="633"/>
      <c r="H988" s="635"/>
      <c r="I988" s="635"/>
      <c r="J988" s="387"/>
      <c r="K988" s="385"/>
    </row>
    <row r="989" spans="1:11" ht="15.75" hidden="1">
      <c r="A989" s="419"/>
      <c r="B989" s="420"/>
      <c r="C989" s="743"/>
      <c r="D989" s="633"/>
      <c r="E989" s="634"/>
      <c r="F989" s="633"/>
      <c r="G989" s="633"/>
      <c r="H989" s="635"/>
      <c r="I989" s="635"/>
      <c r="J989" s="387"/>
      <c r="K989" s="385"/>
    </row>
    <row r="990" spans="1:11" ht="15.75" hidden="1">
      <c r="A990" s="419"/>
      <c r="B990" s="420"/>
      <c r="C990" s="743"/>
      <c r="D990" s="633"/>
      <c r="E990" s="634"/>
      <c r="F990" s="633"/>
      <c r="G990" s="633"/>
      <c r="H990" s="635"/>
      <c r="I990" s="635"/>
      <c r="J990" s="387"/>
      <c r="K990" s="385"/>
    </row>
    <row r="991" spans="1:11" ht="15.75" hidden="1">
      <c r="A991" s="419"/>
      <c r="B991" s="420"/>
      <c r="C991" s="457"/>
      <c r="D991" s="457"/>
      <c r="E991" s="458"/>
      <c r="F991" s="457"/>
      <c r="G991" s="457"/>
      <c r="H991" s="457"/>
      <c r="I991" s="457"/>
      <c r="J991" s="493">
        <f>SUM(J972:J990)</f>
        <v>16</v>
      </c>
      <c r="K991" s="457"/>
    </row>
    <row r="992" spans="1:11" ht="15.75" hidden="1">
      <c r="A992" s="394"/>
      <c r="B992" s="395"/>
      <c r="C992" s="395"/>
      <c r="D992" s="395"/>
      <c r="E992" s="396"/>
      <c r="F992" s="395"/>
      <c r="G992" s="395"/>
      <c r="H992" s="395"/>
      <c r="I992" s="395"/>
      <c r="J992" s="397"/>
      <c r="K992" s="395"/>
    </row>
    <row r="993" spans="1:11" ht="15.75" hidden="1">
      <c r="A993" s="394"/>
      <c r="B993" s="395"/>
      <c r="C993" s="395"/>
      <c r="D993" s="395"/>
      <c r="E993" s="396"/>
      <c r="F993" s="395"/>
      <c r="G993" s="395"/>
      <c r="H993" s="395"/>
      <c r="I993" s="395"/>
      <c r="J993" s="397"/>
      <c r="K993" s="395"/>
    </row>
    <row r="994" spans="1:11" ht="28.5" hidden="1" customHeight="1">
      <c r="A994" s="1668" t="s">
        <v>2916</v>
      </c>
      <c r="B994" s="1669"/>
      <c r="C994" s="1669"/>
      <c r="D994" s="1669"/>
      <c r="E994" s="1669"/>
      <c r="F994" s="1669"/>
      <c r="G994" s="1669"/>
      <c r="H994" s="1669"/>
      <c r="I994" s="1669"/>
      <c r="J994" s="1669"/>
      <c r="K994" s="1670"/>
    </row>
    <row r="995" spans="1:11" ht="31.5" hidden="1">
      <c r="A995" s="926" t="s">
        <v>1941</v>
      </c>
      <c r="B995" s="636" t="s">
        <v>1942</v>
      </c>
      <c r="C995" s="636" t="s">
        <v>1943</v>
      </c>
      <c r="D995" s="636" t="s">
        <v>1944</v>
      </c>
      <c r="E995" s="637" t="s">
        <v>1945</v>
      </c>
      <c r="F995" s="636" t="s">
        <v>1946</v>
      </c>
      <c r="G995" s="636" t="s">
        <v>2590</v>
      </c>
      <c r="H995" s="636" t="s">
        <v>1947</v>
      </c>
      <c r="I995" s="636" t="s">
        <v>1948</v>
      </c>
      <c r="J995" s="638" t="s">
        <v>1949</v>
      </c>
      <c r="K995" s="636" t="s">
        <v>1950</v>
      </c>
    </row>
    <row r="996" spans="1:11" ht="15.75" hidden="1">
      <c r="A996" s="927" t="s">
        <v>2796</v>
      </c>
      <c r="B996" s="639" t="s">
        <v>2182</v>
      </c>
      <c r="C996" s="640" t="s">
        <v>2917</v>
      </c>
      <c r="D996" s="640" t="s">
        <v>2728</v>
      </c>
      <c r="E996" s="641">
        <v>245000000</v>
      </c>
      <c r="F996" s="640" t="s">
        <v>2292</v>
      </c>
      <c r="G996" s="640" t="s">
        <v>2605</v>
      </c>
      <c r="H996" s="642" t="s">
        <v>1955</v>
      </c>
      <c r="I996" s="642" t="s">
        <v>1625</v>
      </c>
      <c r="J996" s="642">
        <v>1</v>
      </c>
      <c r="K996" s="640" t="s">
        <v>2482</v>
      </c>
    </row>
    <row r="997" spans="1:11" ht="15.75" hidden="1">
      <c r="A997" s="922">
        <v>44324</v>
      </c>
      <c r="B997" s="618" t="s">
        <v>2182</v>
      </c>
      <c r="C997" s="472" t="s">
        <v>2918</v>
      </c>
      <c r="D997" s="472" t="s">
        <v>2711</v>
      </c>
      <c r="E997" s="475">
        <v>305000000</v>
      </c>
      <c r="F997" s="472" t="s">
        <v>2213</v>
      </c>
      <c r="G997" s="472" t="s">
        <v>30</v>
      </c>
      <c r="H997" s="473" t="s">
        <v>1625</v>
      </c>
      <c r="I997" s="473" t="s">
        <v>1625</v>
      </c>
      <c r="J997" s="473">
        <v>1</v>
      </c>
      <c r="K997" s="472" t="s">
        <v>2482</v>
      </c>
    </row>
    <row r="998" spans="1:11" ht="15.75" hidden="1">
      <c r="A998" s="384" t="s">
        <v>2794</v>
      </c>
      <c r="B998" s="577" t="s">
        <v>2182</v>
      </c>
      <c r="C998" s="385" t="s">
        <v>446</v>
      </c>
      <c r="D998" s="385" t="s">
        <v>2876</v>
      </c>
      <c r="E998" s="462">
        <v>1100000</v>
      </c>
      <c r="F998" s="385" t="s">
        <v>2292</v>
      </c>
      <c r="G998" s="385" t="s">
        <v>2593</v>
      </c>
      <c r="H998" s="387" t="s">
        <v>1625</v>
      </c>
      <c r="I998" s="387" t="s">
        <v>1625</v>
      </c>
      <c r="J998" s="387">
        <v>1</v>
      </c>
      <c r="K998" s="385" t="s">
        <v>1499</v>
      </c>
    </row>
    <row r="999" spans="1:11" ht="15.75" hidden="1">
      <c r="A999" s="393">
        <v>44324</v>
      </c>
      <c r="B999" s="381" t="s">
        <v>2182</v>
      </c>
      <c r="C999" s="411" t="s">
        <v>2919</v>
      </c>
      <c r="D999" s="381" t="s">
        <v>2728</v>
      </c>
      <c r="E999" s="451">
        <v>1000000</v>
      </c>
      <c r="F999" s="381" t="s">
        <v>2292</v>
      </c>
      <c r="G999" s="381" t="s">
        <v>2625</v>
      </c>
      <c r="H999" s="383" t="s">
        <v>1625</v>
      </c>
      <c r="I999" s="383" t="s">
        <v>1625</v>
      </c>
      <c r="J999" s="383">
        <v>1</v>
      </c>
      <c r="K999" s="381" t="s">
        <v>1499</v>
      </c>
    </row>
    <row r="1000" spans="1:11" ht="15.75" hidden="1">
      <c r="A1000" s="479">
        <v>44538</v>
      </c>
      <c r="B1000" s="612" t="s">
        <v>2182</v>
      </c>
      <c r="C1000" s="381" t="s">
        <v>497</v>
      </c>
      <c r="D1000" s="381" t="s">
        <v>2669</v>
      </c>
      <c r="E1000" s="451">
        <v>1300000</v>
      </c>
      <c r="F1000" s="381" t="s">
        <v>2292</v>
      </c>
      <c r="G1000" s="381" t="s">
        <v>2741</v>
      </c>
      <c r="H1000" s="383" t="s">
        <v>1625</v>
      </c>
      <c r="I1000" s="383" t="s">
        <v>1625</v>
      </c>
      <c r="J1000" s="383">
        <v>1</v>
      </c>
      <c r="K1000" s="381" t="s">
        <v>1499</v>
      </c>
    </row>
    <row r="1001" spans="1:11" ht="15.75" hidden="1">
      <c r="A1001" s="456" t="s">
        <v>2892</v>
      </c>
      <c r="B1001" s="457" t="s">
        <v>2182</v>
      </c>
      <c r="C1001" s="457" t="s">
        <v>2920</v>
      </c>
      <c r="D1001" s="457" t="s">
        <v>2728</v>
      </c>
      <c r="E1001" s="476">
        <v>1100000</v>
      </c>
      <c r="F1001" s="457" t="s">
        <v>2292</v>
      </c>
      <c r="G1001" s="457" t="s">
        <v>2625</v>
      </c>
      <c r="H1001" s="153" t="s">
        <v>1625</v>
      </c>
      <c r="I1001" s="153" t="s">
        <v>1625</v>
      </c>
      <c r="J1001" s="383">
        <v>1</v>
      </c>
      <c r="K1001" s="381" t="s">
        <v>1496</v>
      </c>
    </row>
    <row r="1002" spans="1:11" ht="15.75" hidden="1">
      <c r="A1002" s="456" t="s">
        <v>2846</v>
      </c>
      <c r="B1002" s="457" t="s">
        <v>2182</v>
      </c>
      <c r="C1002" s="457" t="s">
        <v>2921</v>
      </c>
      <c r="D1002" s="457" t="s">
        <v>2728</v>
      </c>
      <c r="E1002" s="458">
        <v>1250000</v>
      </c>
      <c r="F1002" s="457" t="s">
        <v>2292</v>
      </c>
      <c r="G1002" s="457" t="s">
        <v>185</v>
      </c>
      <c r="H1002" s="153" t="s">
        <v>1625</v>
      </c>
      <c r="I1002" s="153" t="s">
        <v>1625</v>
      </c>
      <c r="J1002" s="383">
        <v>1</v>
      </c>
      <c r="K1002" s="381" t="s">
        <v>2608</v>
      </c>
    </row>
    <row r="1003" spans="1:11" ht="15.75" hidden="1">
      <c r="A1003" s="456"/>
      <c r="B1003" s="457"/>
      <c r="C1003" s="457"/>
      <c r="D1003" s="457"/>
      <c r="E1003" s="458"/>
      <c r="F1003" s="457"/>
      <c r="G1003" s="457"/>
      <c r="H1003" s="153"/>
      <c r="I1003" s="153"/>
      <c r="J1003" s="383"/>
      <c r="K1003" s="381"/>
    </row>
    <row r="1004" spans="1:11" ht="15.75" hidden="1">
      <c r="A1004" s="456"/>
      <c r="B1004" s="457"/>
      <c r="C1004" s="457"/>
      <c r="D1004" s="457"/>
      <c r="E1004" s="458"/>
      <c r="F1004" s="457"/>
      <c r="G1004" s="457"/>
      <c r="H1004" s="457"/>
      <c r="I1004" s="457"/>
      <c r="J1004" s="493">
        <f>SUM(J996:J1002)</f>
        <v>7</v>
      </c>
      <c r="K1004" s="457"/>
    </row>
    <row r="1005" spans="1:11" hidden="1"/>
    <row r="1006" spans="1:11" hidden="1"/>
    <row r="1007" spans="1:11" hidden="1"/>
    <row r="1008" spans="1:11" ht="26.25" hidden="1">
      <c r="A1008" s="1667" t="s">
        <v>2922</v>
      </c>
      <c r="B1008" s="1667"/>
      <c r="C1008" s="1667"/>
      <c r="D1008" s="1667"/>
      <c r="E1008" s="1667"/>
      <c r="F1008" s="1667"/>
      <c r="G1008" s="1667"/>
      <c r="H1008" s="1667"/>
      <c r="I1008" s="1667"/>
      <c r="J1008" s="1667"/>
      <c r="K1008" s="1667"/>
    </row>
    <row r="1009" spans="1:11" ht="31.5" hidden="1">
      <c r="A1009" s="375" t="s">
        <v>1941</v>
      </c>
      <c r="B1009" s="378" t="s">
        <v>1942</v>
      </c>
      <c r="C1009" s="378" t="s">
        <v>1943</v>
      </c>
      <c r="D1009" s="378" t="s">
        <v>1944</v>
      </c>
      <c r="E1009" s="452" t="s">
        <v>1945</v>
      </c>
      <c r="F1009" s="378" t="s">
        <v>1946</v>
      </c>
      <c r="G1009" s="378" t="s">
        <v>2590</v>
      </c>
      <c r="H1009" s="378" t="s">
        <v>1947</v>
      </c>
      <c r="I1009" s="378" t="s">
        <v>1948</v>
      </c>
      <c r="J1009" s="453" t="s">
        <v>1949</v>
      </c>
      <c r="K1009" s="378" t="s">
        <v>1950</v>
      </c>
    </row>
    <row r="1010" spans="1:11" ht="15.75" hidden="1">
      <c r="A1010" s="384">
        <v>44235</v>
      </c>
      <c r="B1010" s="577" t="s">
        <v>2182</v>
      </c>
      <c r="C1010" s="385" t="s">
        <v>859</v>
      </c>
      <c r="D1010" s="385" t="s">
        <v>2498</v>
      </c>
      <c r="E1010" s="462">
        <v>850000</v>
      </c>
      <c r="F1010" s="385" t="s">
        <v>2213</v>
      </c>
      <c r="G1010" s="385" t="s">
        <v>185</v>
      </c>
      <c r="H1010" s="387" t="s">
        <v>1625</v>
      </c>
      <c r="I1010" s="387" t="s">
        <v>1625</v>
      </c>
      <c r="J1010" s="387">
        <v>1</v>
      </c>
      <c r="K1010" s="385" t="s">
        <v>2608</v>
      </c>
    </row>
    <row r="1011" spans="1:11" ht="15.75" hidden="1">
      <c r="A1011" s="384">
        <v>44235</v>
      </c>
      <c r="B1011" s="577" t="s">
        <v>1966</v>
      </c>
      <c r="C1011" s="385" t="s">
        <v>2923</v>
      </c>
      <c r="D1011" s="385" t="s">
        <v>2924</v>
      </c>
      <c r="E1011" s="462">
        <v>1300000</v>
      </c>
      <c r="F1011" s="385" t="s">
        <v>2213</v>
      </c>
      <c r="G1011" s="385" t="s">
        <v>185</v>
      </c>
      <c r="H1011" s="387" t="s">
        <v>1625</v>
      </c>
      <c r="I1011" s="387" t="s">
        <v>1625</v>
      </c>
      <c r="J1011" s="387">
        <v>1</v>
      </c>
      <c r="K1011" s="385" t="s">
        <v>2608</v>
      </c>
    </row>
    <row r="1012" spans="1:11" ht="15.75" hidden="1">
      <c r="A1012" s="384">
        <v>44294</v>
      </c>
      <c r="B1012" s="577" t="s">
        <v>2182</v>
      </c>
      <c r="C1012" s="385" t="s">
        <v>478</v>
      </c>
      <c r="D1012" s="385" t="s">
        <v>2498</v>
      </c>
      <c r="E1012" s="462">
        <v>1200000</v>
      </c>
      <c r="F1012" s="385" t="s">
        <v>1968</v>
      </c>
      <c r="G1012" s="385" t="s">
        <v>2593</v>
      </c>
      <c r="H1012" s="387" t="s">
        <v>1625</v>
      </c>
      <c r="I1012" s="387" t="s">
        <v>1625</v>
      </c>
      <c r="J1012" s="387">
        <v>1</v>
      </c>
      <c r="K1012" s="385" t="s">
        <v>2608</v>
      </c>
    </row>
    <row r="1013" spans="1:11" ht="15.75" hidden="1">
      <c r="A1013" s="443">
        <v>44294</v>
      </c>
      <c r="B1013" s="684" t="s">
        <v>2182</v>
      </c>
      <c r="C1013" s="381" t="s">
        <v>507</v>
      </c>
      <c r="D1013" s="411" t="s">
        <v>2498</v>
      </c>
      <c r="E1013" s="451">
        <v>1300000</v>
      </c>
      <c r="F1013" s="381" t="s">
        <v>1968</v>
      </c>
      <c r="G1013" s="381" t="s">
        <v>30</v>
      </c>
      <c r="H1013" s="383" t="s">
        <v>1625</v>
      </c>
      <c r="I1013" s="383" t="s">
        <v>1625</v>
      </c>
      <c r="J1013" s="383">
        <v>1</v>
      </c>
      <c r="K1013" s="381" t="s">
        <v>1499</v>
      </c>
    </row>
    <row r="1014" spans="1:11" ht="15.75" hidden="1">
      <c r="A1014" s="443" t="s">
        <v>2925</v>
      </c>
      <c r="B1014" s="684" t="s">
        <v>2182</v>
      </c>
      <c r="C1014" s="385" t="s">
        <v>2926</v>
      </c>
      <c r="D1014" s="411" t="s">
        <v>2498</v>
      </c>
      <c r="E1014" s="451">
        <v>1250000</v>
      </c>
      <c r="F1014" s="381" t="s">
        <v>1968</v>
      </c>
      <c r="G1014" s="381" t="s">
        <v>2741</v>
      </c>
      <c r="H1014" s="383" t="s">
        <v>1625</v>
      </c>
      <c r="I1014" s="383" t="s">
        <v>1625</v>
      </c>
      <c r="J1014" s="383">
        <v>1</v>
      </c>
      <c r="K1014" s="381" t="s">
        <v>2608</v>
      </c>
    </row>
    <row r="1015" spans="1:11" ht="15.75" hidden="1">
      <c r="A1015" s="393" t="s">
        <v>2785</v>
      </c>
      <c r="B1015" s="575" t="s">
        <v>1966</v>
      </c>
      <c r="C1015" s="685" t="s">
        <v>2927</v>
      </c>
      <c r="D1015" s="411" t="s">
        <v>75</v>
      </c>
      <c r="E1015" s="451">
        <v>850000</v>
      </c>
      <c r="F1015" s="381" t="s">
        <v>2213</v>
      </c>
      <c r="G1015" s="381" t="s">
        <v>185</v>
      </c>
      <c r="H1015" s="383" t="s">
        <v>1625</v>
      </c>
      <c r="I1015" s="383" t="s">
        <v>1625</v>
      </c>
      <c r="J1015" s="383">
        <v>1</v>
      </c>
      <c r="K1015" s="381" t="s">
        <v>2608</v>
      </c>
    </row>
    <row r="1016" spans="1:11" ht="15.75" hidden="1">
      <c r="A1016" s="393" t="s">
        <v>2785</v>
      </c>
      <c r="B1016" s="575" t="s">
        <v>2182</v>
      </c>
      <c r="C1016" s="686" t="s">
        <v>417</v>
      </c>
      <c r="D1016" s="411" t="s">
        <v>2498</v>
      </c>
      <c r="E1016" s="451">
        <v>1200000</v>
      </c>
      <c r="F1016" s="381" t="s">
        <v>2213</v>
      </c>
      <c r="G1016" s="381" t="s">
        <v>185</v>
      </c>
      <c r="H1016" s="383" t="s">
        <v>1625</v>
      </c>
      <c r="I1016" s="383" t="s">
        <v>1625</v>
      </c>
      <c r="J1016" s="383">
        <v>1</v>
      </c>
      <c r="K1016" s="381" t="s">
        <v>2608</v>
      </c>
    </row>
    <row r="1017" spans="1:11" ht="15.75" hidden="1">
      <c r="A1017" s="393" t="s">
        <v>2789</v>
      </c>
      <c r="B1017" s="381" t="s">
        <v>2182</v>
      </c>
      <c r="C1017" s="406" t="s">
        <v>2928</v>
      </c>
      <c r="D1017" s="411" t="s">
        <v>2498</v>
      </c>
      <c r="E1017" s="451">
        <v>1200000</v>
      </c>
      <c r="F1017" s="381" t="s">
        <v>2213</v>
      </c>
      <c r="G1017" s="381" t="s">
        <v>2741</v>
      </c>
      <c r="H1017" s="383" t="s">
        <v>1625</v>
      </c>
      <c r="I1017" s="383" t="s">
        <v>1625</v>
      </c>
      <c r="J1017" s="383">
        <v>1</v>
      </c>
      <c r="K1017" s="381" t="s">
        <v>2608</v>
      </c>
    </row>
    <row r="1018" spans="1:11" ht="15.75" hidden="1">
      <c r="A1018" s="412"/>
      <c r="B1018" s="381"/>
      <c r="C1018" s="381"/>
      <c r="D1018" s="411"/>
      <c r="E1018" s="451"/>
      <c r="F1018" s="381"/>
      <c r="G1018" s="381"/>
      <c r="H1018" s="383"/>
      <c r="I1018" s="383"/>
      <c r="J1018" s="383"/>
      <c r="K1018" s="381"/>
    </row>
    <row r="1019" spans="1:11" ht="15.75" hidden="1">
      <c r="A1019" s="419"/>
      <c r="B1019" s="420"/>
      <c r="C1019" s="420"/>
      <c r="D1019" s="457"/>
      <c r="E1019" s="458"/>
      <c r="F1019" s="153"/>
      <c r="G1019" s="153"/>
      <c r="H1019" s="457"/>
      <c r="I1019" s="457"/>
      <c r="J1019" s="493">
        <f>SUM(J1010:J1018)</f>
        <v>8</v>
      </c>
      <c r="K1019" s="457"/>
    </row>
    <row r="1020" spans="1:11" ht="15.75">
      <c r="A1020" s="394"/>
      <c r="B1020" s="395"/>
      <c r="C1020" s="395"/>
      <c r="D1020" s="395"/>
      <c r="E1020" s="396"/>
      <c r="F1020" s="397"/>
      <c r="G1020" s="397"/>
      <c r="H1020" s="395"/>
      <c r="I1020" s="395"/>
      <c r="J1020" s="397"/>
      <c r="K1020" s="395"/>
    </row>
    <row r="1022" spans="1:11" ht="15" customHeight="1">
      <c r="A1022" s="1665" t="s">
        <v>2929</v>
      </c>
      <c r="B1022" s="1665"/>
      <c r="C1022" s="1665"/>
      <c r="D1022" s="1665"/>
      <c r="E1022" s="1665"/>
      <c r="F1022" s="1665"/>
      <c r="G1022" s="1665"/>
      <c r="H1022" s="1665"/>
      <c r="I1022" s="1665"/>
      <c r="J1022" s="1665"/>
      <c r="K1022" s="1665"/>
    </row>
    <row r="1023" spans="1:11">
      <c r="A1023" s="1666"/>
      <c r="B1023" s="1666"/>
      <c r="C1023" s="1666"/>
      <c r="D1023" s="1666"/>
      <c r="E1023" s="1666"/>
      <c r="F1023" s="1666"/>
      <c r="G1023" s="1666"/>
      <c r="H1023" s="1666"/>
      <c r="I1023" s="1666"/>
      <c r="J1023" s="1666"/>
      <c r="K1023" s="1666"/>
    </row>
    <row r="1025" spans="1:11" ht="26.25">
      <c r="A1025" s="1667" t="s">
        <v>2930</v>
      </c>
      <c r="B1025" s="1667"/>
      <c r="C1025" s="1667"/>
      <c r="D1025" s="1667"/>
      <c r="E1025" s="1667"/>
      <c r="F1025" s="1667"/>
      <c r="G1025" s="1667"/>
      <c r="H1025" s="1667"/>
      <c r="I1025" s="1667"/>
      <c r="J1025" s="1667"/>
      <c r="K1025" s="1667"/>
    </row>
    <row r="1026" spans="1:11" ht="31.5">
      <c r="A1026" s="375" t="s">
        <v>1941</v>
      </c>
      <c r="B1026" s="378" t="s">
        <v>1942</v>
      </c>
      <c r="C1026" s="378" t="s">
        <v>1943</v>
      </c>
      <c r="D1026" s="378" t="s">
        <v>1944</v>
      </c>
      <c r="E1026" s="452" t="s">
        <v>1945</v>
      </c>
      <c r="F1026" s="378" t="s">
        <v>1946</v>
      </c>
      <c r="G1026" s="378" t="s">
        <v>2590</v>
      </c>
      <c r="H1026" s="378" t="s">
        <v>1947</v>
      </c>
      <c r="I1026" s="378" t="s">
        <v>1948</v>
      </c>
      <c r="J1026" s="453" t="s">
        <v>1949</v>
      </c>
      <c r="K1026" s="378" t="s">
        <v>10</v>
      </c>
    </row>
    <row r="1027" spans="1:11" ht="15.75">
      <c r="A1027" s="454" t="s">
        <v>2931</v>
      </c>
      <c r="B1027" s="455" t="s">
        <v>2182</v>
      </c>
      <c r="C1027" s="455" t="s">
        <v>2932</v>
      </c>
      <c r="D1027" s="455" t="s">
        <v>2933</v>
      </c>
      <c r="E1027" s="461">
        <v>250000000</v>
      </c>
      <c r="F1027" s="464" t="s">
        <v>2213</v>
      </c>
      <c r="G1027" s="464" t="s">
        <v>2741</v>
      </c>
      <c r="H1027" s="460" t="s">
        <v>1955</v>
      </c>
      <c r="I1027" s="460" t="s">
        <v>1625</v>
      </c>
      <c r="J1027" s="460">
        <v>1</v>
      </c>
      <c r="K1027" s="455" t="s">
        <v>2482</v>
      </c>
    </row>
    <row r="1028" spans="1:11" ht="15.75">
      <c r="A1028" s="507" t="s">
        <v>2931</v>
      </c>
      <c r="B1028" s="472" t="s">
        <v>2182</v>
      </c>
      <c r="C1028" s="455" t="s">
        <v>125</v>
      </c>
      <c r="D1028" s="455" t="s">
        <v>75</v>
      </c>
      <c r="E1028" s="461">
        <v>280000000</v>
      </c>
      <c r="F1028" s="464" t="s">
        <v>2292</v>
      </c>
      <c r="G1028" s="656" t="s">
        <v>2741</v>
      </c>
      <c r="H1028" s="460" t="s">
        <v>1955</v>
      </c>
      <c r="I1028" s="460" t="s">
        <v>1625</v>
      </c>
      <c r="J1028" s="460">
        <v>1</v>
      </c>
      <c r="K1028" s="455" t="s">
        <v>2482</v>
      </c>
    </row>
    <row r="1029" spans="1:11" ht="15.75">
      <c r="A1029" s="454"/>
      <c r="B1029" s="455"/>
      <c r="C1029" s="459"/>
      <c r="D1029" s="455"/>
      <c r="E1029" s="461"/>
      <c r="F1029" s="654"/>
      <c r="G1029" s="464"/>
      <c r="H1029" s="655"/>
      <c r="I1029" s="460"/>
      <c r="J1029" s="460"/>
      <c r="K1029" s="455"/>
    </row>
    <row r="1030" spans="1:11" ht="15.75">
      <c r="A1030" s="479" t="s">
        <v>2934</v>
      </c>
      <c r="B1030" s="612" t="s">
        <v>2182</v>
      </c>
      <c r="C1030" s="381" t="s">
        <v>2935</v>
      </c>
      <c r="D1030" s="381" t="s">
        <v>2845</v>
      </c>
      <c r="E1030" s="451">
        <v>1500000</v>
      </c>
      <c r="F1030" s="304" t="s">
        <v>2292</v>
      </c>
      <c r="G1030" s="275" t="s">
        <v>185</v>
      </c>
      <c r="H1030" s="531" t="s">
        <v>1625</v>
      </c>
      <c r="I1030" s="383" t="s">
        <v>1625</v>
      </c>
      <c r="J1030" s="383">
        <v>1</v>
      </c>
      <c r="K1030" s="381" t="s">
        <v>1499</v>
      </c>
    </row>
    <row r="1031" spans="1:11" ht="15.75">
      <c r="A1031" s="412" t="s">
        <v>2936</v>
      </c>
      <c r="B1031" s="411" t="s">
        <v>2182</v>
      </c>
      <c r="C1031" s="381" t="s">
        <v>2937</v>
      </c>
      <c r="D1031" s="381" t="s">
        <v>75</v>
      </c>
      <c r="E1031" s="451">
        <v>1900000</v>
      </c>
      <c r="F1031" s="304" t="s">
        <v>2292</v>
      </c>
      <c r="G1031" s="275" t="s">
        <v>2625</v>
      </c>
      <c r="H1031" s="531" t="s">
        <v>1625</v>
      </c>
      <c r="I1031" s="383" t="s">
        <v>1625</v>
      </c>
      <c r="J1031" s="383">
        <v>1</v>
      </c>
      <c r="K1031" s="381" t="s">
        <v>1499</v>
      </c>
    </row>
    <row r="1032" spans="1:11" ht="15.75">
      <c r="A1032" s="405"/>
      <c r="B1032" s="406"/>
      <c r="C1032" s="406"/>
      <c r="D1032" s="406"/>
      <c r="E1032" s="490"/>
      <c r="F1032" s="491"/>
      <c r="G1032" s="491"/>
      <c r="H1032" s="408"/>
      <c r="I1032" s="408"/>
      <c r="J1032" s="408"/>
      <c r="K1032" s="406"/>
    </row>
    <row r="1033" spans="1:11" ht="15.75">
      <c r="A1033" s="419"/>
      <c r="B1033" s="420"/>
      <c r="C1033" s="420"/>
      <c r="D1033" s="420"/>
      <c r="E1033" s="463"/>
      <c r="F1033" s="466"/>
      <c r="G1033" s="466"/>
      <c r="H1033" s="422"/>
      <c r="I1033" s="422"/>
      <c r="J1033" s="492">
        <f>SUM(J1027:J1032)</f>
        <v>4</v>
      </c>
      <c r="K1033" s="420"/>
    </row>
    <row r="1034" spans="1:11" ht="15.75">
      <c r="A1034" s="394"/>
      <c r="B1034" s="395"/>
      <c r="C1034" s="395"/>
      <c r="D1034" s="395"/>
      <c r="E1034" s="706"/>
      <c r="F1034" s="707"/>
      <c r="G1034" s="707"/>
      <c r="H1034" s="397"/>
      <c r="I1034" s="397"/>
      <c r="J1034" s="397"/>
      <c r="K1034" s="395"/>
    </row>
    <row r="1035" spans="1:11" ht="15.75">
      <c r="A1035" s="394"/>
      <c r="B1035" s="395"/>
      <c r="C1035" s="395"/>
      <c r="D1035" s="395"/>
      <c r="E1035" s="706"/>
      <c r="F1035" s="707"/>
      <c r="G1035" s="707"/>
      <c r="H1035" s="397"/>
      <c r="I1035" s="397"/>
      <c r="J1035" s="397"/>
      <c r="K1035" s="395"/>
    </row>
    <row r="1036" spans="1:11" ht="15.75">
      <c r="A1036" s="394"/>
      <c r="B1036" s="395"/>
      <c r="C1036" s="395"/>
      <c r="D1036" s="395"/>
      <c r="E1036" s="396"/>
      <c r="F1036" s="397"/>
      <c r="G1036" s="397"/>
      <c r="H1036" s="397"/>
      <c r="I1036" s="395"/>
      <c r="J1036" s="395"/>
      <c r="K1036" s="395"/>
    </row>
    <row r="1037" spans="1:11" ht="26.25">
      <c r="A1037" s="1667" t="s">
        <v>2938</v>
      </c>
      <c r="B1037" s="1667"/>
      <c r="C1037" s="1667"/>
      <c r="D1037" s="1667"/>
      <c r="E1037" s="1667"/>
      <c r="F1037" s="1667"/>
      <c r="G1037" s="1667"/>
      <c r="H1037" s="1667"/>
      <c r="I1037" s="1667"/>
      <c r="J1037" s="1667"/>
      <c r="K1037" s="1667"/>
    </row>
    <row r="1038" spans="1:11" ht="31.5">
      <c r="A1038" s="375" t="s">
        <v>1941</v>
      </c>
      <c r="B1038" s="378" t="s">
        <v>1942</v>
      </c>
      <c r="C1038" s="378" t="s">
        <v>1943</v>
      </c>
      <c r="D1038" s="378" t="s">
        <v>1944</v>
      </c>
      <c r="E1038" s="452" t="s">
        <v>1945</v>
      </c>
      <c r="F1038" s="378" t="s">
        <v>1946</v>
      </c>
      <c r="G1038" s="378" t="s">
        <v>2590</v>
      </c>
      <c r="H1038" s="378" t="s">
        <v>1947</v>
      </c>
      <c r="I1038" s="378" t="s">
        <v>1948</v>
      </c>
      <c r="J1038" s="453" t="s">
        <v>1949</v>
      </c>
      <c r="K1038" s="378" t="s">
        <v>1950</v>
      </c>
    </row>
    <row r="1039" spans="1:11" ht="15.75">
      <c r="A1039" s="474">
        <v>44417</v>
      </c>
      <c r="B1039" s="472" t="s">
        <v>1966</v>
      </c>
      <c r="C1039" s="472" t="s">
        <v>2939</v>
      </c>
      <c r="D1039" s="472" t="s">
        <v>75</v>
      </c>
      <c r="E1039" s="475">
        <v>1000000000</v>
      </c>
      <c r="F1039" s="472" t="s">
        <v>2292</v>
      </c>
      <c r="G1039" s="472" t="s">
        <v>2605</v>
      </c>
      <c r="H1039" s="473" t="s">
        <v>1625</v>
      </c>
      <c r="I1039" s="473" t="s">
        <v>1625</v>
      </c>
      <c r="J1039" s="473">
        <v>1</v>
      </c>
      <c r="K1039" s="472" t="s">
        <v>2482</v>
      </c>
    </row>
    <row r="1040" spans="1:11" ht="15.75">
      <c r="A1040" s="474" t="s">
        <v>2940</v>
      </c>
      <c r="B1040" s="455" t="s">
        <v>2182</v>
      </c>
      <c r="C1040" s="455" t="s">
        <v>2941</v>
      </c>
      <c r="D1040" s="455" t="s">
        <v>2849</v>
      </c>
      <c r="E1040" s="461">
        <v>200000000</v>
      </c>
      <c r="F1040" s="455" t="s">
        <v>2292</v>
      </c>
      <c r="G1040" s="455" t="s">
        <v>2625</v>
      </c>
      <c r="H1040" s="460" t="s">
        <v>1955</v>
      </c>
      <c r="I1040" s="460" t="s">
        <v>1625</v>
      </c>
      <c r="J1040" s="460">
        <v>1</v>
      </c>
      <c r="K1040" s="455" t="s">
        <v>2482</v>
      </c>
    </row>
    <row r="1041" spans="1:11" ht="15.75">
      <c r="A1041" s="507" t="s">
        <v>2940</v>
      </c>
      <c r="B1041" s="459" t="s">
        <v>2182</v>
      </c>
      <c r="C1041" s="455" t="s">
        <v>2942</v>
      </c>
      <c r="D1041" s="455" t="s">
        <v>75</v>
      </c>
      <c r="E1041" s="461">
        <v>510000000</v>
      </c>
      <c r="F1041" s="455" t="s">
        <v>2292</v>
      </c>
      <c r="G1041" s="455" t="s">
        <v>2741</v>
      </c>
      <c r="H1041" s="460" t="s">
        <v>1625</v>
      </c>
      <c r="I1041" s="460" t="s">
        <v>1625</v>
      </c>
      <c r="J1041" s="460">
        <v>1</v>
      </c>
      <c r="K1041" s="455" t="s">
        <v>2482</v>
      </c>
    </row>
    <row r="1042" spans="1:11" ht="15.75">
      <c r="A1042" s="412" t="s">
        <v>2943</v>
      </c>
      <c r="B1042" s="426" t="s">
        <v>2182</v>
      </c>
      <c r="C1042" s="385" t="s">
        <v>2944</v>
      </c>
      <c r="D1042" s="385" t="s">
        <v>2945</v>
      </c>
      <c r="E1042" s="462">
        <v>900000</v>
      </c>
      <c r="F1042" s="385" t="s">
        <v>2213</v>
      </c>
      <c r="G1042" s="385" t="s">
        <v>2605</v>
      </c>
      <c r="H1042" s="387" t="s">
        <v>1625</v>
      </c>
      <c r="I1042" s="387" t="s">
        <v>1625</v>
      </c>
      <c r="J1042" s="387">
        <v>1</v>
      </c>
      <c r="K1042" s="385" t="s">
        <v>1171</v>
      </c>
    </row>
    <row r="1043" spans="1:11" ht="15.75">
      <c r="A1043" s="479" t="s">
        <v>2943</v>
      </c>
      <c r="B1043" s="381" t="s">
        <v>2182</v>
      </c>
      <c r="C1043" s="381" t="s">
        <v>2946</v>
      </c>
      <c r="D1043" s="381" t="s">
        <v>2502</v>
      </c>
      <c r="E1043" s="451">
        <v>1400000</v>
      </c>
      <c r="F1043" s="381" t="s">
        <v>2306</v>
      </c>
      <c r="G1043" s="381" t="s">
        <v>2873</v>
      </c>
      <c r="H1043" s="383" t="s">
        <v>1625</v>
      </c>
      <c r="I1043" s="383" t="s">
        <v>1625</v>
      </c>
      <c r="J1043" s="383">
        <v>1</v>
      </c>
      <c r="K1043" s="381" t="s">
        <v>1499</v>
      </c>
    </row>
    <row r="1044" spans="1:11" ht="15.75">
      <c r="A1044" s="481">
        <v>44236</v>
      </c>
      <c r="B1044" s="482" t="s">
        <v>2182</v>
      </c>
      <c r="C1044" s="482" t="s">
        <v>2947</v>
      </c>
      <c r="D1044" s="482" t="s">
        <v>2948</v>
      </c>
      <c r="E1044" s="483">
        <v>1200000</v>
      </c>
      <c r="F1044" s="482" t="s">
        <v>2292</v>
      </c>
      <c r="G1044" s="482" t="s">
        <v>2605</v>
      </c>
      <c r="H1044" s="484" t="s">
        <v>1625</v>
      </c>
      <c r="I1044" s="484" t="s">
        <v>1625</v>
      </c>
      <c r="J1044" s="484">
        <v>1</v>
      </c>
      <c r="K1044" s="482" t="s">
        <v>1499</v>
      </c>
    </row>
    <row r="1045" spans="1:11" ht="15.75">
      <c r="A1045" s="443" t="s">
        <v>2949</v>
      </c>
      <c r="B1045" s="381" t="s">
        <v>2182</v>
      </c>
      <c r="C1045" s="381" t="s">
        <v>2950</v>
      </c>
      <c r="D1045" s="381" t="s">
        <v>2506</v>
      </c>
      <c r="E1045" s="451">
        <v>1650000</v>
      </c>
      <c r="F1045" s="381" t="s">
        <v>2292</v>
      </c>
      <c r="G1045" s="381" t="s">
        <v>2605</v>
      </c>
      <c r="H1045" s="383" t="s">
        <v>1625</v>
      </c>
      <c r="I1045" s="383" t="s">
        <v>1625</v>
      </c>
      <c r="J1045" s="383">
        <v>1</v>
      </c>
      <c r="K1045" s="381" t="s">
        <v>1171</v>
      </c>
    </row>
    <row r="1046" spans="1:11" ht="15.75">
      <c r="A1046" s="412">
        <v>44264</v>
      </c>
      <c r="B1046" s="411" t="s">
        <v>2182</v>
      </c>
      <c r="C1046" s="381" t="s">
        <v>480</v>
      </c>
      <c r="D1046" s="381" t="s">
        <v>75</v>
      </c>
      <c r="E1046" s="451">
        <v>1350000</v>
      </c>
      <c r="F1046" s="381" t="s">
        <v>2292</v>
      </c>
      <c r="G1046" s="381" t="s">
        <v>2605</v>
      </c>
      <c r="H1046" s="383" t="s">
        <v>1625</v>
      </c>
      <c r="I1046" s="383" t="s">
        <v>1625</v>
      </c>
      <c r="J1046" s="383">
        <v>1</v>
      </c>
      <c r="K1046" s="381" t="s">
        <v>1171</v>
      </c>
    </row>
    <row r="1047" spans="1:11" ht="15.75">
      <c r="A1047" s="412">
        <v>44264</v>
      </c>
      <c r="B1047" s="411" t="s">
        <v>2182</v>
      </c>
      <c r="C1047" s="381" t="s">
        <v>2951</v>
      </c>
      <c r="D1047" s="381" t="s">
        <v>2502</v>
      </c>
      <c r="E1047" s="451">
        <v>1500000</v>
      </c>
      <c r="F1047" s="381" t="s">
        <v>2952</v>
      </c>
      <c r="G1047" s="381" t="s">
        <v>2873</v>
      </c>
      <c r="H1047" s="383" t="s">
        <v>1625</v>
      </c>
      <c r="I1047" s="383" t="s">
        <v>1625</v>
      </c>
      <c r="J1047" s="383">
        <v>1</v>
      </c>
      <c r="K1047" s="381" t="s">
        <v>1245</v>
      </c>
    </row>
    <row r="1048" spans="1:11" ht="15.75">
      <c r="A1048" s="412">
        <v>7</v>
      </c>
      <c r="B1048" s="411" t="s">
        <v>2182</v>
      </c>
      <c r="C1048" s="381" t="s">
        <v>2953</v>
      </c>
      <c r="D1048" s="381" t="s">
        <v>2707</v>
      </c>
      <c r="E1048" s="451">
        <v>1700000</v>
      </c>
      <c r="F1048" s="381" t="s">
        <v>2292</v>
      </c>
      <c r="G1048" s="381" t="s">
        <v>2741</v>
      </c>
      <c r="H1048" s="383" t="s">
        <v>1625</v>
      </c>
      <c r="I1048" s="383" t="s">
        <v>1625</v>
      </c>
      <c r="J1048" s="383">
        <v>1</v>
      </c>
      <c r="K1048" s="381" t="s">
        <v>1496</v>
      </c>
    </row>
    <row r="1049" spans="1:11" ht="15.75">
      <c r="A1049" s="412">
        <v>44356</v>
      </c>
      <c r="B1049" s="411" t="s">
        <v>2182</v>
      </c>
      <c r="C1049" s="381" t="s">
        <v>473</v>
      </c>
      <c r="D1049" s="381" t="s">
        <v>2326</v>
      </c>
      <c r="E1049" s="451">
        <v>850000</v>
      </c>
      <c r="F1049" s="381" t="s">
        <v>2292</v>
      </c>
      <c r="G1049" s="381" t="s">
        <v>2741</v>
      </c>
      <c r="H1049" s="383" t="s">
        <v>1625</v>
      </c>
      <c r="I1049" s="383" t="s">
        <v>1625</v>
      </c>
      <c r="J1049" s="383">
        <v>1</v>
      </c>
      <c r="K1049" s="381" t="s">
        <v>1499</v>
      </c>
    </row>
    <row r="1050" spans="1:11" ht="15.75">
      <c r="A1050" s="393">
        <v>44356</v>
      </c>
      <c r="B1050" s="381" t="s">
        <v>2182</v>
      </c>
      <c r="C1050" s="381" t="s">
        <v>2954</v>
      </c>
      <c r="D1050" s="381" t="s">
        <v>2955</v>
      </c>
      <c r="E1050" s="451">
        <v>1200000</v>
      </c>
      <c r="F1050" s="381" t="s">
        <v>2213</v>
      </c>
      <c r="G1050" s="381" t="s">
        <v>2741</v>
      </c>
      <c r="H1050" s="383" t="s">
        <v>1625</v>
      </c>
      <c r="I1050" s="383" t="s">
        <v>1625</v>
      </c>
      <c r="J1050" s="383">
        <v>1</v>
      </c>
      <c r="K1050" s="381" t="s">
        <v>1171</v>
      </c>
    </row>
    <row r="1051" spans="1:11" ht="15.75">
      <c r="A1051" s="393">
        <v>44386</v>
      </c>
      <c r="B1051" s="381" t="s">
        <v>2182</v>
      </c>
      <c r="C1051" s="381" t="s">
        <v>479</v>
      </c>
      <c r="D1051" s="381" t="s">
        <v>2956</v>
      </c>
      <c r="E1051" s="451">
        <v>1200000</v>
      </c>
      <c r="F1051" s="381" t="s">
        <v>2292</v>
      </c>
      <c r="G1051" s="381" t="s">
        <v>2741</v>
      </c>
      <c r="H1051" s="383" t="s">
        <v>1625</v>
      </c>
      <c r="I1051" s="383" t="s">
        <v>1625</v>
      </c>
      <c r="J1051" s="383">
        <v>1</v>
      </c>
      <c r="K1051" s="381" t="s">
        <v>1499</v>
      </c>
    </row>
    <row r="1052" spans="1:11" ht="15.75">
      <c r="A1052" s="393">
        <v>44417</v>
      </c>
      <c r="B1052" s="381" t="s">
        <v>2182</v>
      </c>
      <c r="C1052" s="381" t="s">
        <v>2957</v>
      </c>
      <c r="D1052" s="381" t="s">
        <v>75</v>
      </c>
      <c r="E1052" s="451">
        <v>3300000</v>
      </c>
      <c r="F1052" s="381" t="s">
        <v>2292</v>
      </c>
      <c r="G1052" s="381" t="s">
        <v>2605</v>
      </c>
      <c r="H1052" s="383" t="s">
        <v>1625</v>
      </c>
      <c r="I1052" s="383" t="s">
        <v>1625</v>
      </c>
      <c r="J1052" s="383">
        <v>1</v>
      </c>
      <c r="K1052" s="381" t="s">
        <v>1499</v>
      </c>
    </row>
    <row r="1053" spans="1:11" ht="15.75">
      <c r="A1053" s="393" t="s">
        <v>2958</v>
      </c>
      <c r="B1053" s="381" t="s">
        <v>2182</v>
      </c>
      <c r="C1053" s="381" t="s">
        <v>486</v>
      </c>
      <c r="D1053" s="381" t="s">
        <v>2502</v>
      </c>
      <c r="E1053" s="451">
        <v>1250000</v>
      </c>
      <c r="F1053" s="381" t="s">
        <v>2292</v>
      </c>
      <c r="G1053" s="381" t="s">
        <v>2605</v>
      </c>
      <c r="H1053" s="383" t="s">
        <v>1625</v>
      </c>
      <c r="I1053" s="383" t="s">
        <v>1625</v>
      </c>
      <c r="J1053" s="383">
        <v>1</v>
      </c>
      <c r="K1053" s="381" t="s">
        <v>1496</v>
      </c>
    </row>
    <row r="1054" spans="1:11" ht="15.75">
      <c r="A1054" s="393" t="s">
        <v>2958</v>
      </c>
      <c r="B1054" s="381" t="s">
        <v>2182</v>
      </c>
      <c r="C1054" s="381" t="s">
        <v>2959</v>
      </c>
      <c r="D1054" s="381" t="s">
        <v>2498</v>
      </c>
      <c r="E1054" s="451">
        <v>1350000</v>
      </c>
      <c r="F1054" s="381" t="s">
        <v>2292</v>
      </c>
      <c r="G1054" s="381" t="s">
        <v>2741</v>
      </c>
      <c r="H1054" s="383" t="s">
        <v>1955</v>
      </c>
      <c r="I1054" s="383" t="s">
        <v>1625</v>
      </c>
      <c r="J1054" s="383">
        <v>1</v>
      </c>
      <c r="K1054" s="381" t="s">
        <v>1499</v>
      </c>
    </row>
    <row r="1055" spans="1:11" ht="15.75">
      <c r="A1055" s="393" t="s">
        <v>2958</v>
      </c>
      <c r="B1055" s="381" t="s">
        <v>2182</v>
      </c>
      <c r="C1055" s="381" t="s">
        <v>2960</v>
      </c>
      <c r="D1055" s="381" t="s">
        <v>2573</v>
      </c>
      <c r="E1055" s="451">
        <v>1500000</v>
      </c>
      <c r="F1055" s="381" t="s">
        <v>2292</v>
      </c>
      <c r="G1055" s="381" t="s">
        <v>2605</v>
      </c>
      <c r="H1055" s="383" t="s">
        <v>1955</v>
      </c>
      <c r="I1055" s="383" t="s">
        <v>1625</v>
      </c>
      <c r="J1055" s="383">
        <v>1</v>
      </c>
      <c r="K1055" s="381" t="s">
        <v>1499</v>
      </c>
    </row>
    <row r="1056" spans="1:11" ht="15.75">
      <c r="A1056" s="393" t="s">
        <v>2961</v>
      </c>
      <c r="B1056" s="381" t="s">
        <v>2182</v>
      </c>
      <c r="C1056" s="381" t="s">
        <v>2941</v>
      </c>
      <c r="D1056" s="381" t="s">
        <v>2849</v>
      </c>
      <c r="E1056" s="451">
        <v>1200000</v>
      </c>
      <c r="F1056" s="381" t="s">
        <v>2292</v>
      </c>
      <c r="G1056" s="381" t="s">
        <v>2605</v>
      </c>
      <c r="H1056" s="383" t="s">
        <v>1625</v>
      </c>
      <c r="I1056" s="383" t="s">
        <v>1625</v>
      </c>
      <c r="J1056" s="383">
        <v>1</v>
      </c>
      <c r="K1056" s="381" t="s">
        <v>1499</v>
      </c>
    </row>
    <row r="1057" spans="1:11" ht="15.75">
      <c r="A1057" s="393" t="s">
        <v>2940</v>
      </c>
      <c r="B1057" s="381" t="s">
        <v>2182</v>
      </c>
      <c r="C1057" s="381" t="s">
        <v>2962</v>
      </c>
      <c r="D1057" s="381" t="s">
        <v>75</v>
      </c>
      <c r="E1057" s="451">
        <v>1700000</v>
      </c>
      <c r="F1057" s="381" t="s">
        <v>2292</v>
      </c>
      <c r="G1057" s="381" t="s">
        <v>2741</v>
      </c>
      <c r="H1057" s="383" t="s">
        <v>1955</v>
      </c>
      <c r="I1057" s="383" t="s">
        <v>1625</v>
      </c>
      <c r="J1057" s="383">
        <v>1</v>
      </c>
      <c r="K1057" s="381" t="s">
        <v>1499</v>
      </c>
    </row>
    <row r="1058" spans="1:11" ht="15.75">
      <c r="A1058" s="393" t="s">
        <v>2940</v>
      </c>
      <c r="B1058" s="381" t="s">
        <v>2182</v>
      </c>
      <c r="C1058" s="381" t="s">
        <v>2942</v>
      </c>
      <c r="D1058" s="381" t="s">
        <v>75</v>
      </c>
      <c r="E1058" s="451">
        <v>2300000</v>
      </c>
      <c r="F1058" s="381" t="s">
        <v>2292</v>
      </c>
      <c r="G1058" s="381" t="s">
        <v>2741</v>
      </c>
      <c r="H1058" s="383" t="s">
        <v>1625</v>
      </c>
      <c r="I1058" s="383" t="s">
        <v>1625</v>
      </c>
      <c r="J1058" s="383">
        <v>1</v>
      </c>
      <c r="K1058" s="381" t="s">
        <v>1496</v>
      </c>
    </row>
    <row r="1059" spans="1:11" ht="15.75">
      <c r="A1059" s="393" t="s">
        <v>2963</v>
      </c>
      <c r="B1059" s="381" t="s">
        <v>2182</v>
      </c>
      <c r="C1059" s="381" t="s">
        <v>517</v>
      </c>
      <c r="D1059" s="381" t="s">
        <v>75</v>
      </c>
      <c r="E1059" s="451">
        <v>1300000</v>
      </c>
      <c r="F1059" s="381" t="s">
        <v>2292</v>
      </c>
      <c r="G1059" s="381" t="s">
        <v>2964</v>
      </c>
      <c r="H1059" s="383" t="s">
        <v>1625</v>
      </c>
      <c r="I1059" s="383" t="s">
        <v>1625</v>
      </c>
      <c r="J1059" s="383">
        <v>1</v>
      </c>
      <c r="K1059" s="381" t="s">
        <v>1499</v>
      </c>
    </row>
    <row r="1060" spans="1:11" ht="15.75">
      <c r="A1060" s="393" t="s">
        <v>2936</v>
      </c>
      <c r="B1060" s="381" t="s">
        <v>2182</v>
      </c>
      <c r="C1060" s="381" t="s">
        <v>2965</v>
      </c>
      <c r="D1060" s="381" t="s">
        <v>2966</v>
      </c>
      <c r="E1060" s="451">
        <v>1320000</v>
      </c>
      <c r="F1060" s="381" t="s">
        <v>2292</v>
      </c>
      <c r="G1060" s="381" t="s">
        <v>2625</v>
      </c>
      <c r="H1060" s="383" t="s">
        <v>1625</v>
      </c>
      <c r="I1060" s="383" t="s">
        <v>1625</v>
      </c>
      <c r="J1060" s="383">
        <v>1</v>
      </c>
      <c r="K1060" s="381" t="s">
        <v>1496</v>
      </c>
    </row>
    <row r="1061" spans="1:11" ht="15.75">
      <c r="A1061" s="393" t="s">
        <v>2936</v>
      </c>
      <c r="B1061" s="381" t="s">
        <v>2182</v>
      </c>
      <c r="C1061" s="381" t="s">
        <v>1190</v>
      </c>
      <c r="D1061" s="381" t="s">
        <v>2758</v>
      </c>
      <c r="E1061" s="451">
        <v>1050000</v>
      </c>
      <c r="F1061" s="381" t="s">
        <v>2292</v>
      </c>
      <c r="G1061" s="381" t="s">
        <v>2625</v>
      </c>
      <c r="H1061" s="383" t="s">
        <v>1625</v>
      </c>
      <c r="I1061" s="383" t="s">
        <v>1625</v>
      </c>
      <c r="J1061" s="383">
        <v>1</v>
      </c>
      <c r="K1061" s="381" t="s">
        <v>1245</v>
      </c>
    </row>
    <row r="1062" spans="1:11" ht="15.75">
      <c r="A1062" s="393" t="s">
        <v>2936</v>
      </c>
      <c r="B1062" s="381" t="s">
        <v>2182</v>
      </c>
      <c r="C1062" s="381" t="s">
        <v>487</v>
      </c>
      <c r="D1062" s="381" t="s">
        <v>2502</v>
      </c>
      <c r="E1062" s="451">
        <v>1780000</v>
      </c>
      <c r="F1062" s="381" t="s">
        <v>2292</v>
      </c>
      <c r="G1062" s="381" t="s">
        <v>2741</v>
      </c>
      <c r="H1062" s="383" t="s">
        <v>1625</v>
      </c>
      <c r="I1062" s="383" t="s">
        <v>1625</v>
      </c>
      <c r="J1062" s="383">
        <v>1</v>
      </c>
      <c r="K1062" s="381" t="s">
        <v>1499</v>
      </c>
    </row>
    <row r="1063" spans="1:11" ht="15.75">
      <c r="A1063" s="393" t="s">
        <v>2936</v>
      </c>
      <c r="B1063" s="381" t="s">
        <v>2182</v>
      </c>
      <c r="C1063" s="381" t="s">
        <v>2967</v>
      </c>
      <c r="D1063" s="381" t="s">
        <v>2966</v>
      </c>
      <c r="E1063" s="451">
        <v>950000</v>
      </c>
      <c r="F1063" s="381" t="s">
        <v>2292</v>
      </c>
      <c r="G1063" s="381" t="s">
        <v>2741</v>
      </c>
      <c r="H1063" s="383" t="s">
        <v>1625</v>
      </c>
      <c r="I1063" s="383" t="s">
        <v>1625</v>
      </c>
      <c r="J1063" s="383">
        <v>1</v>
      </c>
      <c r="K1063" s="381" t="s">
        <v>1245</v>
      </c>
    </row>
    <row r="1064" spans="1:11" ht="15.75">
      <c r="A1064" s="393" t="s">
        <v>2936</v>
      </c>
      <c r="B1064" s="381" t="s">
        <v>2182</v>
      </c>
      <c r="C1064" s="381" t="s">
        <v>2968</v>
      </c>
      <c r="D1064" s="381" t="s">
        <v>2966</v>
      </c>
      <c r="E1064" s="451">
        <v>950000</v>
      </c>
      <c r="F1064" s="381" t="s">
        <v>2292</v>
      </c>
      <c r="G1064" s="381" t="s">
        <v>2741</v>
      </c>
      <c r="H1064" s="383" t="s">
        <v>1625</v>
      </c>
      <c r="I1064" s="383" t="s">
        <v>1625</v>
      </c>
      <c r="J1064" s="383">
        <v>1</v>
      </c>
      <c r="K1064" s="381" t="s">
        <v>1245</v>
      </c>
    </row>
    <row r="1065" spans="1:11" ht="15.75">
      <c r="A1065" s="393" t="s">
        <v>2969</v>
      </c>
      <c r="B1065" s="381" t="s">
        <v>1952</v>
      </c>
      <c r="C1065" s="381" t="s">
        <v>544</v>
      </c>
      <c r="D1065" s="381" t="s">
        <v>75</v>
      </c>
      <c r="E1065" s="451">
        <v>1350000</v>
      </c>
      <c r="F1065" s="381" t="s">
        <v>2292</v>
      </c>
      <c r="G1065" s="381" t="s">
        <v>2741</v>
      </c>
      <c r="H1065" s="383" t="s">
        <v>1625</v>
      </c>
      <c r="I1065" s="383" t="s">
        <v>1625</v>
      </c>
      <c r="J1065" s="383">
        <v>1</v>
      </c>
      <c r="K1065" s="381" t="s">
        <v>1245</v>
      </c>
    </row>
    <row r="1066" spans="1:11" ht="15.75">
      <c r="A1066" s="393" t="s">
        <v>2969</v>
      </c>
      <c r="B1066" s="381" t="s">
        <v>2182</v>
      </c>
      <c r="C1066" s="381" t="s">
        <v>2970</v>
      </c>
      <c r="D1066" s="381" t="s">
        <v>2506</v>
      </c>
      <c r="E1066" s="451">
        <v>1400000</v>
      </c>
      <c r="F1066" s="381" t="s">
        <v>2292</v>
      </c>
      <c r="G1066" s="381" t="s">
        <v>2741</v>
      </c>
      <c r="H1066" s="383" t="s">
        <v>1625</v>
      </c>
      <c r="I1066" s="383" t="s">
        <v>1625</v>
      </c>
      <c r="J1066" s="383">
        <v>1</v>
      </c>
      <c r="K1066" s="381" t="s">
        <v>1496</v>
      </c>
    </row>
    <row r="1067" spans="1:11" ht="15.75">
      <c r="A1067" s="393"/>
      <c r="B1067" s="381"/>
      <c r="C1067" s="381"/>
      <c r="D1067" s="381"/>
      <c r="E1067" s="451"/>
      <c r="F1067" s="381"/>
      <c r="G1067" s="381"/>
      <c r="H1067" s="383"/>
      <c r="I1067" s="383"/>
      <c r="J1067" s="383"/>
      <c r="K1067" s="381"/>
    </row>
    <row r="1068" spans="1:11" ht="15.75">
      <c r="A1068" s="456"/>
      <c r="B1068" s="457"/>
      <c r="C1068" s="457"/>
      <c r="D1068" s="457"/>
      <c r="E1068" s="476"/>
      <c r="F1068" s="457"/>
      <c r="G1068" s="457"/>
      <c r="H1068" s="153"/>
      <c r="I1068" s="153"/>
      <c r="J1068" s="493">
        <f>SUM(J1039:J1067)</f>
        <v>28</v>
      </c>
      <c r="K1068" s="457"/>
    </row>
    <row r="1069" spans="1:11" ht="15.75">
      <c r="A1069" s="394"/>
      <c r="B1069" s="395"/>
      <c r="C1069" s="395"/>
      <c r="D1069" s="395"/>
      <c r="E1069" s="396"/>
      <c r="F1069" s="397"/>
      <c r="G1069" s="397"/>
      <c r="H1069" s="395"/>
      <c r="I1069" s="395"/>
      <c r="J1069" s="395"/>
      <c r="K1069" s="395"/>
    </row>
    <row r="1070" spans="1:11" ht="26.25">
      <c r="A1070" s="1667" t="s">
        <v>2971</v>
      </c>
      <c r="B1070" s="1667"/>
      <c r="C1070" s="1667"/>
      <c r="D1070" s="1667"/>
      <c r="E1070" s="1667"/>
      <c r="F1070" s="1667"/>
      <c r="G1070" s="1667"/>
      <c r="H1070" s="1667"/>
      <c r="I1070" s="1667"/>
      <c r="J1070" s="1667"/>
      <c r="K1070" s="1667"/>
    </row>
    <row r="1071" spans="1:11" ht="31.5">
      <c r="A1071" s="375" t="s">
        <v>1941</v>
      </c>
      <c r="B1071" s="378" t="s">
        <v>1942</v>
      </c>
      <c r="C1071" s="378" t="s">
        <v>1943</v>
      </c>
      <c r="D1071" s="378" t="s">
        <v>1944</v>
      </c>
      <c r="E1071" s="452" t="s">
        <v>1945</v>
      </c>
      <c r="F1071" s="378" t="s">
        <v>1946</v>
      </c>
      <c r="G1071" s="378" t="s">
        <v>2590</v>
      </c>
      <c r="H1071" s="378" t="s">
        <v>1947</v>
      </c>
      <c r="I1071" s="378" t="s">
        <v>1948</v>
      </c>
      <c r="J1071" s="453" t="s">
        <v>1949</v>
      </c>
      <c r="K1071" s="378" t="s">
        <v>1950</v>
      </c>
    </row>
    <row r="1072" spans="1:11" ht="15.75">
      <c r="A1072" s="474" t="s">
        <v>2943</v>
      </c>
      <c r="B1072" s="472" t="s">
        <v>2182</v>
      </c>
      <c r="C1072" s="472" t="s">
        <v>2972</v>
      </c>
      <c r="D1072" s="472" t="s">
        <v>2347</v>
      </c>
      <c r="E1072" s="475">
        <v>140000000</v>
      </c>
      <c r="F1072" s="472" t="s">
        <v>2292</v>
      </c>
      <c r="G1072" s="472" t="s">
        <v>2605</v>
      </c>
      <c r="H1072" s="473" t="s">
        <v>1625</v>
      </c>
      <c r="I1072" s="473" t="s">
        <v>1625</v>
      </c>
      <c r="J1072" s="473">
        <v>1</v>
      </c>
      <c r="K1072" s="472" t="s">
        <v>2482</v>
      </c>
    </row>
    <row r="1073" spans="1:11" ht="15.75">
      <c r="A1073" s="474">
        <v>44448</v>
      </c>
      <c r="B1073" s="472" t="s">
        <v>2182</v>
      </c>
      <c r="C1073" s="472" t="s">
        <v>522</v>
      </c>
      <c r="D1073" s="472" t="s">
        <v>2347</v>
      </c>
      <c r="E1073" s="475">
        <v>315000000</v>
      </c>
      <c r="F1073" s="472" t="s">
        <v>2292</v>
      </c>
      <c r="G1073" s="472" t="s">
        <v>185</v>
      </c>
      <c r="H1073" s="473" t="s">
        <v>1625</v>
      </c>
      <c r="I1073" s="473" t="s">
        <v>1625</v>
      </c>
      <c r="J1073" s="473">
        <v>1</v>
      </c>
      <c r="K1073" s="472" t="s">
        <v>2482</v>
      </c>
    </row>
    <row r="1074" spans="1:11" ht="15.75">
      <c r="A1074" s="611" t="s">
        <v>2973</v>
      </c>
      <c r="B1074" s="455" t="s">
        <v>2182</v>
      </c>
      <c r="C1074" s="455" t="s">
        <v>2974</v>
      </c>
      <c r="D1074" s="455" t="s">
        <v>2576</v>
      </c>
      <c r="E1074" s="461"/>
      <c r="F1074" s="455" t="s">
        <v>2292</v>
      </c>
      <c r="G1074" s="455" t="s">
        <v>2741</v>
      </c>
      <c r="H1074" s="460" t="s">
        <v>1955</v>
      </c>
      <c r="I1074" s="473" t="s">
        <v>1625</v>
      </c>
      <c r="J1074" s="473">
        <v>1</v>
      </c>
      <c r="K1074" s="472" t="s">
        <v>2482</v>
      </c>
    </row>
    <row r="1075" spans="1:11" ht="15.75">
      <c r="A1075" s="405" t="s">
        <v>2975</v>
      </c>
      <c r="B1075" s="610" t="s">
        <v>1952</v>
      </c>
      <c r="C1075" s="482" t="s">
        <v>2976</v>
      </c>
      <c r="D1075" s="482" t="s">
        <v>2573</v>
      </c>
      <c r="E1075" s="483">
        <v>1300000</v>
      </c>
      <c r="F1075" s="482" t="s">
        <v>2292</v>
      </c>
      <c r="G1075" s="482" t="s">
        <v>2605</v>
      </c>
      <c r="H1075" s="484" t="s">
        <v>1625</v>
      </c>
      <c r="I1075" s="387" t="s">
        <v>1625</v>
      </c>
      <c r="J1075" s="387">
        <v>1</v>
      </c>
      <c r="K1075" s="385" t="s">
        <v>1171</v>
      </c>
    </row>
    <row r="1076" spans="1:11" ht="15.75">
      <c r="A1076" s="405" t="s">
        <v>2975</v>
      </c>
      <c r="B1076" s="426" t="s">
        <v>1952</v>
      </c>
      <c r="C1076" s="385" t="s">
        <v>2977</v>
      </c>
      <c r="D1076" s="385" t="s">
        <v>2347</v>
      </c>
      <c r="E1076" s="462">
        <v>1300000</v>
      </c>
      <c r="F1076" s="385" t="s">
        <v>2292</v>
      </c>
      <c r="G1076" s="385" t="s">
        <v>2605</v>
      </c>
      <c r="H1076" s="387" t="s">
        <v>1625</v>
      </c>
      <c r="I1076" s="387" t="s">
        <v>1625</v>
      </c>
      <c r="J1076" s="387">
        <v>1</v>
      </c>
      <c r="K1076" s="385" t="s">
        <v>1499</v>
      </c>
    </row>
    <row r="1077" spans="1:11" ht="15.75">
      <c r="A1077" s="393" t="s">
        <v>2975</v>
      </c>
      <c r="B1077" s="426" t="s">
        <v>1952</v>
      </c>
      <c r="C1077" s="385" t="s">
        <v>642</v>
      </c>
      <c r="D1077" s="385" t="s">
        <v>2978</v>
      </c>
      <c r="E1077" s="462">
        <v>1600000</v>
      </c>
      <c r="F1077" s="385" t="s">
        <v>1968</v>
      </c>
      <c r="G1077" s="385" t="s">
        <v>30</v>
      </c>
      <c r="H1077" s="387" t="s">
        <v>1625</v>
      </c>
      <c r="I1077" s="387" t="s">
        <v>1625</v>
      </c>
      <c r="J1077" s="387">
        <v>1</v>
      </c>
      <c r="K1077" s="385" t="s">
        <v>1499</v>
      </c>
    </row>
    <row r="1078" spans="1:11" ht="15.75">
      <c r="A1078" s="393" t="s">
        <v>2943</v>
      </c>
      <c r="B1078" s="426" t="s">
        <v>1952</v>
      </c>
      <c r="C1078" s="385" t="s">
        <v>2979</v>
      </c>
      <c r="D1078" s="385" t="s">
        <v>2568</v>
      </c>
      <c r="E1078" s="462">
        <v>900000</v>
      </c>
      <c r="F1078" s="385" t="s">
        <v>2292</v>
      </c>
      <c r="G1078" s="385" t="s">
        <v>2605</v>
      </c>
      <c r="H1078" s="387" t="s">
        <v>1625</v>
      </c>
      <c r="I1078" s="387" t="s">
        <v>1625</v>
      </c>
      <c r="J1078" s="387">
        <v>1</v>
      </c>
      <c r="K1078" s="385" t="s">
        <v>1499</v>
      </c>
    </row>
    <row r="1079" spans="1:11" ht="15.75">
      <c r="A1079" s="412" t="s">
        <v>2943</v>
      </c>
      <c r="B1079" s="411" t="s">
        <v>1952</v>
      </c>
      <c r="C1079" s="381" t="s">
        <v>2980</v>
      </c>
      <c r="D1079" s="381" t="s">
        <v>2568</v>
      </c>
      <c r="E1079" s="451">
        <v>950000</v>
      </c>
      <c r="F1079" s="381" t="s">
        <v>2292</v>
      </c>
      <c r="G1079" s="381" t="s">
        <v>30</v>
      </c>
      <c r="H1079" s="383" t="s">
        <v>1625</v>
      </c>
      <c r="I1079" s="383" t="s">
        <v>1625</v>
      </c>
      <c r="J1079" s="383">
        <v>1</v>
      </c>
      <c r="K1079" s="381" t="s">
        <v>1171</v>
      </c>
    </row>
    <row r="1080" spans="1:11" ht="15.75">
      <c r="A1080" s="412" t="s">
        <v>2981</v>
      </c>
      <c r="B1080" s="411" t="s">
        <v>2182</v>
      </c>
      <c r="C1080" s="381" t="s">
        <v>2982</v>
      </c>
      <c r="D1080" s="381" t="s">
        <v>2770</v>
      </c>
      <c r="E1080" s="451">
        <v>1300000</v>
      </c>
      <c r="F1080" s="381" t="s">
        <v>2292</v>
      </c>
      <c r="G1080" s="381" t="s">
        <v>2593</v>
      </c>
      <c r="H1080" s="383" t="s">
        <v>1625</v>
      </c>
      <c r="I1080" s="383" t="s">
        <v>1625</v>
      </c>
      <c r="J1080" s="383">
        <v>1</v>
      </c>
      <c r="K1080" s="381" t="s">
        <v>1499</v>
      </c>
    </row>
    <row r="1081" spans="1:11" ht="15.75">
      <c r="A1081" s="412">
        <v>44264</v>
      </c>
      <c r="B1081" s="411" t="s">
        <v>2182</v>
      </c>
      <c r="C1081" s="381" t="s">
        <v>561</v>
      </c>
      <c r="D1081" s="381" t="s">
        <v>2576</v>
      </c>
      <c r="E1081" s="451">
        <v>750000</v>
      </c>
      <c r="F1081" s="381" t="s">
        <v>2213</v>
      </c>
      <c r="G1081" s="385" t="s">
        <v>30</v>
      </c>
      <c r="H1081" s="387" t="s">
        <v>1625</v>
      </c>
      <c r="I1081" s="383" t="s">
        <v>1625</v>
      </c>
      <c r="J1081" s="383">
        <v>1</v>
      </c>
      <c r="K1081" s="381" t="s">
        <v>1499</v>
      </c>
    </row>
    <row r="1082" spans="1:11" ht="15.75">
      <c r="A1082" s="479">
        <v>44264</v>
      </c>
      <c r="B1082" s="411" t="s">
        <v>2182</v>
      </c>
      <c r="C1082" s="381" t="s">
        <v>2983</v>
      </c>
      <c r="D1082" s="381" t="s">
        <v>2770</v>
      </c>
      <c r="E1082" s="451">
        <v>1100000</v>
      </c>
      <c r="F1082" s="575" t="s">
        <v>2292</v>
      </c>
      <c r="G1082" s="381" t="s">
        <v>2605</v>
      </c>
      <c r="H1082" s="530" t="s">
        <v>1625</v>
      </c>
      <c r="I1082" s="531" t="s">
        <v>1625</v>
      </c>
      <c r="J1082" s="383">
        <v>1</v>
      </c>
      <c r="K1082" s="381" t="s">
        <v>1171</v>
      </c>
    </row>
    <row r="1083" spans="1:11" ht="15.75">
      <c r="A1083" s="412">
        <v>44356</v>
      </c>
      <c r="B1083" s="411" t="s">
        <v>2182</v>
      </c>
      <c r="C1083" s="381" t="s">
        <v>571</v>
      </c>
      <c r="D1083" s="381" t="s">
        <v>2347</v>
      </c>
      <c r="E1083" s="451">
        <v>1350000</v>
      </c>
      <c r="F1083" s="381" t="s">
        <v>2306</v>
      </c>
      <c r="G1083" s="406" t="s">
        <v>2605</v>
      </c>
      <c r="H1083" s="408" t="s">
        <v>1625</v>
      </c>
      <c r="I1083" s="383" t="s">
        <v>1625</v>
      </c>
      <c r="J1083" s="383">
        <v>1</v>
      </c>
      <c r="K1083" s="381" t="s">
        <v>1499</v>
      </c>
    </row>
    <row r="1084" spans="1:11" ht="15.75">
      <c r="A1084" s="412">
        <v>44386</v>
      </c>
      <c r="B1084" s="411" t="s">
        <v>2182</v>
      </c>
      <c r="C1084" s="381" t="s">
        <v>562</v>
      </c>
      <c r="D1084" s="381" t="s">
        <v>2966</v>
      </c>
      <c r="E1084" s="451">
        <v>1350000</v>
      </c>
      <c r="F1084" s="381" t="s">
        <v>2292</v>
      </c>
      <c r="G1084" s="381" t="s">
        <v>185</v>
      </c>
      <c r="H1084" s="383" t="s">
        <v>1625</v>
      </c>
      <c r="I1084" s="383" t="s">
        <v>2984</v>
      </c>
      <c r="J1084" s="383">
        <v>1</v>
      </c>
      <c r="K1084" s="381" t="s">
        <v>1499</v>
      </c>
    </row>
    <row r="1085" spans="1:11" ht="15.75">
      <c r="A1085" s="412">
        <v>44386</v>
      </c>
      <c r="B1085" s="411" t="s">
        <v>2182</v>
      </c>
      <c r="C1085" s="381" t="s">
        <v>2985</v>
      </c>
      <c r="D1085" s="381" t="s">
        <v>2966</v>
      </c>
      <c r="E1085" s="451">
        <v>1200000</v>
      </c>
      <c r="F1085" s="381" t="s">
        <v>2292</v>
      </c>
      <c r="G1085" s="381" t="s">
        <v>2741</v>
      </c>
      <c r="H1085" s="383" t="s">
        <v>1625</v>
      </c>
      <c r="I1085" s="383" t="s">
        <v>1625</v>
      </c>
      <c r="J1085" s="383">
        <v>1</v>
      </c>
      <c r="K1085" s="381" t="s">
        <v>1171</v>
      </c>
    </row>
    <row r="1086" spans="1:11" ht="15.75">
      <c r="A1086" s="393">
        <v>44417</v>
      </c>
      <c r="B1086" s="381" t="s">
        <v>2182</v>
      </c>
      <c r="C1086" s="381" t="s">
        <v>2986</v>
      </c>
      <c r="D1086" s="381" t="s">
        <v>2966</v>
      </c>
      <c r="E1086" s="451">
        <v>1150000</v>
      </c>
      <c r="F1086" s="381" t="s">
        <v>2292</v>
      </c>
      <c r="G1086" s="381" t="s">
        <v>2741</v>
      </c>
      <c r="H1086" s="383" t="s">
        <v>1625</v>
      </c>
      <c r="I1086" s="383" t="s">
        <v>1625</v>
      </c>
      <c r="J1086" s="383">
        <v>1</v>
      </c>
      <c r="K1086" s="381" t="s">
        <v>1499</v>
      </c>
    </row>
    <row r="1087" spans="1:11" ht="15.75">
      <c r="A1087" s="412">
        <v>44417</v>
      </c>
      <c r="B1087" s="411" t="s">
        <v>2182</v>
      </c>
      <c r="C1087" s="381" t="s">
        <v>2987</v>
      </c>
      <c r="D1087" s="381" t="s">
        <v>2966</v>
      </c>
      <c r="E1087" s="451">
        <v>1250000</v>
      </c>
      <c r="F1087" s="381" t="s">
        <v>2292</v>
      </c>
      <c r="G1087" s="381" t="s">
        <v>2605</v>
      </c>
      <c r="H1087" s="383" t="s">
        <v>1625</v>
      </c>
      <c r="I1087" s="383" t="s">
        <v>1625</v>
      </c>
      <c r="J1087" s="383">
        <v>1</v>
      </c>
      <c r="K1087" s="381" t="s">
        <v>1171</v>
      </c>
    </row>
    <row r="1088" spans="1:11" ht="15.75">
      <c r="A1088" s="384">
        <v>44417</v>
      </c>
      <c r="B1088" s="385" t="s">
        <v>2182</v>
      </c>
      <c r="C1088" s="385" t="s">
        <v>494</v>
      </c>
      <c r="D1088" s="385" t="s">
        <v>2988</v>
      </c>
      <c r="E1088" s="462">
        <v>900000</v>
      </c>
      <c r="F1088" s="385" t="s">
        <v>2213</v>
      </c>
      <c r="G1088" s="385" t="s">
        <v>185</v>
      </c>
      <c r="H1088" s="387" t="s">
        <v>1625</v>
      </c>
      <c r="I1088" s="387" t="s">
        <v>1625</v>
      </c>
      <c r="J1088" s="387">
        <v>1</v>
      </c>
      <c r="K1088" s="385" t="s">
        <v>1496</v>
      </c>
    </row>
    <row r="1089" spans="1:11" ht="15.75">
      <c r="A1089" s="393">
        <v>44417</v>
      </c>
      <c r="B1089" s="381" t="s">
        <v>2182</v>
      </c>
      <c r="C1089" s="381" t="s">
        <v>522</v>
      </c>
      <c r="D1089" s="381" t="s">
        <v>2347</v>
      </c>
      <c r="E1089" s="451">
        <v>1400000</v>
      </c>
      <c r="F1089" s="381" t="s">
        <v>2292</v>
      </c>
      <c r="G1089" s="381" t="s">
        <v>185</v>
      </c>
      <c r="H1089" s="383" t="s">
        <v>1625</v>
      </c>
      <c r="I1089" s="383" t="s">
        <v>1625</v>
      </c>
      <c r="J1089" s="383">
        <v>1</v>
      </c>
      <c r="K1089" s="381" t="s">
        <v>1499</v>
      </c>
    </row>
    <row r="1090" spans="1:11" ht="15.75">
      <c r="A1090" s="393">
        <v>44478</v>
      </c>
      <c r="B1090" s="381" t="s">
        <v>2182</v>
      </c>
      <c r="C1090" s="381" t="s">
        <v>2989</v>
      </c>
      <c r="D1090" s="381" t="s">
        <v>2966</v>
      </c>
      <c r="E1090" s="451">
        <v>1400000</v>
      </c>
      <c r="F1090" s="381" t="s">
        <v>2292</v>
      </c>
      <c r="G1090" s="381" t="s">
        <v>185</v>
      </c>
      <c r="H1090" s="383" t="s">
        <v>1625</v>
      </c>
      <c r="I1090" s="383" t="s">
        <v>1625</v>
      </c>
      <c r="J1090" s="383">
        <v>1</v>
      </c>
      <c r="K1090" s="381" t="s">
        <v>1496</v>
      </c>
    </row>
    <row r="1091" spans="1:11" ht="15.75">
      <c r="A1091" s="393">
        <v>44478</v>
      </c>
      <c r="B1091" s="381" t="s">
        <v>2182</v>
      </c>
      <c r="C1091" s="381" t="s">
        <v>2990</v>
      </c>
      <c r="D1091" s="381" t="s">
        <v>2568</v>
      </c>
      <c r="E1091" s="451">
        <v>1100000</v>
      </c>
      <c r="F1091" s="381" t="s">
        <v>2292</v>
      </c>
      <c r="G1091" s="381" t="s">
        <v>2605</v>
      </c>
      <c r="H1091" s="383" t="s">
        <v>1625</v>
      </c>
      <c r="I1091" s="383" t="s">
        <v>1625</v>
      </c>
      <c r="J1091" s="383">
        <v>1</v>
      </c>
      <c r="K1091" s="381" t="s">
        <v>1499</v>
      </c>
    </row>
    <row r="1092" spans="1:11" ht="15.75">
      <c r="A1092" s="393" t="s">
        <v>2991</v>
      </c>
      <c r="B1092" s="381" t="s">
        <v>2182</v>
      </c>
      <c r="C1092" s="381" t="s">
        <v>2992</v>
      </c>
      <c r="D1092" s="381" t="s">
        <v>2568</v>
      </c>
      <c r="E1092" s="451">
        <v>750000</v>
      </c>
      <c r="F1092" s="381" t="s">
        <v>2292</v>
      </c>
      <c r="G1092" s="381" t="s">
        <v>2605</v>
      </c>
      <c r="H1092" s="383" t="s">
        <v>1625</v>
      </c>
      <c r="I1092" s="383" t="s">
        <v>1625</v>
      </c>
      <c r="J1092" s="383">
        <v>1</v>
      </c>
      <c r="K1092" s="381" t="s">
        <v>1496</v>
      </c>
    </row>
    <row r="1093" spans="1:11" ht="15.75">
      <c r="A1093" s="928" t="s">
        <v>2993</v>
      </c>
      <c r="B1093" s="420" t="s">
        <v>2182</v>
      </c>
      <c r="C1093" s="743" t="s">
        <v>2994</v>
      </c>
      <c r="D1093" s="633" t="s">
        <v>2347</v>
      </c>
      <c r="E1093" s="644">
        <v>1400000</v>
      </c>
      <c r="F1093" s="633" t="s">
        <v>2292</v>
      </c>
      <c r="G1093" s="633" t="s">
        <v>185</v>
      </c>
      <c r="H1093" s="635" t="s">
        <v>1625</v>
      </c>
      <c r="I1093" s="635" t="s">
        <v>1625</v>
      </c>
      <c r="J1093" s="387">
        <v>1</v>
      </c>
      <c r="K1093" s="385" t="s">
        <v>1499</v>
      </c>
    </row>
    <row r="1094" spans="1:11" ht="15.75">
      <c r="A1094" s="928" t="s">
        <v>2940</v>
      </c>
      <c r="B1094" s="420" t="s">
        <v>2182</v>
      </c>
      <c r="C1094" s="743" t="s">
        <v>2995</v>
      </c>
      <c r="D1094" s="633" t="s">
        <v>2758</v>
      </c>
      <c r="E1094" s="644">
        <v>900000</v>
      </c>
      <c r="F1094" s="633" t="s">
        <v>2213</v>
      </c>
      <c r="G1094" s="633" t="s">
        <v>2625</v>
      </c>
      <c r="H1094" s="635" t="s">
        <v>1625</v>
      </c>
      <c r="I1094" s="635" t="s">
        <v>1625</v>
      </c>
      <c r="J1094" s="387">
        <v>1</v>
      </c>
      <c r="K1094" s="385" t="s">
        <v>1171</v>
      </c>
    </row>
    <row r="1095" spans="1:11" ht="15.75">
      <c r="A1095" s="393" t="s">
        <v>2925</v>
      </c>
      <c r="B1095" s="381" t="s">
        <v>2182</v>
      </c>
      <c r="C1095" s="381" t="s">
        <v>2256</v>
      </c>
      <c r="D1095" s="381" t="s">
        <v>2669</v>
      </c>
      <c r="E1095" s="451">
        <v>1450000</v>
      </c>
      <c r="F1095" s="381" t="s">
        <v>2292</v>
      </c>
      <c r="G1095" s="381" t="s">
        <v>2625</v>
      </c>
      <c r="H1095" s="383" t="s">
        <v>1625</v>
      </c>
      <c r="I1095" s="383" t="s">
        <v>1625</v>
      </c>
      <c r="J1095" s="383">
        <v>1</v>
      </c>
      <c r="K1095" s="381" t="s">
        <v>1496</v>
      </c>
    </row>
    <row r="1096" spans="1:11" ht="15.75">
      <c r="A1096" s="393" t="s">
        <v>2963</v>
      </c>
      <c r="B1096" s="381" t="s">
        <v>2182</v>
      </c>
      <c r="C1096" s="381" t="s">
        <v>2996</v>
      </c>
      <c r="D1096" s="381" t="s">
        <v>2770</v>
      </c>
      <c r="E1096" s="451">
        <v>1100000</v>
      </c>
      <c r="F1096" s="381" t="s">
        <v>2292</v>
      </c>
      <c r="G1096" s="381" t="s">
        <v>2625</v>
      </c>
      <c r="H1096" s="383" t="s">
        <v>1625</v>
      </c>
      <c r="I1096" s="383" t="s">
        <v>1625</v>
      </c>
      <c r="J1096" s="383">
        <v>1</v>
      </c>
      <c r="K1096" s="381" t="s">
        <v>1499</v>
      </c>
    </row>
    <row r="1097" spans="1:11" ht="15.75">
      <c r="A1097" s="393" t="s">
        <v>2963</v>
      </c>
      <c r="B1097" s="381" t="s">
        <v>2182</v>
      </c>
      <c r="C1097" s="381" t="s">
        <v>2997</v>
      </c>
      <c r="D1097" s="381" t="s">
        <v>2849</v>
      </c>
      <c r="E1097" s="451">
        <v>950000</v>
      </c>
      <c r="F1097" s="381" t="s">
        <v>2213</v>
      </c>
      <c r="G1097" s="381" t="s">
        <v>185</v>
      </c>
      <c r="H1097" s="383" t="s">
        <v>1625</v>
      </c>
      <c r="I1097" s="383" t="s">
        <v>1625</v>
      </c>
      <c r="J1097" s="383">
        <v>1</v>
      </c>
      <c r="K1097" s="381" t="s">
        <v>1499</v>
      </c>
    </row>
    <row r="1098" spans="1:11" ht="15.75">
      <c r="A1098" s="393" t="s">
        <v>2931</v>
      </c>
      <c r="B1098" s="381" t="s">
        <v>2182</v>
      </c>
      <c r="C1098" s="381" t="s">
        <v>559</v>
      </c>
      <c r="D1098" s="381" t="s">
        <v>2573</v>
      </c>
      <c r="E1098" s="451">
        <v>1300000</v>
      </c>
      <c r="F1098" s="381" t="s">
        <v>2292</v>
      </c>
      <c r="G1098" s="381" t="s">
        <v>185</v>
      </c>
      <c r="H1098" s="383" t="s">
        <v>1625</v>
      </c>
      <c r="I1098" s="383" t="s">
        <v>1625</v>
      </c>
      <c r="J1098" s="383">
        <v>1</v>
      </c>
      <c r="K1098" s="381" t="s">
        <v>2998</v>
      </c>
    </row>
    <row r="1099" spans="1:11" ht="15.75">
      <c r="A1099" s="393" t="s">
        <v>2936</v>
      </c>
      <c r="B1099" s="381" t="s">
        <v>2182</v>
      </c>
      <c r="C1099" s="381" t="s">
        <v>444</v>
      </c>
      <c r="D1099" s="381" t="s">
        <v>2966</v>
      </c>
      <c r="E1099" s="451">
        <v>1350000</v>
      </c>
      <c r="F1099" s="381" t="s">
        <v>2292</v>
      </c>
      <c r="G1099" s="381" t="s">
        <v>185</v>
      </c>
      <c r="H1099" s="383" t="s">
        <v>1625</v>
      </c>
      <c r="I1099" s="383" t="s">
        <v>1625</v>
      </c>
      <c r="J1099" s="383">
        <v>1</v>
      </c>
      <c r="K1099" s="381" t="s">
        <v>1245</v>
      </c>
    </row>
    <row r="1100" spans="1:11" ht="15.75">
      <c r="A1100" s="393"/>
      <c r="B1100" s="381"/>
      <c r="C1100" s="381"/>
      <c r="D1100" s="381"/>
      <c r="E1100" s="451"/>
      <c r="F1100" s="381"/>
      <c r="G1100" s="381"/>
      <c r="H1100" s="383"/>
      <c r="I1100" s="383"/>
      <c r="J1100" s="383"/>
      <c r="K1100" s="381"/>
    </row>
    <row r="1101" spans="1:11" ht="15.75">
      <c r="A1101" s="456"/>
      <c r="B1101" s="457"/>
      <c r="C1101" s="457"/>
      <c r="D1101" s="457"/>
      <c r="E1101" s="476"/>
      <c r="F1101" s="457"/>
      <c r="G1101" s="457"/>
      <c r="H1101" s="153"/>
      <c r="I1101" s="153"/>
      <c r="J1101" s="493">
        <f>SUM(J1072:J1100)</f>
        <v>28</v>
      </c>
      <c r="K1101" s="457"/>
    </row>
    <row r="1102" spans="1:11" ht="15.75">
      <c r="A1102" s="394"/>
      <c r="B1102" s="395"/>
      <c r="C1102" s="395"/>
      <c r="D1102" s="395"/>
      <c r="E1102" s="396"/>
      <c r="F1102" s="397"/>
      <c r="G1102" s="397"/>
      <c r="H1102" s="395"/>
      <c r="I1102" s="395"/>
      <c r="J1102" s="395"/>
      <c r="K1102" s="395"/>
    </row>
    <row r="1103" spans="1:11" ht="15.75">
      <c r="A1103" s="394"/>
      <c r="B1103" s="395"/>
      <c r="C1103" s="395"/>
      <c r="D1103" s="395"/>
      <c r="E1103" s="396"/>
      <c r="F1103" s="397"/>
      <c r="G1103" s="397"/>
      <c r="H1103" s="395"/>
      <c r="I1103" s="395"/>
      <c r="J1103" s="395"/>
      <c r="K1103" s="395"/>
    </row>
    <row r="1105" spans="1:11" ht="26.25">
      <c r="A1105" s="1668" t="s">
        <v>2999</v>
      </c>
      <c r="B1105" s="1669"/>
      <c r="C1105" s="1669"/>
      <c r="D1105" s="1669"/>
      <c r="E1105" s="1669"/>
      <c r="F1105" s="1669"/>
      <c r="G1105" s="1669"/>
      <c r="H1105" s="1669"/>
      <c r="I1105" s="1669"/>
      <c r="J1105" s="1669"/>
      <c r="K1105" s="1670"/>
    </row>
    <row r="1106" spans="1:11" ht="31.5">
      <c r="A1106" s="375" t="s">
        <v>1941</v>
      </c>
      <c r="B1106" s="378" t="s">
        <v>1942</v>
      </c>
      <c r="C1106" s="378" t="s">
        <v>1943</v>
      </c>
      <c r="D1106" s="378" t="s">
        <v>1944</v>
      </c>
      <c r="E1106" s="452" t="s">
        <v>1945</v>
      </c>
      <c r="F1106" s="378" t="s">
        <v>1946</v>
      </c>
      <c r="G1106" s="378" t="s">
        <v>2590</v>
      </c>
      <c r="H1106" s="378" t="s">
        <v>1947</v>
      </c>
      <c r="I1106" s="378" t="s">
        <v>1948</v>
      </c>
      <c r="J1106" s="453" t="s">
        <v>1949</v>
      </c>
      <c r="K1106" s="378" t="s">
        <v>1950</v>
      </c>
    </row>
    <row r="1107" spans="1:11" ht="15.75">
      <c r="A1107" s="922" t="s">
        <v>2991</v>
      </c>
      <c r="B1107" s="618" t="s">
        <v>2182</v>
      </c>
      <c r="C1107" s="472" t="s">
        <v>3000</v>
      </c>
      <c r="D1107" s="472" t="s">
        <v>2347</v>
      </c>
      <c r="E1107" s="475">
        <v>280000000</v>
      </c>
      <c r="F1107" s="472" t="s">
        <v>2213</v>
      </c>
      <c r="G1107" s="472" t="s">
        <v>2741</v>
      </c>
      <c r="H1107" s="473" t="s">
        <v>1955</v>
      </c>
      <c r="I1107" s="473" t="s">
        <v>1625</v>
      </c>
      <c r="J1107" s="473">
        <v>1</v>
      </c>
      <c r="K1107" s="472" t="s">
        <v>2629</v>
      </c>
    </row>
    <row r="1108" spans="1:11" ht="15.75">
      <c r="A1108" s="922" t="s">
        <v>2940</v>
      </c>
      <c r="B1108" s="618" t="s">
        <v>2182</v>
      </c>
      <c r="C1108" s="472" t="s">
        <v>3001</v>
      </c>
      <c r="D1108" s="472" t="s">
        <v>75</v>
      </c>
      <c r="E1108" s="475">
        <v>350000000</v>
      </c>
      <c r="F1108" s="472" t="s">
        <v>2292</v>
      </c>
      <c r="G1108" s="472" t="s">
        <v>2741</v>
      </c>
      <c r="H1108" s="473" t="s">
        <v>1955</v>
      </c>
      <c r="I1108" s="473" t="s">
        <v>1625</v>
      </c>
      <c r="J1108" s="473">
        <v>1</v>
      </c>
      <c r="K1108" s="472" t="s">
        <v>2482</v>
      </c>
    </row>
    <row r="1109" spans="1:11" ht="15.75">
      <c r="A1109" s="922" t="s">
        <v>2936</v>
      </c>
      <c r="B1109" s="618" t="s">
        <v>2182</v>
      </c>
      <c r="C1109" s="472" t="s">
        <v>3002</v>
      </c>
      <c r="D1109" s="472" t="s">
        <v>2394</v>
      </c>
      <c r="E1109" s="475">
        <v>215000000</v>
      </c>
      <c r="F1109" s="472" t="s">
        <v>2292</v>
      </c>
      <c r="G1109" s="472" t="s">
        <v>2741</v>
      </c>
      <c r="H1109" s="473" t="s">
        <v>1955</v>
      </c>
      <c r="I1109" s="473" t="s">
        <v>1625</v>
      </c>
      <c r="J1109" s="473">
        <v>1</v>
      </c>
      <c r="K1109" s="472" t="s">
        <v>2482</v>
      </c>
    </row>
    <row r="1110" spans="1:11" ht="15.75">
      <c r="A1110" s="384" t="s">
        <v>2943</v>
      </c>
      <c r="B1110" s="577" t="s">
        <v>1952</v>
      </c>
      <c r="C1110" s="385" t="s">
        <v>3003</v>
      </c>
      <c r="D1110" s="385" t="s">
        <v>75</v>
      </c>
      <c r="E1110" s="462">
        <v>2500000</v>
      </c>
      <c r="F1110" s="385" t="s">
        <v>2292</v>
      </c>
      <c r="G1110" s="385" t="s">
        <v>2605</v>
      </c>
      <c r="H1110" s="387" t="s">
        <v>1625</v>
      </c>
      <c r="I1110" s="387" t="s">
        <v>1625</v>
      </c>
      <c r="J1110" s="387">
        <v>1</v>
      </c>
      <c r="K1110" s="385" t="s">
        <v>1499</v>
      </c>
    </row>
    <row r="1111" spans="1:11" ht="15.75">
      <c r="A1111" s="393" t="s">
        <v>2943</v>
      </c>
      <c r="B1111" s="381" t="s">
        <v>1952</v>
      </c>
      <c r="C1111" s="411" t="s">
        <v>3004</v>
      </c>
      <c r="D1111" s="381" t="s">
        <v>75</v>
      </c>
      <c r="E1111" s="451">
        <v>2600000</v>
      </c>
      <c r="F1111" s="381" t="s">
        <v>2292</v>
      </c>
      <c r="G1111" s="381" t="s">
        <v>2605</v>
      </c>
      <c r="H1111" s="383" t="s">
        <v>1625</v>
      </c>
      <c r="I1111" s="383" t="s">
        <v>1625</v>
      </c>
      <c r="J1111" s="383">
        <v>1</v>
      </c>
      <c r="K1111" s="381" t="s">
        <v>1171</v>
      </c>
    </row>
    <row r="1112" spans="1:11" ht="15.75">
      <c r="A1112" s="925" t="s">
        <v>2981</v>
      </c>
      <c r="B1112" s="610" t="s">
        <v>2182</v>
      </c>
      <c r="C1112" s="381" t="s">
        <v>3005</v>
      </c>
      <c r="D1112" s="381" t="s">
        <v>3006</v>
      </c>
      <c r="E1112" s="451">
        <v>1400000</v>
      </c>
      <c r="F1112" s="381" t="s">
        <v>1968</v>
      </c>
      <c r="G1112" s="381" t="s">
        <v>30</v>
      </c>
      <c r="H1112" s="383" t="s">
        <v>1625</v>
      </c>
      <c r="I1112" s="383" t="s">
        <v>1625</v>
      </c>
      <c r="J1112" s="383">
        <v>1</v>
      </c>
      <c r="K1112" s="381" t="s">
        <v>1171</v>
      </c>
    </row>
    <row r="1113" spans="1:11" ht="15.75">
      <c r="A1113" s="412" t="s">
        <v>2981</v>
      </c>
      <c r="B1113" s="381" t="s">
        <v>2182</v>
      </c>
      <c r="C1113" s="426" t="s">
        <v>3007</v>
      </c>
      <c r="D1113" s="385" t="s">
        <v>75</v>
      </c>
      <c r="E1113" s="462">
        <v>1300000</v>
      </c>
      <c r="F1113" s="385" t="s">
        <v>2292</v>
      </c>
      <c r="G1113" s="385" t="s">
        <v>2593</v>
      </c>
      <c r="H1113" s="387" t="s">
        <v>1625</v>
      </c>
      <c r="I1113" s="387" t="s">
        <v>1625</v>
      </c>
      <c r="J1113" s="387">
        <v>1</v>
      </c>
      <c r="K1113" s="385" t="s">
        <v>1171</v>
      </c>
    </row>
    <row r="1114" spans="1:11" ht="15.75">
      <c r="A1114" s="412">
        <v>44264</v>
      </c>
      <c r="B1114" s="381" t="s">
        <v>2182</v>
      </c>
      <c r="C1114" s="426" t="s">
        <v>3008</v>
      </c>
      <c r="D1114" s="385" t="s">
        <v>2394</v>
      </c>
      <c r="E1114" s="462">
        <v>1200000</v>
      </c>
      <c r="F1114" s="385" t="s">
        <v>2292</v>
      </c>
      <c r="G1114" s="385" t="s">
        <v>2593</v>
      </c>
      <c r="H1114" s="387" t="s">
        <v>1625</v>
      </c>
      <c r="I1114" s="387" t="s">
        <v>1625</v>
      </c>
      <c r="J1114" s="387">
        <v>1</v>
      </c>
      <c r="K1114" s="385" t="s">
        <v>1499</v>
      </c>
    </row>
    <row r="1115" spans="1:11" ht="15.75">
      <c r="A1115" s="412">
        <v>44264</v>
      </c>
      <c r="B1115" s="381" t="s">
        <v>2182</v>
      </c>
      <c r="C1115" s="426" t="s">
        <v>3002</v>
      </c>
      <c r="D1115" s="385" t="s">
        <v>2394</v>
      </c>
      <c r="E1115" s="462">
        <v>850000</v>
      </c>
      <c r="F1115" s="385" t="s">
        <v>2213</v>
      </c>
      <c r="G1115" s="385" t="s">
        <v>2605</v>
      </c>
      <c r="H1115" s="387" t="s">
        <v>1625</v>
      </c>
      <c r="I1115" s="387" t="s">
        <v>1625</v>
      </c>
      <c r="J1115" s="387">
        <v>1</v>
      </c>
      <c r="K1115" s="385" t="s">
        <v>1171</v>
      </c>
    </row>
    <row r="1116" spans="1:11" ht="15.75">
      <c r="A1116" s="692">
        <v>44350</v>
      </c>
      <c r="B1116" s="457" t="s">
        <v>1952</v>
      </c>
      <c r="C1116" s="743" t="s">
        <v>3009</v>
      </c>
      <c r="D1116" s="633" t="s">
        <v>75</v>
      </c>
      <c r="E1116" s="644">
        <v>1150000</v>
      </c>
      <c r="F1116" s="633" t="s">
        <v>2292</v>
      </c>
      <c r="G1116" s="633" t="s">
        <v>2605</v>
      </c>
      <c r="H1116" s="635" t="s">
        <v>1625</v>
      </c>
      <c r="I1116" s="635" t="s">
        <v>1625</v>
      </c>
      <c r="J1116" s="387">
        <v>1</v>
      </c>
      <c r="K1116" s="385" t="s">
        <v>1171</v>
      </c>
    </row>
    <row r="1117" spans="1:11" ht="15.75">
      <c r="A1117" s="928">
        <v>44386</v>
      </c>
      <c r="B1117" s="420" t="s">
        <v>2182</v>
      </c>
      <c r="C1117" s="743" t="s">
        <v>3010</v>
      </c>
      <c r="D1117" s="633" t="s">
        <v>2326</v>
      </c>
      <c r="E1117" s="644">
        <v>950000</v>
      </c>
      <c r="F1117" s="633" t="s">
        <v>2292</v>
      </c>
      <c r="G1117" s="633" t="s">
        <v>2605</v>
      </c>
      <c r="H1117" s="635" t="s">
        <v>1625</v>
      </c>
      <c r="I1117" s="635" t="s">
        <v>1625</v>
      </c>
      <c r="J1117" s="387">
        <v>1</v>
      </c>
      <c r="K1117" s="385" t="s">
        <v>1171</v>
      </c>
    </row>
    <row r="1118" spans="1:11" ht="15.75">
      <c r="A1118" s="928">
        <v>44386</v>
      </c>
      <c r="B1118" s="420" t="s">
        <v>2182</v>
      </c>
      <c r="C1118" s="743" t="s">
        <v>3011</v>
      </c>
      <c r="D1118" s="633" t="s">
        <v>3012</v>
      </c>
      <c r="E1118" s="644">
        <v>1300000</v>
      </c>
      <c r="F1118" s="633" t="s">
        <v>2213</v>
      </c>
      <c r="G1118" s="633" t="s">
        <v>185</v>
      </c>
      <c r="H1118" s="635" t="s">
        <v>1625</v>
      </c>
      <c r="I1118" s="635" t="s">
        <v>1625</v>
      </c>
      <c r="J1118" s="387">
        <v>1</v>
      </c>
      <c r="K1118" s="385" t="s">
        <v>1499</v>
      </c>
    </row>
    <row r="1119" spans="1:11" ht="15.75">
      <c r="A1119" s="928">
        <v>44417</v>
      </c>
      <c r="B1119" s="420" t="s">
        <v>1966</v>
      </c>
      <c r="C1119" s="743" t="s">
        <v>3013</v>
      </c>
      <c r="D1119" s="633" t="s">
        <v>3014</v>
      </c>
      <c r="E1119" s="644">
        <v>950000</v>
      </c>
      <c r="F1119" s="633" t="s">
        <v>2213</v>
      </c>
      <c r="G1119" s="633" t="s">
        <v>2741</v>
      </c>
      <c r="H1119" s="635" t="s">
        <v>1625</v>
      </c>
      <c r="I1119" s="635" t="s">
        <v>1625</v>
      </c>
      <c r="J1119" s="387">
        <v>1</v>
      </c>
      <c r="K1119" s="385" t="s">
        <v>1499</v>
      </c>
    </row>
    <row r="1120" spans="1:11" ht="15.75">
      <c r="A1120" s="928">
        <v>44448</v>
      </c>
      <c r="B1120" s="420" t="s">
        <v>1966</v>
      </c>
      <c r="C1120" s="743" t="s">
        <v>3015</v>
      </c>
      <c r="D1120" s="633" t="s">
        <v>3014</v>
      </c>
      <c r="E1120" s="644">
        <v>1100000</v>
      </c>
      <c r="F1120" s="633" t="s">
        <v>2213</v>
      </c>
      <c r="G1120" s="633" t="s">
        <v>2741</v>
      </c>
      <c r="H1120" s="635" t="s">
        <v>1955</v>
      </c>
      <c r="I1120" s="635" t="s">
        <v>1625</v>
      </c>
      <c r="J1120" s="387">
        <v>1</v>
      </c>
      <c r="K1120" s="385" t="s">
        <v>2998</v>
      </c>
    </row>
    <row r="1121" spans="1:11" ht="15.75">
      <c r="A1121" s="928">
        <v>44448</v>
      </c>
      <c r="B1121" s="420" t="s">
        <v>2182</v>
      </c>
      <c r="C1121" s="743" t="s">
        <v>3016</v>
      </c>
      <c r="D1121" s="633" t="s">
        <v>3017</v>
      </c>
      <c r="E1121" s="644">
        <v>1100000</v>
      </c>
      <c r="F1121" s="633" t="s">
        <v>2292</v>
      </c>
      <c r="G1121" s="633" t="s">
        <v>2605</v>
      </c>
      <c r="H1121" s="635" t="s">
        <v>1625</v>
      </c>
      <c r="I1121" s="635" t="s">
        <v>1625</v>
      </c>
      <c r="J1121" s="387">
        <v>1</v>
      </c>
      <c r="K1121" s="385" t="s">
        <v>1171</v>
      </c>
    </row>
    <row r="1122" spans="1:11" ht="15.75">
      <c r="A1122" s="928">
        <v>44448</v>
      </c>
      <c r="B1122" s="420" t="s">
        <v>2182</v>
      </c>
      <c r="C1122" s="743" t="s">
        <v>3018</v>
      </c>
      <c r="D1122" s="633" t="s">
        <v>75</v>
      </c>
      <c r="E1122" s="644">
        <v>2400000</v>
      </c>
      <c r="F1122" s="633" t="s">
        <v>2292</v>
      </c>
      <c r="G1122" s="633" t="s">
        <v>2605</v>
      </c>
      <c r="H1122" s="635" t="s">
        <v>1625</v>
      </c>
      <c r="I1122" s="635" t="s">
        <v>1625</v>
      </c>
      <c r="J1122" s="387">
        <v>1</v>
      </c>
      <c r="K1122" s="385" t="s">
        <v>1496</v>
      </c>
    </row>
    <row r="1123" spans="1:11" ht="15.75">
      <c r="A1123" s="928">
        <v>44448</v>
      </c>
      <c r="B1123" s="420" t="s">
        <v>2182</v>
      </c>
      <c r="C1123" s="743" t="s">
        <v>3019</v>
      </c>
      <c r="D1123" s="633" t="s">
        <v>75</v>
      </c>
      <c r="E1123" s="644">
        <v>1550000</v>
      </c>
      <c r="F1123" s="633" t="s">
        <v>2292</v>
      </c>
      <c r="G1123" s="633" t="s">
        <v>2593</v>
      </c>
      <c r="H1123" s="635" t="s">
        <v>1955</v>
      </c>
      <c r="I1123" s="635" t="s">
        <v>1625</v>
      </c>
      <c r="J1123" s="387">
        <v>1</v>
      </c>
      <c r="K1123" s="385" t="s">
        <v>1499</v>
      </c>
    </row>
    <row r="1124" spans="1:11" ht="15.75">
      <c r="A1124" s="928">
        <v>44509</v>
      </c>
      <c r="B1124" s="420" t="s">
        <v>2182</v>
      </c>
      <c r="C1124" s="743" t="s">
        <v>2634</v>
      </c>
      <c r="D1124" s="633" t="s">
        <v>2711</v>
      </c>
      <c r="E1124" s="644">
        <v>1250000</v>
      </c>
      <c r="F1124" s="633" t="s">
        <v>2292</v>
      </c>
      <c r="G1124" s="633" t="s">
        <v>2605</v>
      </c>
      <c r="H1124" s="635" t="s">
        <v>1625</v>
      </c>
      <c r="I1124" s="635" t="s">
        <v>1625</v>
      </c>
      <c r="J1124" s="387">
        <v>1</v>
      </c>
      <c r="K1124" s="385" t="s">
        <v>2690</v>
      </c>
    </row>
    <row r="1125" spans="1:11" ht="15.75">
      <c r="A1125" s="928" t="s">
        <v>2961</v>
      </c>
      <c r="B1125" s="420" t="s">
        <v>2182</v>
      </c>
      <c r="C1125" s="743" t="s">
        <v>3020</v>
      </c>
      <c r="D1125" s="633" t="s">
        <v>2711</v>
      </c>
      <c r="E1125" s="644">
        <v>1300000</v>
      </c>
      <c r="F1125" s="633" t="s">
        <v>2292</v>
      </c>
      <c r="G1125" s="633" t="s">
        <v>2605</v>
      </c>
      <c r="H1125" s="635" t="s">
        <v>1625</v>
      </c>
      <c r="I1125" s="635" t="s">
        <v>1625</v>
      </c>
      <c r="J1125" s="387">
        <v>1</v>
      </c>
      <c r="K1125" s="385" t="s">
        <v>1496</v>
      </c>
    </row>
    <row r="1126" spans="1:11" ht="15.75">
      <c r="A1126" s="928" t="s">
        <v>2961</v>
      </c>
      <c r="B1126" s="420" t="s">
        <v>2182</v>
      </c>
      <c r="C1126" s="743" t="s">
        <v>2183</v>
      </c>
      <c r="D1126" s="633" t="s">
        <v>2711</v>
      </c>
      <c r="E1126" s="644">
        <v>1300000</v>
      </c>
      <c r="F1126" s="633" t="s">
        <v>2292</v>
      </c>
      <c r="G1126" s="633" t="s">
        <v>2605</v>
      </c>
      <c r="H1126" s="635" t="s">
        <v>1625</v>
      </c>
      <c r="I1126" s="635" t="s">
        <v>1625</v>
      </c>
      <c r="J1126" s="387">
        <v>1</v>
      </c>
      <c r="K1126" s="385" t="s">
        <v>1496</v>
      </c>
    </row>
    <row r="1127" spans="1:11" ht="15.75">
      <c r="A1127" s="928" t="s">
        <v>2991</v>
      </c>
      <c r="B1127" s="420" t="s">
        <v>2182</v>
      </c>
      <c r="C1127" s="743" t="s">
        <v>3021</v>
      </c>
      <c r="D1127" s="633" t="s">
        <v>75</v>
      </c>
      <c r="E1127" s="644">
        <v>1600000</v>
      </c>
      <c r="F1127" s="633" t="s">
        <v>2213</v>
      </c>
      <c r="G1127" s="633" t="s">
        <v>2605</v>
      </c>
      <c r="H1127" s="635" t="s">
        <v>1625</v>
      </c>
      <c r="I1127" s="635" t="s">
        <v>1625</v>
      </c>
      <c r="J1127" s="387">
        <v>1</v>
      </c>
      <c r="K1127" s="385" t="s">
        <v>1171</v>
      </c>
    </row>
    <row r="1128" spans="1:11" ht="15.75">
      <c r="A1128" s="928" t="s">
        <v>2991</v>
      </c>
      <c r="B1128" s="420" t="s">
        <v>2182</v>
      </c>
      <c r="C1128" s="743" t="s">
        <v>3022</v>
      </c>
      <c r="D1128" s="633" t="s">
        <v>2700</v>
      </c>
      <c r="E1128" s="644">
        <v>1100000</v>
      </c>
      <c r="F1128" s="633" t="s">
        <v>2292</v>
      </c>
      <c r="G1128" s="633" t="s">
        <v>2605</v>
      </c>
      <c r="H1128" s="635" t="s">
        <v>1625</v>
      </c>
      <c r="I1128" s="635" t="s">
        <v>1625</v>
      </c>
      <c r="J1128" s="387">
        <v>1</v>
      </c>
      <c r="K1128" s="385" t="s">
        <v>1499</v>
      </c>
    </row>
    <row r="1129" spans="1:11" ht="15.75">
      <c r="A1129" s="928" t="s">
        <v>2991</v>
      </c>
      <c r="B1129" s="420" t="s">
        <v>2182</v>
      </c>
      <c r="C1129" s="743" t="s">
        <v>1882</v>
      </c>
      <c r="D1129" s="633" t="s">
        <v>2700</v>
      </c>
      <c r="E1129" s="644">
        <v>1200000</v>
      </c>
      <c r="F1129" s="633" t="s">
        <v>2292</v>
      </c>
      <c r="G1129" s="633" t="s">
        <v>2605</v>
      </c>
      <c r="H1129" s="635" t="s">
        <v>1625</v>
      </c>
      <c r="I1129" s="635" t="s">
        <v>1625</v>
      </c>
      <c r="J1129" s="387">
        <v>1</v>
      </c>
      <c r="K1129" s="385" t="s">
        <v>1496</v>
      </c>
    </row>
    <row r="1130" spans="1:11" ht="15.75">
      <c r="A1130" s="928" t="s">
        <v>2991</v>
      </c>
      <c r="B1130" s="420" t="s">
        <v>2182</v>
      </c>
      <c r="C1130" s="743" t="s">
        <v>3023</v>
      </c>
      <c r="D1130" s="633" t="s">
        <v>2700</v>
      </c>
      <c r="E1130" s="644">
        <v>1400000</v>
      </c>
      <c r="F1130" s="633" t="s">
        <v>2292</v>
      </c>
      <c r="G1130" s="633" t="s">
        <v>2605</v>
      </c>
      <c r="H1130" s="635" t="s">
        <v>1625</v>
      </c>
      <c r="I1130" s="635" t="s">
        <v>1625</v>
      </c>
      <c r="J1130" s="387">
        <v>1</v>
      </c>
      <c r="K1130" s="385" t="s">
        <v>1496</v>
      </c>
    </row>
    <row r="1131" spans="1:11" ht="15.75">
      <c r="A1131" s="928" t="s">
        <v>3024</v>
      </c>
      <c r="B1131" s="420" t="s">
        <v>2182</v>
      </c>
      <c r="C1131" s="743" t="s">
        <v>3025</v>
      </c>
      <c r="D1131" s="633" t="s">
        <v>75</v>
      </c>
      <c r="E1131" s="644">
        <v>2500000</v>
      </c>
      <c r="F1131" s="633" t="s">
        <v>2292</v>
      </c>
      <c r="G1131" s="633" t="s">
        <v>2741</v>
      </c>
      <c r="H1131" s="635" t="s">
        <v>1625</v>
      </c>
      <c r="I1131" s="635" t="s">
        <v>1625</v>
      </c>
      <c r="J1131" s="387">
        <v>1</v>
      </c>
      <c r="K1131" s="385" t="s">
        <v>1496</v>
      </c>
    </row>
    <row r="1132" spans="1:11" ht="15.75">
      <c r="A1132" s="928" t="s">
        <v>2963</v>
      </c>
      <c r="B1132" s="420" t="s">
        <v>2182</v>
      </c>
      <c r="C1132" s="743" t="s">
        <v>519</v>
      </c>
      <c r="D1132" s="633" t="s">
        <v>75</v>
      </c>
      <c r="E1132" s="644">
        <v>1300000</v>
      </c>
      <c r="F1132" s="633" t="s">
        <v>2292</v>
      </c>
      <c r="G1132" s="633" t="s">
        <v>185</v>
      </c>
      <c r="H1132" s="635" t="s">
        <v>1625</v>
      </c>
      <c r="I1132" s="635" t="s">
        <v>1625</v>
      </c>
      <c r="J1132" s="387">
        <v>1</v>
      </c>
      <c r="K1132" s="385" t="s">
        <v>1499</v>
      </c>
    </row>
    <row r="1133" spans="1:11" ht="15.75">
      <c r="A1133" s="419" t="s">
        <v>2936</v>
      </c>
      <c r="B1133" s="420" t="s">
        <v>2182</v>
      </c>
      <c r="C1133" s="743" t="s">
        <v>587</v>
      </c>
      <c r="D1133" s="633" t="s">
        <v>2700</v>
      </c>
      <c r="E1133" s="644">
        <v>1400000</v>
      </c>
      <c r="F1133" s="633" t="s">
        <v>2292</v>
      </c>
      <c r="G1133" s="633" t="s">
        <v>2741</v>
      </c>
      <c r="H1133" s="635" t="s">
        <v>1625</v>
      </c>
      <c r="I1133" s="635" t="s">
        <v>1625</v>
      </c>
      <c r="J1133" s="387">
        <v>1</v>
      </c>
      <c r="K1133" s="385" t="s">
        <v>1245</v>
      </c>
    </row>
    <row r="1134" spans="1:11" ht="15.75">
      <c r="A1134" s="419" t="s">
        <v>2936</v>
      </c>
      <c r="B1134" s="420" t="s">
        <v>2182</v>
      </c>
      <c r="C1134" s="743" t="s">
        <v>3026</v>
      </c>
      <c r="D1134" s="633" t="s">
        <v>2966</v>
      </c>
      <c r="E1134" s="644">
        <v>950000</v>
      </c>
      <c r="F1134" s="633" t="s">
        <v>2213</v>
      </c>
      <c r="G1134" s="633" t="s">
        <v>2741</v>
      </c>
      <c r="H1134" s="635" t="s">
        <v>1625</v>
      </c>
      <c r="I1134" s="635" t="s">
        <v>1625</v>
      </c>
      <c r="J1134" s="387">
        <v>1</v>
      </c>
      <c r="K1134" s="385" t="s">
        <v>1245</v>
      </c>
    </row>
    <row r="1135" spans="1:11" ht="15.75">
      <c r="A1135" s="419"/>
      <c r="B1135" s="420"/>
      <c r="C1135" s="457"/>
      <c r="D1135" s="457"/>
      <c r="E1135" s="458"/>
      <c r="F1135" s="457"/>
      <c r="G1135" s="457"/>
      <c r="H1135" s="457"/>
      <c r="I1135" s="457"/>
      <c r="J1135" s="493">
        <f>SUM(J1107:J1134)</f>
        <v>28</v>
      </c>
      <c r="K1135" s="457"/>
    </row>
    <row r="1136" spans="1:11" ht="15.75">
      <c r="A1136" s="394"/>
      <c r="B1136" s="395"/>
      <c r="C1136" s="395"/>
      <c r="D1136" s="395"/>
      <c r="E1136" s="396"/>
      <c r="F1136" s="395"/>
      <c r="G1136" s="395"/>
      <c r="H1136" s="395"/>
      <c r="I1136" s="395"/>
      <c r="J1136" s="397"/>
      <c r="K1136" s="395"/>
    </row>
    <row r="1137" spans="1:11" ht="15.75">
      <c r="A1137" s="394"/>
      <c r="B1137" s="395"/>
      <c r="C1137" s="395"/>
      <c r="D1137" s="395"/>
      <c r="E1137" s="396"/>
      <c r="F1137" s="395"/>
      <c r="G1137" s="395"/>
      <c r="H1137" s="395"/>
      <c r="I1137" s="395"/>
      <c r="J1137" s="397"/>
      <c r="K1137" s="395"/>
    </row>
    <row r="1138" spans="1:11" ht="26.25">
      <c r="A1138" s="1668" t="s">
        <v>3027</v>
      </c>
      <c r="B1138" s="1669"/>
      <c r="C1138" s="1669"/>
      <c r="D1138" s="1669"/>
      <c r="E1138" s="1669"/>
      <c r="F1138" s="1669"/>
      <c r="G1138" s="1669"/>
      <c r="H1138" s="1669"/>
      <c r="I1138" s="1669"/>
      <c r="J1138" s="1669"/>
      <c r="K1138" s="1670"/>
    </row>
    <row r="1139" spans="1:11" ht="31.5">
      <c r="A1139" s="929" t="s">
        <v>1941</v>
      </c>
      <c r="B1139" s="693" t="s">
        <v>1942</v>
      </c>
      <c r="C1139" s="693" t="s">
        <v>1943</v>
      </c>
      <c r="D1139" s="693" t="s">
        <v>1944</v>
      </c>
      <c r="E1139" s="694" t="s">
        <v>1945</v>
      </c>
      <c r="F1139" s="693" t="s">
        <v>1946</v>
      </c>
      <c r="G1139" s="693" t="s">
        <v>2590</v>
      </c>
      <c r="H1139" s="693" t="s">
        <v>1947</v>
      </c>
      <c r="I1139" s="693" t="s">
        <v>1948</v>
      </c>
      <c r="J1139" s="695" t="s">
        <v>1949</v>
      </c>
      <c r="K1139" s="693" t="s">
        <v>1950</v>
      </c>
    </row>
    <row r="1140" spans="1:11" ht="15.75">
      <c r="A1140" s="930">
        <v>44205</v>
      </c>
      <c r="B1140" s="697" t="s">
        <v>2182</v>
      </c>
      <c r="C1140" s="455" t="s">
        <v>3028</v>
      </c>
      <c r="D1140" s="455" t="s">
        <v>3029</v>
      </c>
      <c r="E1140" s="461">
        <v>193000000</v>
      </c>
      <c r="F1140" s="455" t="s">
        <v>2292</v>
      </c>
      <c r="G1140" s="455" t="s">
        <v>2593</v>
      </c>
      <c r="H1140" s="460" t="s">
        <v>1955</v>
      </c>
      <c r="I1140" s="460" t="s">
        <v>1625</v>
      </c>
      <c r="J1140" s="460">
        <v>1</v>
      </c>
      <c r="K1140" s="455" t="s">
        <v>2482</v>
      </c>
    </row>
    <row r="1141" spans="1:11" ht="15.75">
      <c r="A1141" s="930">
        <v>44417</v>
      </c>
      <c r="B1141" s="697" t="s">
        <v>2182</v>
      </c>
      <c r="C1141" s="455" t="s">
        <v>3030</v>
      </c>
      <c r="D1141" s="455" t="s">
        <v>3031</v>
      </c>
      <c r="E1141" s="461">
        <v>240000000</v>
      </c>
      <c r="F1141" s="455" t="s">
        <v>2213</v>
      </c>
      <c r="G1141" s="455" t="s">
        <v>2593</v>
      </c>
      <c r="H1141" s="460" t="s">
        <v>1955</v>
      </c>
      <c r="I1141" s="460" t="s">
        <v>1625</v>
      </c>
      <c r="J1141" s="460">
        <v>1</v>
      </c>
      <c r="K1141" s="455" t="s">
        <v>2482</v>
      </c>
    </row>
    <row r="1142" spans="1:11" ht="15.75">
      <c r="A1142" s="930">
        <v>44417</v>
      </c>
      <c r="B1142" s="697" t="s">
        <v>2182</v>
      </c>
      <c r="C1142" s="455" t="s">
        <v>3032</v>
      </c>
      <c r="D1142" s="455" t="s">
        <v>75</v>
      </c>
      <c r="E1142" s="461">
        <v>290000000</v>
      </c>
      <c r="F1142" s="455" t="s">
        <v>2213</v>
      </c>
      <c r="G1142" s="455" t="s">
        <v>2593</v>
      </c>
      <c r="H1142" s="460" t="s">
        <v>1955</v>
      </c>
      <c r="I1142" s="460" t="s">
        <v>1625</v>
      </c>
      <c r="J1142" s="460">
        <v>1</v>
      </c>
      <c r="K1142" s="455" t="s">
        <v>2482</v>
      </c>
    </row>
    <row r="1143" spans="1:11" ht="15.75">
      <c r="A1143" s="930">
        <v>44417</v>
      </c>
      <c r="B1143" s="697" t="s">
        <v>2182</v>
      </c>
      <c r="C1143" s="455" t="s">
        <v>3033</v>
      </c>
      <c r="D1143" s="455" t="s">
        <v>2728</v>
      </c>
      <c r="E1143" s="461">
        <v>200000000</v>
      </c>
      <c r="F1143" s="455" t="s">
        <v>2292</v>
      </c>
      <c r="G1143" s="455" t="s">
        <v>2605</v>
      </c>
      <c r="H1143" s="460" t="s">
        <v>1955</v>
      </c>
      <c r="I1143" s="460" t="s">
        <v>1625</v>
      </c>
      <c r="J1143" s="460">
        <v>1</v>
      </c>
      <c r="K1143" s="455" t="s">
        <v>2482</v>
      </c>
    </row>
    <row r="1144" spans="1:11" ht="15.75">
      <c r="A1144" s="930">
        <v>44417</v>
      </c>
      <c r="B1144" s="697" t="s">
        <v>2182</v>
      </c>
      <c r="C1144" s="455" t="s">
        <v>3034</v>
      </c>
      <c r="D1144" s="455" t="s">
        <v>2167</v>
      </c>
      <c r="E1144" s="461">
        <v>270000000</v>
      </c>
      <c r="F1144" s="455" t="s">
        <v>2213</v>
      </c>
      <c r="G1144" s="455" t="s">
        <v>2605</v>
      </c>
      <c r="H1144" s="460" t="s">
        <v>1625</v>
      </c>
      <c r="I1144" s="460" t="s">
        <v>1625</v>
      </c>
      <c r="J1144" s="460">
        <v>1</v>
      </c>
      <c r="K1144" s="455" t="s">
        <v>2482</v>
      </c>
    </row>
    <row r="1145" spans="1:11" ht="15.75">
      <c r="A1145" s="931" t="s">
        <v>2975</v>
      </c>
      <c r="B1145" s="696" t="s">
        <v>1952</v>
      </c>
      <c r="C1145" s="482" t="s">
        <v>3035</v>
      </c>
      <c r="D1145" s="482" t="s">
        <v>2770</v>
      </c>
      <c r="E1145" s="483">
        <v>1150000</v>
      </c>
      <c r="F1145" s="482" t="s">
        <v>2292</v>
      </c>
      <c r="G1145" s="482" t="s">
        <v>2593</v>
      </c>
      <c r="H1145" s="484" t="s">
        <v>1955</v>
      </c>
      <c r="I1145" s="484" t="s">
        <v>1625</v>
      </c>
      <c r="J1145" s="484">
        <v>1</v>
      </c>
      <c r="K1145" s="482" t="s">
        <v>1496</v>
      </c>
    </row>
    <row r="1146" spans="1:11" ht="15.75">
      <c r="A1146" s="393" t="s">
        <v>2975</v>
      </c>
      <c r="B1146" s="381" t="s">
        <v>1952</v>
      </c>
      <c r="C1146" s="411" t="s">
        <v>570</v>
      </c>
      <c r="D1146" s="381" t="s">
        <v>2728</v>
      </c>
      <c r="E1146" s="451">
        <v>1050000</v>
      </c>
      <c r="F1146" s="381" t="s">
        <v>2292</v>
      </c>
      <c r="G1146" s="381" t="s">
        <v>30</v>
      </c>
      <c r="H1146" s="383" t="s">
        <v>1625</v>
      </c>
      <c r="I1146" s="383" t="s">
        <v>1625</v>
      </c>
      <c r="J1146" s="383">
        <v>1</v>
      </c>
      <c r="K1146" s="381" t="s">
        <v>2998</v>
      </c>
    </row>
    <row r="1147" spans="1:11" ht="15.75">
      <c r="A1147" s="479">
        <v>44205</v>
      </c>
      <c r="B1147" s="612" t="s">
        <v>2182</v>
      </c>
      <c r="C1147" s="381" t="s">
        <v>3036</v>
      </c>
      <c r="D1147" s="381" t="s">
        <v>2573</v>
      </c>
      <c r="E1147" s="451">
        <v>1300000</v>
      </c>
      <c r="F1147" s="381" t="s">
        <v>2292</v>
      </c>
      <c r="G1147" s="381" t="s">
        <v>2605</v>
      </c>
      <c r="H1147" s="383" t="s">
        <v>1625</v>
      </c>
      <c r="I1147" s="383" t="s">
        <v>1625</v>
      </c>
      <c r="J1147" s="383">
        <v>1</v>
      </c>
      <c r="K1147" s="381" t="s">
        <v>1496</v>
      </c>
    </row>
    <row r="1148" spans="1:11" ht="15.75">
      <c r="A1148" s="456" t="s">
        <v>3037</v>
      </c>
      <c r="B1148" s="457" t="s">
        <v>2182</v>
      </c>
      <c r="C1148" s="457" t="s">
        <v>3038</v>
      </c>
      <c r="D1148" s="457" t="s">
        <v>2347</v>
      </c>
      <c r="E1148" s="476">
        <v>1300000</v>
      </c>
      <c r="F1148" s="457" t="s">
        <v>2292</v>
      </c>
      <c r="G1148" s="457" t="s">
        <v>2605</v>
      </c>
      <c r="H1148" s="153" t="s">
        <v>1625</v>
      </c>
      <c r="I1148" s="153" t="s">
        <v>1625</v>
      </c>
      <c r="J1148" s="383">
        <v>1</v>
      </c>
      <c r="K1148" s="381" t="s">
        <v>1499</v>
      </c>
    </row>
    <row r="1149" spans="1:11" ht="15.75">
      <c r="A1149" s="692">
        <v>44386</v>
      </c>
      <c r="B1149" s="457" t="s">
        <v>2182</v>
      </c>
      <c r="C1149" s="457" t="s">
        <v>3039</v>
      </c>
      <c r="D1149" s="457" t="s">
        <v>2167</v>
      </c>
      <c r="E1149" s="476">
        <v>1200000</v>
      </c>
      <c r="F1149" s="457" t="s">
        <v>2292</v>
      </c>
      <c r="G1149" s="457" t="s">
        <v>2593</v>
      </c>
      <c r="H1149" s="153" t="s">
        <v>1625</v>
      </c>
      <c r="I1149" s="153" t="s">
        <v>1625</v>
      </c>
      <c r="J1149" s="383">
        <v>1</v>
      </c>
      <c r="K1149" s="381" t="s">
        <v>1499</v>
      </c>
    </row>
    <row r="1150" spans="1:11" ht="15.75">
      <c r="A1150" s="692">
        <v>44417</v>
      </c>
      <c r="B1150" s="457" t="s">
        <v>2182</v>
      </c>
      <c r="C1150" s="457" t="s">
        <v>3040</v>
      </c>
      <c r="D1150" s="457" t="s">
        <v>2728</v>
      </c>
      <c r="E1150" s="458"/>
      <c r="F1150" s="457"/>
      <c r="G1150" s="457"/>
      <c r="H1150" s="153"/>
      <c r="I1150" s="153"/>
      <c r="J1150" s="383"/>
      <c r="K1150" s="381"/>
    </row>
    <row r="1151" spans="1:11" ht="15.75">
      <c r="A1151" s="456"/>
      <c r="B1151" s="457"/>
      <c r="C1151" s="457"/>
      <c r="D1151" s="457"/>
      <c r="E1151" s="458"/>
      <c r="F1151" s="457"/>
      <c r="G1151" s="457"/>
      <c r="H1151" s="457"/>
      <c r="I1151" s="457"/>
      <c r="J1151" s="493">
        <f>SUM(J1140:J1149)</f>
        <v>10</v>
      </c>
      <c r="K1151" s="457"/>
    </row>
    <row r="1155" spans="1:11" ht="26.25">
      <c r="A1155" s="1667" t="s">
        <v>3041</v>
      </c>
      <c r="B1155" s="1667"/>
      <c r="C1155" s="1667"/>
      <c r="D1155" s="1667"/>
      <c r="E1155" s="1667"/>
      <c r="F1155" s="1667"/>
      <c r="G1155" s="1667"/>
      <c r="H1155" s="1667"/>
      <c r="I1155" s="1667"/>
      <c r="J1155" s="1667"/>
      <c r="K1155" s="1667"/>
    </row>
    <row r="1156" spans="1:11" ht="31.5">
      <c r="A1156" s="375" t="s">
        <v>1941</v>
      </c>
      <c r="B1156" s="378" t="s">
        <v>1942</v>
      </c>
      <c r="C1156" s="378" t="s">
        <v>1943</v>
      </c>
      <c r="D1156" s="378" t="s">
        <v>1944</v>
      </c>
      <c r="E1156" s="452" t="s">
        <v>1945</v>
      </c>
      <c r="F1156" s="378" t="s">
        <v>1946</v>
      </c>
      <c r="G1156" s="378" t="s">
        <v>2590</v>
      </c>
      <c r="H1156" s="378" t="s">
        <v>1947</v>
      </c>
      <c r="I1156" s="378" t="s">
        <v>1948</v>
      </c>
      <c r="J1156" s="453" t="s">
        <v>1949</v>
      </c>
      <c r="K1156" s="378" t="s">
        <v>1950</v>
      </c>
    </row>
    <row r="1157" spans="1:11" ht="15.75">
      <c r="A1157" s="384" t="s">
        <v>2981</v>
      </c>
      <c r="B1157" s="577" t="s">
        <v>2623</v>
      </c>
      <c r="C1157" s="385" t="s">
        <v>3042</v>
      </c>
      <c r="D1157" s="385" t="s">
        <v>3043</v>
      </c>
      <c r="E1157" s="462">
        <v>1200000</v>
      </c>
      <c r="F1157" s="385" t="s">
        <v>2292</v>
      </c>
      <c r="G1157" s="385" t="s">
        <v>2605</v>
      </c>
      <c r="H1157" s="387" t="s">
        <v>1625</v>
      </c>
      <c r="I1157" s="387" t="s">
        <v>1625</v>
      </c>
      <c r="J1157" s="387">
        <v>1</v>
      </c>
      <c r="K1157" s="385" t="s">
        <v>2998</v>
      </c>
    </row>
    <row r="1158" spans="1:11" ht="15.75">
      <c r="A1158" s="443" t="s">
        <v>2981</v>
      </c>
      <c r="B1158" s="385" t="s">
        <v>1952</v>
      </c>
      <c r="C1158" s="385" t="s">
        <v>3044</v>
      </c>
      <c r="D1158" s="385" t="s">
        <v>2568</v>
      </c>
      <c r="E1158" s="451">
        <v>1100000</v>
      </c>
      <c r="F1158" s="381" t="s">
        <v>1968</v>
      </c>
      <c r="G1158" s="381" t="s">
        <v>2605</v>
      </c>
      <c r="H1158" s="383" t="s">
        <v>1625</v>
      </c>
      <c r="I1158" s="383" t="s">
        <v>1625</v>
      </c>
      <c r="J1158" s="383">
        <v>1</v>
      </c>
      <c r="K1158" s="381" t="s">
        <v>1496</v>
      </c>
    </row>
    <row r="1159" spans="1:11" ht="15.75">
      <c r="A1159" s="393">
        <v>44264</v>
      </c>
      <c r="B1159" s="381" t="s">
        <v>2182</v>
      </c>
      <c r="C1159" s="381" t="s">
        <v>1668</v>
      </c>
      <c r="D1159" s="381" t="s">
        <v>2831</v>
      </c>
      <c r="E1159" s="712">
        <v>900000</v>
      </c>
      <c r="F1159" s="381" t="s">
        <v>2213</v>
      </c>
      <c r="G1159" s="381" t="s">
        <v>30</v>
      </c>
      <c r="H1159" s="383" t="s">
        <v>1625</v>
      </c>
      <c r="I1159" s="383" t="s">
        <v>1625</v>
      </c>
      <c r="J1159" s="383">
        <v>1</v>
      </c>
      <c r="K1159" s="381" t="s">
        <v>2690</v>
      </c>
    </row>
    <row r="1160" spans="1:11" ht="15.75">
      <c r="A1160" s="393">
        <v>44264</v>
      </c>
      <c r="B1160" s="381" t="s">
        <v>2182</v>
      </c>
      <c r="C1160" s="381" t="s">
        <v>3045</v>
      </c>
      <c r="D1160" s="381" t="s">
        <v>2326</v>
      </c>
      <c r="E1160" s="712">
        <v>950000</v>
      </c>
      <c r="F1160" s="381" t="s">
        <v>2213</v>
      </c>
      <c r="G1160" s="381" t="s">
        <v>30</v>
      </c>
      <c r="H1160" s="383" t="s">
        <v>1625</v>
      </c>
      <c r="I1160" s="383" t="s">
        <v>1625</v>
      </c>
      <c r="J1160" s="383">
        <v>1</v>
      </c>
      <c r="K1160" s="381" t="s">
        <v>2690</v>
      </c>
    </row>
    <row r="1161" spans="1:11" ht="15.75">
      <c r="A1161" s="393">
        <v>44356</v>
      </c>
      <c r="B1161" s="381" t="s">
        <v>2182</v>
      </c>
      <c r="C1161" s="381" t="s">
        <v>3046</v>
      </c>
      <c r="D1161" s="381" t="s">
        <v>2326</v>
      </c>
      <c r="E1161" s="712">
        <v>950000</v>
      </c>
      <c r="F1161" s="381" t="s">
        <v>2213</v>
      </c>
      <c r="G1161" s="381" t="s">
        <v>30</v>
      </c>
      <c r="H1161" s="383" t="s">
        <v>1625</v>
      </c>
      <c r="I1161" s="383" t="s">
        <v>1625</v>
      </c>
      <c r="J1161" s="383">
        <v>1</v>
      </c>
      <c r="K1161" s="381" t="s">
        <v>2690</v>
      </c>
    </row>
    <row r="1162" spans="1:11" ht="15.75">
      <c r="A1162" s="393">
        <v>44356</v>
      </c>
      <c r="B1162" s="381" t="s">
        <v>2182</v>
      </c>
      <c r="C1162" s="381" t="s">
        <v>3047</v>
      </c>
      <c r="D1162" s="381" t="s">
        <v>2326</v>
      </c>
      <c r="E1162" s="712">
        <v>750000</v>
      </c>
      <c r="F1162" s="381" t="s">
        <v>2213</v>
      </c>
      <c r="G1162" s="381" t="s">
        <v>30</v>
      </c>
      <c r="H1162" s="383" t="s">
        <v>1625</v>
      </c>
      <c r="I1162" s="383" t="s">
        <v>1625</v>
      </c>
      <c r="J1162" s="383">
        <v>1</v>
      </c>
      <c r="K1162" s="381" t="s">
        <v>2690</v>
      </c>
    </row>
    <row r="1163" spans="1:11" ht="15.75">
      <c r="A1163" s="412">
        <v>44417</v>
      </c>
      <c r="B1163" s="381" t="s">
        <v>2182</v>
      </c>
      <c r="C1163" s="381" t="s">
        <v>3048</v>
      </c>
      <c r="D1163" s="381" t="s">
        <v>2573</v>
      </c>
      <c r="E1163" s="712">
        <v>1300000</v>
      </c>
      <c r="F1163" s="381" t="s">
        <v>2213</v>
      </c>
      <c r="G1163" s="381" t="s">
        <v>30</v>
      </c>
      <c r="H1163" s="383" t="s">
        <v>1625</v>
      </c>
      <c r="I1163" s="383" t="s">
        <v>1625</v>
      </c>
      <c r="J1163" s="383">
        <v>1</v>
      </c>
      <c r="K1163" s="381" t="s">
        <v>2690</v>
      </c>
    </row>
    <row r="1164" spans="1:11" ht="15.75">
      <c r="A1164" s="419"/>
      <c r="B1164" s="420"/>
      <c r="C1164" s="420"/>
      <c r="D1164" s="420"/>
      <c r="E1164" s="458"/>
      <c r="F1164" s="153"/>
      <c r="G1164" s="153"/>
      <c r="H1164" s="457"/>
      <c r="I1164" s="457"/>
      <c r="J1164" s="493">
        <f>SUM(J1157:J1163)</f>
        <v>7</v>
      </c>
      <c r="K1164" s="457"/>
    </row>
    <row r="1167" spans="1:11">
      <c r="A1167" s="1665" t="s">
        <v>3049</v>
      </c>
      <c r="B1167" s="1665"/>
      <c r="C1167" s="1665"/>
      <c r="D1167" s="1665"/>
      <c r="E1167" s="1665"/>
      <c r="F1167" s="1665"/>
      <c r="G1167" s="1665"/>
      <c r="H1167" s="1665"/>
      <c r="I1167" s="1665"/>
      <c r="J1167" s="1665"/>
      <c r="K1167" s="1665"/>
    </row>
    <row r="1168" spans="1:11">
      <c r="A1168" s="1666"/>
      <c r="B1168" s="1666"/>
      <c r="C1168" s="1666"/>
      <c r="D1168" s="1666"/>
      <c r="E1168" s="1666"/>
      <c r="F1168" s="1666"/>
      <c r="G1168" s="1666"/>
      <c r="H1168" s="1666"/>
      <c r="I1168" s="1666"/>
      <c r="J1168" s="1666"/>
      <c r="K1168" s="1666"/>
    </row>
    <row r="1170" spans="1:11" ht="26.25">
      <c r="A1170" s="1667" t="s">
        <v>3050</v>
      </c>
      <c r="B1170" s="1667"/>
      <c r="C1170" s="1667"/>
      <c r="D1170" s="1667"/>
      <c r="E1170" s="1667"/>
      <c r="F1170" s="1667"/>
      <c r="G1170" s="1667"/>
      <c r="H1170" s="1667"/>
      <c r="I1170" s="1667"/>
      <c r="J1170" s="1667"/>
      <c r="K1170" s="1667"/>
    </row>
    <row r="1171" spans="1:11" ht="31.5">
      <c r="A1171" s="375" t="s">
        <v>1941</v>
      </c>
      <c r="B1171" s="378" t="s">
        <v>1942</v>
      </c>
      <c r="C1171" s="378" t="s">
        <v>1943</v>
      </c>
      <c r="D1171" s="378" t="s">
        <v>1944</v>
      </c>
      <c r="E1171" s="452" t="s">
        <v>1945</v>
      </c>
      <c r="F1171" s="378" t="s">
        <v>1946</v>
      </c>
      <c r="G1171" s="378" t="s">
        <v>2590</v>
      </c>
      <c r="H1171" s="378" t="s">
        <v>1947</v>
      </c>
      <c r="I1171" s="378" t="s">
        <v>1948</v>
      </c>
      <c r="J1171" s="453" t="s">
        <v>1949</v>
      </c>
      <c r="K1171" s="378" t="s">
        <v>10</v>
      </c>
    </row>
    <row r="1172" spans="1:11" ht="15.75">
      <c r="A1172" s="454" t="s">
        <v>3051</v>
      </c>
      <c r="B1172" s="455" t="s">
        <v>2182</v>
      </c>
      <c r="C1172" s="455" t="s">
        <v>3052</v>
      </c>
      <c r="D1172" s="455" t="s">
        <v>2711</v>
      </c>
      <c r="E1172" s="461">
        <v>310000000</v>
      </c>
      <c r="F1172" s="464" t="s">
        <v>2292</v>
      </c>
      <c r="G1172" s="464" t="s">
        <v>2741</v>
      </c>
      <c r="H1172" s="460" t="s">
        <v>1955</v>
      </c>
      <c r="I1172" s="460" t="s">
        <v>1625</v>
      </c>
      <c r="J1172" s="460">
        <v>1</v>
      </c>
      <c r="K1172" s="455" t="s">
        <v>2482</v>
      </c>
    </row>
    <row r="1173" spans="1:11" ht="15.75">
      <c r="A1173" s="454" t="s">
        <v>3051</v>
      </c>
      <c r="B1173" s="472" t="s">
        <v>2182</v>
      </c>
      <c r="C1173" s="455" t="s">
        <v>2959</v>
      </c>
      <c r="D1173" s="455" t="s">
        <v>2711</v>
      </c>
      <c r="E1173" s="461">
        <v>240000000</v>
      </c>
      <c r="F1173" s="464" t="s">
        <v>2292</v>
      </c>
      <c r="G1173" s="656" t="s">
        <v>30</v>
      </c>
      <c r="H1173" s="460" t="s">
        <v>1955</v>
      </c>
      <c r="I1173" s="460" t="s">
        <v>1625</v>
      </c>
      <c r="J1173" s="460">
        <v>1</v>
      </c>
      <c r="K1173" s="455" t="s">
        <v>2482</v>
      </c>
    </row>
    <row r="1174" spans="1:11" ht="15.75">
      <c r="A1174" s="454" t="s">
        <v>3051</v>
      </c>
      <c r="B1174" s="455" t="s">
        <v>2182</v>
      </c>
      <c r="C1174" s="459" t="s">
        <v>3053</v>
      </c>
      <c r="D1174" s="455" t="s">
        <v>2711</v>
      </c>
      <c r="E1174" s="461">
        <v>275000000</v>
      </c>
      <c r="F1174" s="654" t="s">
        <v>2292</v>
      </c>
      <c r="G1174" s="464" t="s">
        <v>2741</v>
      </c>
      <c r="H1174" s="655" t="s">
        <v>1955</v>
      </c>
      <c r="I1174" s="460" t="s">
        <v>1625</v>
      </c>
      <c r="J1174" s="460">
        <v>1</v>
      </c>
      <c r="K1174" s="455" t="s">
        <v>2482</v>
      </c>
    </row>
    <row r="1175" spans="1:11" ht="15.75">
      <c r="A1175" s="649" t="s">
        <v>3054</v>
      </c>
      <c r="B1175" s="650" t="s">
        <v>2182</v>
      </c>
      <c r="C1175" s="459" t="s">
        <v>3055</v>
      </c>
      <c r="D1175" s="455" t="s">
        <v>2292</v>
      </c>
      <c r="E1175" s="461">
        <v>215000000</v>
      </c>
      <c r="F1175" s="654" t="s">
        <v>2292</v>
      </c>
      <c r="G1175" s="464" t="s">
        <v>2292</v>
      </c>
      <c r="H1175" s="655" t="s">
        <v>1955</v>
      </c>
      <c r="I1175" s="460" t="s">
        <v>1625</v>
      </c>
      <c r="J1175" s="460">
        <v>1</v>
      </c>
      <c r="K1175" s="455" t="s">
        <v>2482</v>
      </c>
    </row>
    <row r="1176" spans="1:11" ht="15.75">
      <c r="A1176" s="479" t="s">
        <v>3051</v>
      </c>
      <c r="B1176" s="612" t="s">
        <v>2182</v>
      </c>
      <c r="C1176" s="381" t="s">
        <v>3056</v>
      </c>
      <c r="D1176" s="381" t="s">
        <v>75</v>
      </c>
      <c r="E1176" s="451">
        <v>1600000</v>
      </c>
      <c r="F1176" s="304" t="s">
        <v>2292</v>
      </c>
      <c r="G1176" s="275" t="s">
        <v>2605</v>
      </c>
      <c r="H1176" s="531" t="s">
        <v>1625</v>
      </c>
      <c r="I1176" s="383" t="s">
        <v>1625</v>
      </c>
      <c r="J1176" s="383">
        <v>1</v>
      </c>
      <c r="K1176" s="381" t="s">
        <v>242</v>
      </c>
    </row>
    <row r="1177" spans="1:11" ht="15.75">
      <c r="A1177" s="479" t="s">
        <v>3054</v>
      </c>
      <c r="B1177" s="612" t="s">
        <v>2182</v>
      </c>
      <c r="C1177" s="381" t="s">
        <v>124</v>
      </c>
      <c r="D1177" s="381" t="s">
        <v>2167</v>
      </c>
      <c r="E1177" s="451">
        <v>1300000</v>
      </c>
      <c r="F1177" s="304" t="s">
        <v>2292</v>
      </c>
      <c r="G1177" s="275" t="s">
        <v>2605</v>
      </c>
      <c r="H1177" s="531" t="s">
        <v>1625</v>
      </c>
      <c r="I1177" s="383" t="s">
        <v>1625</v>
      </c>
      <c r="J1177" s="383">
        <v>1</v>
      </c>
      <c r="K1177" s="381" t="s">
        <v>242</v>
      </c>
    </row>
    <row r="1178" spans="1:11" ht="15.75">
      <c r="A1178" s="479" t="s">
        <v>3054</v>
      </c>
      <c r="B1178" s="612" t="s">
        <v>2694</v>
      </c>
      <c r="C1178" s="381" t="s">
        <v>3057</v>
      </c>
      <c r="D1178" s="381" t="s">
        <v>3058</v>
      </c>
      <c r="E1178" s="451">
        <v>850000</v>
      </c>
      <c r="F1178" s="304" t="s">
        <v>1968</v>
      </c>
      <c r="G1178" s="275" t="s">
        <v>1957</v>
      </c>
      <c r="H1178" s="531" t="s">
        <v>1625</v>
      </c>
      <c r="I1178" s="383" t="s">
        <v>1625</v>
      </c>
      <c r="J1178" s="383">
        <v>1</v>
      </c>
      <c r="K1178" s="381" t="s">
        <v>242</v>
      </c>
    </row>
    <row r="1179" spans="1:11" ht="15.75">
      <c r="A1179" s="479">
        <v>44206</v>
      </c>
      <c r="B1179" s="612" t="s">
        <v>2182</v>
      </c>
      <c r="C1179" s="381" t="s">
        <v>527</v>
      </c>
      <c r="D1179" s="381" t="s">
        <v>3059</v>
      </c>
      <c r="E1179" s="451">
        <v>1250000</v>
      </c>
      <c r="F1179" s="304" t="s">
        <v>2292</v>
      </c>
      <c r="G1179" s="275" t="s">
        <v>2605</v>
      </c>
      <c r="H1179" s="531" t="s">
        <v>1625</v>
      </c>
      <c r="I1179" s="383" t="s">
        <v>1625</v>
      </c>
      <c r="J1179" s="383">
        <v>1</v>
      </c>
      <c r="K1179" s="381" t="s">
        <v>242</v>
      </c>
    </row>
    <row r="1180" spans="1:11" ht="15.75">
      <c r="A1180" s="479">
        <v>44206</v>
      </c>
      <c r="B1180" s="612" t="s">
        <v>2182</v>
      </c>
      <c r="C1180" s="381" t="s">
        <v>3060</v>
      </c>
      <c r="D1180" s="381" t="s">
        <v>75</v>
      </c>
      <c r="E1180" s="451">
        <v>1400000</v>
      </c>
      <c r="F1180" s="304" t="s">
        <v>2292</v>
      </c>
      <c r="G1180" s="275" t="s">
        <v>2605</v>
      </c>
      <c r="H1180" s="531" t="s">
        <v>1625</v>
      </c>
      <c r="I1180" s="383" t="s">
        <v>1625</v>
      </c>
      <c r="J1180" s="383">
        <v>1</v>
      </c>
      <c r="K1180" s="381" t="s">
        <v>242</v>
      </c>
    </row>
    <row r="1181" spans="1:11" ht="15.75">
      <c r="A1181" s="479">
        <v>44357</v>
      </c>
      <c r="B1181" s="612" t="s">
        <v>2182</v>
      </c>
      <c r="C1181" s="381" t="s">
        <v>518</v>
      </c>
      <c r="D1181" s="381" t="s">
        <v>2845</v>
      </c>
      <c r="E1181" s="451">
        <v>1500000</v>
      </c>
      <c r="F1181" s="304" t="s">
        <v>2292</v>
      </c>
      <c r="G1181" s="275" t="s">
        <v>30</v>
      </c>
      <c r="H1181" s="531" t="s">
        <v>1625</v>
      </c>
      <c r="I1181" s="383" t="s">
        <v>1625</v>
      </c>
      <c r="J1181" s="383">
        <v>1</v>
      </c>
      <c r="K1181" s="381" t="s">
        <v>128</v>
      </c>
    </row>
    <row r="1182" spans="1:11" ht="15.75">
      <c r="A1182" s="479">
        <v>44418</v>
      </c>
      <c r="B1182" s="612" t="s">
        <v>1952</v>
      </c>
      <c r="C1182" s="381" t="s">
        <v>3061</v>
      </c>
      <c r="D1182" s="381" t="s">
        <v>2559</v>
      </c>
      <c r="E1182" s="451">
        <v>900000</v>
      </c>
      <c r="F1182" s="304" t="s">
        <v>2213</v>
      </c>
      <c r="G1182" s="275" t="s">
        <v>2741</v>
      </c>
      <c r="H1182" s="531" t="s">
        <v>1955</v>
      </c>
      <c r="I1182" s="383" t="s">
        <v>1625</v>
      </c>
      <c r="J1182" s="383">
        <v>1</v>
      </c>
      <c r="K1182" s="381" t="s">
        <v>242</v>
      </c>
    </row>
    <row r="1183" spans="1:11" ht="15.75">
      <c r="A1183" s="479">
        <v>44418</v>
      </c>
      <c r="B1183" s="612" t="s">
        <v>2182</v>
      </c>
      <c r="C1183" s="381" t="s">
        <v>3062</v>
      </c>
      <c r="D1183" s="381" t="s">
        <v>2167</v>
      </c>
      <c r="E1183" s="451">
        <v>1350000</v>
      </c>
      <c r="F1183" s="304" t="s">
        <v>2461</v>
      </c>
      <c r="G1183" s="275" t="s">
        <v>30</v>
      </c>
      <c r="H1183" s="531" t="s">
        <v>1625</v>
      </c>
      <c r="I1183" s="383" t="s">
        <v>1625</v>
      </c>
      <c r="J1183" s="383">
        <v>1</v>
      </c>
      <c r="K1183" s="381" t="s">
        <v>128</v>
      </c>
    </row>
    <row r="1184" spans="1:11" ht="15.75">
      <c r="A1184" s="479">
        <v>44418</v>
      </c>
      <c r="B1184" s="612" t="s">
        <v>2182</v>
      </c>
      <c r="C1184" s="381" t="s">
        <v>3063</v>
      </c>
      <c r="D1184" s="381" t="s">
        <v>2394</v>
      </c>
      <c r="E1184" s="451">
        <v>1100000</v>
      </c>
      <c r="F1184" s="304" t="s">
        <v>2292</v>
      </c>
      <c r="G1184" s="275" t="s">
        <v>30</v>
      </c>
      <c r="H1184" s="531" t="s">
        <v>1625</v>
      </c>
      <c r="I1184" s="383" t="s">
        <v>1625</v>
      </c>
      <c r="J1184" s="383">
        <v>1</v>
      </c>
      <c r="K1184" s="381" t="s">
        <v>1496</v>
      </c>
    </row>
    <row r="1185" spans="1:11" ht="15.75">
      <c r="A1185" s="479">
        <v>44540</v>
      </c>
      <c r="B1185" s="612" t="s">
        <v>2182</v>
      </c>
      <c r="C1185" s="381" t="s">
        <v>603</v>
      </c>
      <c r="D1185" s="381" t="s">
        <v>2711</v>
      </c>
      <c r="E1185" s="451">
        <v>1400000</v>
      </c>
      <c r="F1185" s="304" t="s">
        <v>2292</v>
      </c>
      <c r="G1185" s="275" t="s">
        <v>2741</v>
      </c>
      <c r="H1185" s="531" t="s">
        <v>1625</v>
      </c>
      <c r="I1185" s="383" t="s">
        <v>1625</v>
      </c>
      <c r="J1185" s="383">
        <v>1</v>
      </c>
      <c r="K1185" s="381" t="s">
        <v>3064</v>
      </c>
    </row>
    <row r="1186" spans="1:11" ht="15.75">
      <c r="A1186" s="479" t="s">
        <v>3065</v>
      </c>
      <c r="B1186" s="612" t="s">
        <v>1966</v>
      </c>
      <c r="C1186" s="381" t="s">
        <v>3066</v>
      </c>
      <c r="D1186" s="381" t="s">
        <v>3067</v>
      </c>
      <c r="E1186" s="451">
        <v>6500000</v>
      </c>
      <c r="F1186" s="304" t="s">
        <v>2292</v>
      </c>
      <c r="G1186" s="275" t="s">
        <v>2741</v>
      </c>
      <c r="H1186" s="531" t="s">
        <v>1955</v>
      </c>
      <c r="I1186" s="383" t="s">
        <v>1625</v>
      </c>
      <c r="J1186" s="383">
        <v>1</v>
      </c>
      <c r="K1186" s="381" t="s">
        <v>1496</v>
      </c>
    </row>
    <row r="1187" spans="1:11" ht="15.75">
      <c r="A1187" s="479" t="s">
        <v>3065</v>
      </c>
      <c r="B1187" s="612" t="s">
        <v>2182</v>
      </c>
      <c r="C1187" s="381" t="s">
        <v>1571</v>
      </c>
      <c r="D1187" s="381" t="s">
        <v>75</v>
      </c>
      <c r="E1187" s="451">
        <v>1500000</v>
      </c>
      <c r="F1187" s="304" t="s">
        <v>2292</v>
      </c>
      <c r="G1187" s="275" t="s">
        <v>2605</v>
      </c>
      <c r="H1187" s="531" t="s">
        <v>1625</v>
      </c>
      <c r="I1187" s="383" t="s">
        <v>1625</v>
      </c>
      <c r="J1187" s="383">
        <v>1</v>
      </c>
      <c r="K1187" s="381" t="s">
        <v>128</v>
      </c>
    </row>
    <row r="1188" spans="1:11" ht="15.75">
      <c r="A1188" s="479" t="s">
        <v>3068</v>
      </c>
      <c r="B1188" s="612" t="s">
        <v>2182</v>
      </c>
      <c r="C1188" s="381" t="s">
        <v>531</v>
      </c>
      <c r="D1188" s="381" t="s">
        <v>2394</v>
      </c>
      <c r="E1188" s="451">
        <v>1100000</v>
      </c>
      <c r="F1188" s="304" t="s">
        <v>2292</v>
      </c>
      <c r="G1188" s="275" t="s">
        <v>2605</v>
      </c>
      <c r="H1188" s="531" t="s">
        <v>1625</v>
      </c>
      <c r="I1188" s="383" t="s">
        <v>1625</v>
      </c>
      <c r="J1188" s="383">
        <v>1</v>
      </c>
      <c r="K1188" s="381" t="s">
        <v>3064</v>
      </c>
    </row>
    <row r="1189" spans="1:11" ht="15.75">
      <c r="A1189" s="479" t="s">
        <v>3068</v>
      </c>
      <c r="B1189" s="612" t="s">
        <v>2182</v>
      </c>
      <c r="C1189" s="381" t="s">
        <v>532</v>
      </c>
      <c r="D1189" s="381" t="s">
        <v>2394</v>
      </c>
      <c r="E1189" s="451">
        <v>1050000</v>
      </c>
      <c r="F1189" s="304" t="s">
        <v>2292</v>
      </c>
      <c r="G1189" s="275" t="s">
        <v>2605</v>
      </c>
      <c r="H1189" s="531" t="s">
        <v>1625</v>
      </c>
      <c r="I1189" s="383" t="s">
        <v>1625</v>
      </c>
      <c r="J1189" s="383">
        <v>1</v>
      </c>
      <c r="K1189" s="381" t="s">
        <v>3064</v>
      </c>
    </row>
    <row r="1190" spans="1:11" ht="15.75">
      <c r="A1190" s="479" t="s">
        <v>3069</v>
      </c>
      <c r="B1190" s="612" t="s">
        <v>2182</v>
      </c>
      <c r="C1190" s="381" t="s">
        <v>604</v>
      </c>
      <c r="D1190" s="381" t="s">
        <v>2167</v>
      </c>
      <c r="E1190" s="451">
        <v>1500000</v>
      </c>
      <c r="F1190" s="304" t="s">
        <v>2292</v>
      </c>
      <c r="G1190" s="275" t="s">
        <v>2873</v>
      </c>
      <c r="H1190" s="531" t="s">
        <v>1625</v>
      </c>
      <c r="I1190" s="383" t="s">
        <v>1625</v>
      </c>
      <c r="J1190" s="383">
        <v>1</v>
      </c>
      <c r="K1190" s="381" t="s">
        <v>100</v>
      </c>
    </row>
    <row r="1191" spans="1:11" ht="15.75">
      <c r="A1191" s="479" t="s">
        <v>3070</v>
      </c>
      <c r="B1191" s="612" t="s">
        <v>2060</v>
      </c>
      <c r="C1191" s="381" t="s">
        <v>3071</v>
      </c>
      <c r="D1191" s="381" t="s">
        <v>2669</v>
      </c>
      <c r="E1191" s="451">
        <v>9000000</v>
      </c>
      <c r="F1191" s="304" t="s">
        <v>2213</v>
      </c>
      <c r="G1191" s="275" t="s">
        <v>2605</v>
      </c>
      <c r="H1191" s="531" t="s">
        <v>1955</v>
      </c>
      <c r="I1191" s="383" t="s">
        <v>1625</v>
      </c>
      <c r="J1191" s="383">
        <v>1</v>
      </c>
      <c r="K1191" s="381" t="s">
        <v>128</v>
      </c>
    </row>
    <row r="1192" spans="1:11" ht="15.75">
      <c r="A1192" s="479" t="s">
        <v>3070</v>
      </c>
      <c r="B1192" s="612" t="s">
        <v>2182</v>
      </c>
      <c r="C1192" s="381" t="s">
        <v>3072</v>
      </c>
      <c r="D1192" s="381" t="s">
        <v>75</v>
      </c>
      <c r="E1192" s="451">
        <v>1400000</v>
      </c>
      <c r="F1192" s="304" t="s">
        <v>2292</v>
      </c>
      <c r="G1192" s="275" t="s">
        <v>2605</v>
      </c>
      <c r="H1192" s="531" t="s">
        <v>1625</v>
      </c>
      <c r="I1192" s="383" t="s">
        <v>1625</v>
      </c>
      <c r="J1192" s="383">
        <v>1</v>
      </c>
      <c r="K1192" s="381" t="s">
        <v>242</v>
      </c>
    </row>
    <row r="1193" spans="1:11" ht="15.75">
      <c r="A1193" s="479" t="s">
        <v>3073</v>
      </c>
      <c r="B1193" s="612" t="s">
        <v>2060</v>
      </c>
      <c r="C1193" s="381" t="s">
        <v>3074</v>
      </c>
      <c r="D1193" s="381" t="s">
        <v>2933</v>
      </c>
      <c r="E1193" s="451">
        <v>3500000</v>
      </c>
      <c r="F1193" s="304" t="s">
        <v>2213</v>
      </c>
      <c r="G1193" s="275" t="s">
        <v>2741</v>
      </c>
      <c r="H1193" s="531" t="s">
        <v>1955</v>
      </c>
      <c r="I1193" s="383" t="s">
        <v>1625</v>
      </c>
      <c r="J1193" s="383">
        <v>1</v>
      </c>
      <c r="K1193" s="381" t="s">
        <v>3064</v>
      </c>
    </row>
    <row r="1194" spans="1:11" ht="15.75">
      <c r="A1194" s="393" t="s">
        <v>3073</v>
      </c>
      <c r="B1194" s="381" t="s">
        <v>2182</v>
      </c>
      <c r="C1194" s="381" t="s">
        <v>3075</v>
      </c>
      <c r="D1194" s="381" t="s">
        <v>2394</v>
      </c>
      <c r="E1194" s="451">
        <v>1200000</v>
      </c>
      <c r="F1194" s="381" t="s">
        <v>2605</v>
      </c>
      <c r="G1194" s="381" t="s">
        <v>2605</v>
      </c>
      <c r="H1194" s="383" t="s">
        <v>1625</v>
      </c>
      <c r="I1194" s="383" t="s">
        <v>1625</v>
      </c>
      <c r="J1194" s="383">
        <v>1</v>
      </c>
      <c r="K1194" s="381" t="s">
        <v>128</v>
      </c>
    </row>
    <row r="1195" spans="1:11" ht="15.75">
      <c r="A1195" s="412" t="s">
        <v>3076</v>
      </c>
      <c r="B1195" s="411" t="s">
        <v>2182</v>
      </c>
      <c r="C1195" s="381" t="s">
        <v>821</v>
      </c>
      <c r="D1195" s="381" t="s">
        <v>2394</v>
      </c>
      <c r="E1195" s="451" t="s">
        <v>3077</v>
      </c>
      <c r="F1195" s="304" t="s">
        <v>2292</v>
      </c>
      <c r="G1195" s="275" t="s">
        <v>2605</v>
      </c>
      <c r="H1195" s="531" t="s">
        <v>1625</v>
      </c>
      <c r="I1195" s="383" t="s">
        <v>1625</v>
      </c>
      <c r="J1195" s="383">
        <v>1</v>
      </c>
      <c r="K1195" s="381" t="s">
        <v>1496</v>
      </c>
    </row>
    <row r="1196" spans="1:11" ht="15.75">
      <c r="A1196" s="405" t="s">
        <v>3076</v>
      </c>
      <c r="B1196" s="406" t="s">
        <v>2182</v>
      </c>
      <c r="C1196" s="406" t="s">
        <v>613</v>
      </c>
      <c r="D1196" s="406" t="s">
        <v>2845</v>
      </c>
      <c r="E1196" s="490">
        <v>1650000</v>
      </c>
      <c r="F1196" s="491" t="s">
        <v>2292</v>
      </c>
      <c r="G1196" s="491" t="s">
        <v>2741</v>
      </c>
      <c r="H1196" s="408" t="s">
        <v>1625</v>
      </c>
      <c r="I1196" s="408" t="s">
        <v>1625</v>
      </c>
      <c r="J1196" s="408">
        <v>1</v>
      </c>
      <c r="K1196" s="406" t="s">
        <v>3078</v>
      </c>
    </row>
    <row r="1197" spans="1:11" ht="15.75">
      <c r="A1197" s="405" t="s">
        <v>3079</v>
      </c>
      <c r="B1197" s="406" t="s">
        <v>2182</v>
      </c>
      <c r="C1197" s="406" t="s">
        <v>602</v>
      </c>
      <c r="D1197" s="406" t="s">
        <v>2167</v>
      </c>
      <c r="E1197" s="490">
        <v>1500000</v>
      </c>
      <c r="F1197" s="491" t="s">
        <v>2292</v>
      </c>
      <c r="G1197" s="491" t="s">
        <v>2873</v>
      </c>
      <c r="H1197" s="408" t="s">
        <v>1625</v>
      </c>
      <c r="I1197" s="408" t="s">
        <v>1625</v>
      </c>
      <c r="J1197" s="408">
        <v>1</v>
      </c>
      <c r="K1197" s="406" t="s">
        <v>242</v>
      </c>
    </row>
    <row r="1198" spans="1:11" ht="15.75">
      <c r="A1198" s="405" t="s">
        <v>3079</v>
      </c>
      <c r="B1198" s="406" t="s">
        <v>2182</v>
      </c>
      <c r="C1198" s="406" t="s">
        <v>3080</v>
      </c>
      <c r="D1198" s="406" t="s">
        <v>2167</v>
      </c>
      <c r="E1198" s="490">
        <v>1200000</v>
      </c>
      <c r="F1198" s="491" t="s">
        <v>2292</v>
      </c>
      <c r="G1198" s="491" t="s">
        <v>2873</v>
      </c>
      <c r="H1198" s="408" t="s">
        <v>1625</v>
      </c>
      <c r="I1198" s="408" t="s">
        <v>1625</v>
      </c>
      <c r="J1198" s="408">
        <v>1</v>
      </c>
      <c r="K1198" s="406" t="s">
        <v>128</v>
      </c>
    </row>
    <row r="1199" spans="1:11" ht="15.75">
      <c r="A1199" s="419"/>
      <c r="B1199" s="420"/>
      <c r="C1199" s="420"/>
      <c r="D1199" s="420"/>
      <c r="E1199" s="463"/>
      <c r="F1199" s="466"/>
      <c r="G1199" s="466"/>
      <c r="H1199" s="422"/>
      <c r="I1199" s="422"/>
      <c r="J1199" s="492">
        <f>SUM(J1172:J1196)</f>
        <v>25</v>
      </c>
      <c r="K1199" s="420"/>
    </row>
    <row r="1200" spans="1:11" ht="15.75">
      <c r="A1200" s="394"/>
      <c r="B1200" s="395"/>
      <c r="C1200" s="395"/>
      <c r="D1200" s="395"/>
      <c r="E1200" s="706"/>
      <c r="F1200" s="707"/>
      <c r="G1200" s="707"/>
      <c r="H1200" s="397"/>
      <c r="I1200" s="397"/>
      <c r="J1200" s="397"/>
      <c r="K1200" s="395"/>
    </row>
    <row r="1201" spans="1:11" ht="15.75">
      <c r="A1201" s="394"/>
      <c r="B1201" s="395"/>
      <c r="C1201" s="395"/>
      <c r="D1201" s="395"/>
      <c r="E1201" s="706"/>
      <c r="F1201" s="707"/>
      <c r="G1201" s="707"/>
      <c r="H1201" s="397"/>
      <c r="I1201" s="397"/>
      <c r="J1201" s="397"/>
      <c r="K1201" s="395"/>
    </row>
    <row r="1202" spans="1:11" ht="15.75">
      <c r="A1202" s="394"/>
      <c r="B1202" s="395"/>
      <c r="C1202" s="395"/>
      <c r="D1202" s="395"/>
      <c r="E1202" s="396"/>
      <c r="F1202" s="397"/>
      <c r="G1202" s="397"/>
      <c r="H1202" s="397"/>
      <c r="I1202" s="395"/>
      <c r="J1202" s="395"/>
      <c r="K1202" s="395"/>
    </row>
    <row r="1203" spans="1:11" ht="26.25">
      <c r="A1203" s="1667" t="s">
        <v>3081</v>
      </c>
      <c r="B1203" s="1667"/>
      <c r="C1203" s="1667"/>
      <c r="D1203" s="1667"/>
      <c r="E1203" s="1667"/>
      <c r="F1203" s="1667"/>
      <c r="G1203" s="1667"/>
      <c r="H1203" s="1667"/>
      <c r="I1203" s="1667"/>
      <c r="J1203" s="1667"/>
      <c r="K1203" s="1667"/>
    </row>
    <row r="1204" spans="1:11" ht="31.5">
      <c r="A1204" s="375" t="s">
        <v>1941</v>
      </c>
      <c r="B1204" s="378" t="s">
        <v>1942</v>
      </c>
      <c r="C1204" s="378" t="s">
        <v>1943</v>
      </c>
      <c r="D1204" s="378" t="s">
        <v>1944</v>
      </c>
      <c r="E1204" s="452" t="s">
        <v>1945</v>
      </c>
      <c r="F1204" s="378" t="s">
        <v>1946</v>
      </c>
      <c r="G1204" s="378" t="s">
        <v>2590</v>
      </c>
      <c r="H1204" s="378" t="s">
        <v>1947</v>
      </c>
      <c r="I1204" s="378" t="s">
        <v>1948</v>
      </c>
      <c r="J1204" s="453" t="s">
        <v>1949</v>
      </c>
      <c r="K1204" s="378" t="s">
        <v>1950</v>
      </c>
    </row>
    <row r="1205" spans="1:11" ht="15.75">
      <c r="A1205" s="474">
        <v>44387</v>
      </c>
      <c r="B1205" s="472" t="s">
        <v>2182</v>
      </c>
      <c r="C1205" s="472" t="s">
        <v>3082</v>
      </c>
      <c r="D1205" s="472" t="s">
        <v>2347</v>
      </c>
      <c r="E1205" s="475">
        <v>320000000</v>
      </c>
      <c r="F1205" s="472" t="s">
        <v>1968</v>
      </c>
      <c r="G1205" s="472" t="s">
        <v>2741</v>
      </c>
      <c r="H1205" s="473" t="s">
        <v>1955</v>
      </c>
      <c r="I1205" s="473" t="s">
        <v>1625</v>
      </c>
      <c r="J1205" s="473">
        <v>1</v>
      </c>
      <c r="K1205" s="472" t="s">
        <v>2482</v>
      </c>
    </row>
    <row r="1206" spans="1:11" ht="15.75">
      <c r="A1206" s="474" t="s">
        <v>3083</v>
      </c>
      <c r="B1206" s="455" t="s">
        <v>1952</v>
      </c>
      <c r="C1206" s="455" t="s">
        <v>1274</v>
      </c>
      <c r="D1206" s="455" t="s">
        <v>75</v>
      </c>
      <c r="E1206" s="461">
        <v>370000000</v>
      </c>
      <c r="F1206" s="455" t="s">
        <v>2292</v>
      </c>
      <c r="G1206" s="455" t="s">
        <v>2741</v>
      </c>
      <c r="H1206" s="460" t="s">
        <v>1955</v>
      </c>
      <c r="I1206" s="460" t="s">
        <v>1625</v>
      </c>
      <c r="J1206" s="460">
        <v>1</v>
      </c>
      <c r="K1206" s="455" t="s">
        <v>2482</v>
      </c>
    </row>
    <row r="1207" spans="1:11" ht="15.75">
      <c r="A1207" s="507" t="s">
        <v>3079</v>
      </c>
      <c r="B1207" s="459" t="s">
        <v>2182</v>
      </c>
      <c r="C1207" s="455" t="s">
        <v>3084</v>
      </c>
      <c r="D1207" s="455" t="s">
        <v>2167</v>
      </c>
      <c r="E1207" s="461">
        <v>240000000</v>
      </c>
      <c r="F1207" s="455" t="s">
        <v>2292</v>
      </c>
      <c r="G1207" s="455" t="s">
        <v>2741</v>
      </c>
      <c r="H1207" s="460" t="s">
        <v>1955</v>
      </c>
      <c r="I1207" s="460" t="s">
        <v>1625</v>
      </c>
      <c r="J1207" s="460">
        <v>1</v>
      </c>
      <c r="K1207" s="455" t="s">
        <v>2482</v>
      </c>
    </row>
    <row r="1208" spans="1:11" ht="15.75">
      <c r="A1208" s="412" t="s">
        <v>3051</v>
      </c>
      <c r="B1208" s="426" t="s">
        <v>2182</v>
      </c>
      <c r="C1208" s="385" t="s">
        <v>2951</v>
      </c>
      <c r="D1208" s="385" t="s">
        <v>2167</v>
      </c>
      <c r="E1208" s="462">
        <v>1500000</v>
      </c>
      <c r="F1208" s="385" t="s">
        <v>2292</v>
      </c>
      <c r="G1208" s="385" t="s">
        <v>2873</v>
      </c>
      <c r="H1208" s="387" t="s">
        <v>1625</v>
      </c>
      <c r="I1208" s="387" t="s">
        <v>1625</v>
      </c>
      <c r="J1208" s="387">
        <v>1</v>
      </c>
      <c r="K1208" s="385" t="s">
        <v>242</v>
      </c>
    </row>
    <row r="1209" spans="1:11" ht="15.75">
      <c r="A1209" s="479" t="s">
        <v>3054</v>
      </c>
      <c r="B1209" s="426" t="s">
        <v>2182</v>
      </c>
      <c r="C1209" s="385" t="s">
        <v>548</v>
      </c>
      <c r="D1209" s="385" t="s">
        <v>2347</v>
      </c>
      <c r="E1209" s="462">
        <v>1400000</v>
      </c>
      <c r="F1209" s="385" t="s">
        <v>2292</v>
      </c>
      <c r="G1209" s="385" t="s">
        <v>2741</v>
      </c>
      <c r="H1209" s="387" t="s">
        <v>1955</v>
      </c>
      <c r="I1209" s="387" t="s">
        <v>1625</v>
      </c>
      <c r="J1209" s="387">
        <v>1</v>
      </c>
      <c r="K1209" s="385" t="s">
        <v>128</v>
      </c>
    </row>
    <row r="1210" spans="1:11" ht="15.75">
      <c r="A1210" s="479" t="s">
        <v>3054</v>
      </c>
      <c r="B1210" s="426" t="s">
        <v>2060</v>
      </c>
      <c r="C1210" s="385" t="s">
        <v>3085</v>
      </c>
      <c r="D1210" s="385" t="s">
        <v>2167</v>
      </c>
      <c r="E1210" s="462">
        <v>1500000</v>
      </c>
      <c r="F1210" s="385" t="s">
        <v>2292</v>
      </c>
      <c r="G1210" s="385" t="s">
        <v>2873</v>
      </c>
      <c r="H1210" s="387" t="s">
        <v>1955</v>
      </c>
      <c r="I1210" s="387" t="s">
        <v>1625</v>
      </c>
      <c r="J1210" s="387">
        <v>1</v>
      </c>
      <c r="K1210" s="385" t="s">
        <v>128</v>
      </c>
    </row>
    <row r="1211" spans="1:11" ht="15.75">
      <c r="A1211" s="479">
        <v>44357</v>
      </c>
      <c r="B1211" s="381" t="s">
        <v>2182</v>
      </c>
      <c r="C1211" s="381" t="s">
        <v>545</v>
      </c>
      <c r="D1211" s="381" t="s">
        <v>75</v>
      </c>
      <c r="E1211" s="451">
        <v>1750000</v>
      </c>
      <c r="F1211" s="381" t="s">
        <v>2292</v>
      </c>
      <c r="G1211" s="381" t="s">
        <v>2741</v>
      </c>
      <c r="H1211" s="383" t="s">
        <v>1955</v>
      </c>
      <c r="I1211" s="383" t="s">
        <v>1625</v>
      </c>
      <c r="J1211" s="383">
        <v>1</v>
      </c>
      <c r="K1211" s="381" t="s">
        <v>3064</v>
      </c>
    </row>
    <row r="1212" spans="1:11" ht="15.75">
      <c r="A1212" s="481">
        <v>44387</v>
      </c>
      <c r="B1212" s="482" t="s">
        <v>2182</v>
      </c>
      <c r="C1212" s="482" t="s">
        <v>549</v>
      </c>
      <c r="D1212" s="482" t="s">
        <v>75</v>
      </c>
      <c r="E1212" s="483">
        <v>1400000</v>
      </c>
      <c r="F1212" s="482" t="s">
        <v>2292</v>
      </c>
      <c r="G1212" s="482" t="s">
        <v>2741</v>
      </c>
      <c r="H1212" s="484" t="s">
        <v>1625</v>
      </c>
      <c r="I1212" s="484" t="s">
        <v>1625</v>
      </c>
      <c r="J1212" s="484">
        <v>1</v>
      </c>
      <c r="K1212" s="482" t="s">
        <v>100</v>
      </c>
    </row>
    <row r="1213" spans="1:11" ht="15.75">
      <c r="A1213" s="443">
        <v>44449</v>
      </c>
      <c r="B1213" s="381" t="s">
        <v>2182</v>
      </c>
      <c r="C1213" s="381" t="s">
        <v>3086</v>
      </c>
      <c r="D1213" s="381" t="s">
        <v>3059</v>
      </c>
      <c r="E1213" s="451">
        <v>1450000</v>
      </c>
      <c r="F1213" s="381" t="s">
        <v>2292</v>
      </c>
      <c r="G1213" s="381" t="s">
        <v>2741</v>
      </c>
      <c r="H1213" s="383" t="s">
        <v>1625</v>
      </c>
      <c r="I1213" s="383" t="s">
        <v>1625</v>
      </c>
      <c r="J1213" s="383">
        <v>1</v>
      </c>
      <c r="K1213" s="381" t="s">
        <v>242</v>
      </c>
    </row>
    <row r="1214" spans="1:11" ht="15.75">
      <c r="A1214" s="412">
        <v>44540</v>
      </c>
      <c r="B1214" s="411" t="s">
        <v>2182</v>
      </c>
      <c r="C1214" s="381" t="s">
        <v>3087</v>
      </c>
      <c r="D1214" s="381" t="s">
        <v>75</v>
      </c>
      <c r="E1214" s="451">
        <v>1900000</v>
      </c>
      <c r="F1214" s="381" t="s">
        <v>2292</v>
      </c>
      <c r="G1214" s="381" t="s">
        <v>2741</v>
      </c>
      <c r="H1214" s="383" t="s">
        <v>1955</v>
      </c>
      <c r="I1214" s="383" t="s">
        <v>1625</v>
      </c>
      <c r="J1214" s="383">
        <v>1</v>
      </c>
      <c r="K1214" s="381" t="s">
        <v>3078</v>
      </c>
    </row>
    <row r="1215" spans="1:11" ht="15.75">
      <c r="A1215" s="412" t="s">
        <v>3083</v>
      </c>
      <c r="B1215" s="411" t="s">
        <v>2182</v>
      </c>
      <c r="C1215" s="381" t="s">
        <v>3088</v>
      </c>
      <c r="D1215" s="381" t="s">
        <v>3089</v>
      </c>
      <c r="E1215" s="451">
        <v>960000</v>
      </c>
      <c r="F1215" s="381" t="s">
        <v>3090</v>
      </c>
      <c r="G1215" s="381" t="s">
        <v>2741</v>
      </c>
      <c r="H1215" s="383" t="s">
        <v>1955</v>
      </c>
      <c r="I1215" s="383" t="s">
        <v>1625</v>
      </c>
      <c r="J1215" s="383">
        <v>1</v>
      </c>
      <c r="K1215" s="381" t="s">
        <v>1496</v>
      </c>
    </row>
    <row r="1216" spans="1:11" ht="15.75">
      <c r="A1216" s="412" t="s">
        <v>3091</v>
      </c>
      <c r="B1216" s="411" t="s">
        <v>2182</v>
      </c>
      <c r="C1216" s="381" t="s">
        <v>3092</v>
      </c>
      <c r="D1216" s="381" t="s">
        <v>2700</v>
      </c>
      <c r="E1216" s="451">
        <v>1080000</v>
      </c>
      <c r="F1216" s="381" t="s">
        <v>1968</v>
      </c>
      <c r="G1216" s="381" t="s">
        <v>2741</v>
      </c>
      <c r="H1216" s="383" t="s">
        <v>1625</v>
      </c>
      <c r="I1216" s="383" t="s">
        <v>1625</v>
      </c>
      <c r="J1216" s="383">
        <v>1</v>
      </c>
      <c r="K1216" s="381" t="s">
        <v>128</v>
      </c>
    </row>
    <row r="1217" spans="1:11" ht="15.75">
      <c r="A1217" s="412" t="s">
        <v>3091</v>
      </c>
      <c r="B1217" s="411" t="s">
        <v>2182</v>
      </c>
      <c r="C1217" s="381" t="s">
        <v>3093</v>
      </c>
      <c r="D1217" s="381" t="s">
        <v>2700</v>
      </c>
      <c r="E1217" s="451">
        <v>1200000</v>
      </c>
      <c r="F1217" s="381" t="s">
        <v>1968</v>
      </c>
      <c r="G1217" s="381" t="s">
        <v>2741</v>
      </c>
      <c r="H1217" s="383" t="s">
        <v>1955</v>
      </c>
      <c r="I1217" s="383" t="s">
        <v>1625</v>
      </c>
      <c r="J1217" s="383">
        <v>1</v>
      </c>
      <c r="K1217" s="381" t="s">
        <v>242</v>
      </c>
    </row>
    <row r="1218" spans="1:11" ht="15.75">
      <c r="A1218" s="393" t="s">
        <v>3065</v>
      </c>
      <c r="B1218" s="381" t="s">
        <v>1952</v>
      </c>
      <c r="C1218" s="381" t="s">
        <v>3094</v>
      </c>
      <c r="D1218" s="381" t="s">
        <v>3059</v>
      </c>
      <c r="E1218" s="451">
        <v>1350000</v>
      </c>
      <c r="F1218" s="381" t="s">
        <v>2290</v>
      </c>
      <c r="G1218" s="381" t="s">
        <v>2605</v>
      </c>
      <c r="H1218" s="383" t="s">
        <v>1625</v>
      </c>
      <c r="I1218" s="383" t="s">
        <v>1625</v>
      </c>
      <c r="J1218" s="383">
        <v>1</v>
      </c>
      <c r="K1218" s="381" t="s">
        <v>242</v>
      </c>
    </row>
    <row r="1219" spans="1:11" ht="15.75">
      <c r="A1219" s="393" t="s">
        <v>3068</v>
      </c>
      <c r="B1219" s="381" t="s">
        <v>2182</v>
      </c>
      <c r="C1219" s="381" t="s">
        <v>594</v>
      </c>
      <c r="D1219" s="381" t="s">
        <v>75</v>
      </c>
      <c r="E1219" s="451">
        <v>2300000</v>
      </c>
      <c r="F1219" s="381" t="s">
        <v>2292</v>
      </c>
      <c r="G1219" s="381" t="s">
        <v>2741</v>
      </c>
      <c r="H1219" s="383" t="s">
        <v>1625</v>
      </c>
      <c r="I1219" s="383" t="s">
        <v>1625</v>
      </c>
      <c r="J1219" s="383">
        <v>1</v>
      </c>
      <c r="K1219" s="381" t="s">
        <v>1496</v>
      </c>
    </row>
    <row r="1220" spans="1:11" ht="15.75">
      <c r="A1220" s="393" t="s">
        <v>3070</v>
      </c>
      <c r="B1220" s="381" t="s">
        <v>2182</v>
      </c>
      <c r="C1220" s="381" t="s">
        <v>3095</v>
      </c>
      <c r="D1220" s="381" t="s">
        <v>3017</v>
      </c>
      <c r="E1220" s="451">
        <v>1100000</v>
      </c>
      <c r="F1220" s="381" t="s">
        <v>1968</v>
      </c>
      <c r="G1220" s="381" t="s">
        <v>2605</v>
      </c>
      <c r="H1220" s="383" t="s">
        <v>1625</v>
      </c>
      <c r="I1220" s="383" t="s">
        <v>1625</v>
      </c>
      <c r="J1220" s="383">
        <v>1</v>
      </c>
      <c r="K1220" s="381" t="s">
        <v>1496</v>
      </c>
    </row>
    <row r="1221" spans="1:11" ht="15.75">
      <c r="A1221" s="393" t="s">
        <v>3070</v>
      </c>
      <c r="B1221" s="381" t="s">
        <v>1966</v>
      </c>
      <c r="C1221" s="381" t="s">
        <v>3096</v>
      </c>
      <c r="D1221" s="381" t="s">
        <v>3097</v>
      </c>
      <c r="E1221" s="451">
        <v>800000</v>
      </c>
      <c r="F1221" s="381" t="s">
        <v>1968</v>
      </c>
      <c r="G1221" s="381" t="s">
        <v>2741</v>
      </c>
      <c r="H1221" s="383" t="s">
        <v>1625</v>
      </c>
      <c r="I1221" s="383" t="s">
        <v>1625</v>
      </c>
      <c r="J1221" s="383">
        <v>1</v>
      </c>
      <c r="K1221" s="381" t="s">
        <v>242</v>
      </c>
    </row>
    <row r="1222" spans="1:11" ht="15.75">
      <c r="A1222" s="393" t="s">
        <v>3070</v>
      </c>
      <c r="B1222" s="381" t="s">
        <v>2182</v>
      </c>
      <c r="C1222" s="381" t="s">
        <v>3098</v>
      </c>
      <c r="D1222" s="381" t="s">
        <v>75</v>
      </c>
      <c r="E1222" s="451">
        <v>1350000</v>
      </c>
      <c r="F1222" s="381" t="s">
        <v>2292</v>
      </c>
      <c r="G1222" s="381" t="s">
        <v>30</v>
      </c>
      <c r="H1222" s="383" t="s">
        <v>1625</v>
      </c>
      <c r="I1222" s="383" t="s">
        <v>1625</v>
      </c>
      <c r="J1222" s="383">
        <v>1</v>
      </c>
      <c r="K1222" s="381" t="s">
        <v>128</v>
      </c>
    </row>
    <row r="1223" spans="1:11" ht="15.75">
      <c r="A1223" s="393" t="s">
        <v>3073</v>
      </c>
      <c r="B1223" s="381" t="s">
        <v>2182</v>
      </c>
      <c r="C1223" s="381" t="s">
        <v>631</v>
      </c>
      <c r="D1223" s="381" t="s">
        <v>3059</v>
      </c>
      <c r="E1223" s="451">
        <v>1400000</v>
      </c>
      <c r="F1223" s="381" t="s">
        <v>2292</v>
      </c>
      <c r="G1223" s="381" t="s">
        <v>2741</v>
      </c>
      <c r="H1223" s="383" t="s">
        <v>1625</v>
      </c>
      <c r="I1223" s="383" t="s">
        <v>1625</v>
      </c>
      <c r="J1223" s="383">
        <v>1</v>
      </c>
      <c r="K1223" s="381" t="s">
        <v>242</v>
      </c>
    </row>
    <row r="1224" spans="1:11" ht="15.75">
      <c r="A1224" s="393" t="s">
        <v>3079</v>
      </c>
      <c r="B1224" s="381" t="s">
        <v>2060</v>
      </c>
      <c r="C1224" s="381" t="s">
        <v>3099</v>
      </c>
      <c r="D1224" s="381" t="s">
        <v>3100</v>
      </c>
      <c r="E1224" s="451">
        <v>32350000</v>
      </c>
      <c r="F1224" s="381" t="s">
        <v>2213</v>
      </c>
      <c r="G1224" s="381" t="s">
        <v>2741</v>
      </c>
      <c r="H1224" s="383" t="s">
        <v>1955</v>
      </c>
      <c r="I1224" s="383" t="s">
        <v>1625</v>
      </c>
      <c r="J1224" s="383">
        <v>1</v>
      </c>
      <c r="K1224" s="381" t="s">
        <v>242</v>
      </c>
    </row>
    <row r="1225" spans="1:11" ht="15.75">
      <c r="A1225" s="393" t="s">
        <v>3079</v>
      </c>
      <c r="B1225" s="381" t="s">
        <v>2060</v>
      </c>
      <c r="C1225" s="381" t="s">
        <v>3101</v>
      </c>
      <c r="D1225" s="381" t="s">
        <v>3100</v>
      </c>
      <c r="E1225" s="451">
        <v>6840000</v>
      </c>
      <c r="F1225" s="381" t="s">
        <v>2213</v>
      </c>
      <c r="G1225" s="381" t="s">
        <v>2741</v>
      </c>
      <c r="H1225" s="383" t="s">
        <v>1955</v>
      </c>
      <c r="I1225" s="383" t="s">
        <v>1625</v>
      </c>
      <c r="J1225" s="383">
        <v>1</v>
      </c>
      <c r="K1225" s="381" t="s">
        <v>1496</v>
      </c>
    </row>
    <row r="1226" spans="1:11" ht="15.75">
      <c r="A1226" s="393" t="s">
        <v>3079</v>
      </c>
      <c r="B1226" s="381" t="s">
        <v>2060</v>
      </c>
      <c r="C1226" s="381" t="s">
        <v>3102</v>
      </c>
      <c r="D1226" s="381" t="s">
        <v>3100</v>
      </c>
      <c r="E1226" s="451">
        <v>10710000</v>
      </c>
      <c r="F1226" s="381" t="s">
        <v>2213</v>
      </c>
      <c r="G1226" s="381" t="s">
        <v>2741</v>
      </c>
      <c r="H1226" s="383" t="s">
        <v>1955</v>
      </c>
      <c r="I1226" s="383" t="s">
        <v>1625</v>
      </c>
      <c r="J1226" s="383">
        <v>1</v>
      </c>
      <c r="K1226" s="381" t="s">
        <v>128</v>
      </c>
    </row>
    <row r="1227" spans="1:11" ht="15.75">
      <c r="A1227" s="393" t="s">
        <v>3079</v>
      </c>
      <c r="B1227" s="381" t="s">
        <v>2182</v>
      </c>
      <c r="C1227" s="381" t="s">
        <v>3103</v>
      </c>
      <c r="D1227" s="381" t="s">
        <v>2700</v>
      </c>
      <c r="E1227" s="451">
        <v>1350000</v>
      </c>
      <c r="F1227" s="381" t="s">
        <v>2292</v>
      </c>
      <c r="G1227" s="381" t="s">
        <v>2605</v>
      </c>
      <c r="H1227" s="383" t="s">
        <v>1625</v>
      </c>
      <c r="I1227" s="383" t="s">
        <v>1625</v>
      </c>
      <c r="J1227" s="383">
        <v>1</v>
      </c>
      <c r="K1227" s="381" t="s">
        <v>128</v>
      </c>
    </row>
    <row r="1228" spans="1:11" ht="15.75">
      <c r="A1228" s="393" t="s">
        <v>3079</v>
      </c>
      <c r="B1228" s="381" t="s">
        <v>2182</v>
      </c>
      <c r="C1228" s="381" t="s">
        <v>3104</v>
      </c>
      <c r="D1228" s="381" t="s">
        <v>2700</v>
      </c>
      <c r="E1228" s="451">
        <v>1500000</v>
      </c>
      <c r="F1228" s="381" t="s">
        <v>2292</v>
      </c>
      <c r="G1228" s="381" t="s">
        <v>2741</v>
      </c>
      <c r="H1228" s="383" t="s">
        <v>1955</v>
      </c>
      <c r="I1228" s="383" t="s">
        <v>1625</v>
      </c>
      <c r="J1228" s="383">
        <v>1</v>
      </c>
      <c r="K1228" s="381" t="s">
        <v>1496</v>
      </c>
    </row>
    <row r="1229" spans="1:11" ht="15.75">
      <c r="A1229" s="393"/>
      <c r="B1229" s="381"/>
      <c r="C1229" s="381"/>
      <c r="D1229" s="381"/>
      <c r="E1229" s="451"/>
      <c r="F1229" s="381"/>
      <c r="G1229" s="381"/>
      <c r="H1229" s="383"/>
      <c r="I1229" s="383"/>
      <c r="J1229" s="383"/>
      <c r="K1229" s="381"/>
    </row>
    <row r="1230" spans="1:11" ht="15.75">
      <c r="A1230" s="393"/>
      <c r="B1230" s="381"/>
      <c r="C1230" s="381"/>
      <c r="D1230" s="381"/>
      <c r="E1230" s="451"/>
      <c r="F1230" s="381"/>
      <c r="G1230" s="381"/>
      <c r="H1230" s="383"/>
      <c r="I1230" s="383"/>
      <c r="J1230" s="383"/>
      <c r="K1230" s="381"/>
    </row>
    <row r="1231" spans="1:11" ht="15.75">
      <c r="A1231" s="456"/>
      <c r="B1231" s="457"/>
      <c r="C1231" s="457"/>
      <c r="D1231" s="457"/>
      <c r="E1231" s="476"/>
      <c r="F1231" s="457"/>
      <c r="G1231" s="457"/>
      <c r="H1231" s="153"/>
      <c r="I1231" s="153"/>
      <c r="J1231" s="493">
        <f>SUM(J1205:J1230)</f>
        <v>24</v>
      </c>
      <c r="K1231" s="457"/>
    </row>
    <row r="1232" spans="1:11" ht="15.75">
      <c r="A1232" s="394"/>
      <c r="B1232" s="395"/>
      <c r="C1232" s="395"/>
      <c r="D1232" s="395"/>
      <c r="E1232" s="396"/>
      <c r="F1232" s="397"/>
      <c r="G1232" s="397"/>
      <c r="H1232" s="395"/>
      <c r="I1232" s="395"/>
      <c r="J1232" s="395"/>
      <c r="K1232" s="395"/>
    </row>
    <row r="1233" spans="1:11" ht="26.25">
      <c r="A1233" s="1667" t="s">
        <v>3105</v>
      </c>
      <c r="B1233" s="1667"/>
      <c r="C1233" s="1667"/>
      <c r="D1233" s="1667"/>
      <c r="E1233" s="1667"/>
      <c r="F1233" s="1667"/>
      <c r="G1233" s="1667"/>
      <c r="H1233" s="1667"/>
      <c r="I1233" s="1667"/>
      <c r="J1233" s="1667"/>
      <c r="K1233" s="1667"/>
    </row>
    <row r="1234" spans="1:11" ht="31.5">
      <c r="A1234" s="375" t="s">
        <v>1941</v>
      </c>
      <c r="B1234" s="378" t="s">
        <v>1942</v>
      </c>
      <c r="C1234" s="378" t="s">
        <v>1943</v>
      </c>
      <c r="D1234" s="378" t="s">
        <v>1944</v>
      </c>
      <c r="E1234" s="452" t="s">
        <v>1945</v>
      </c>
      <c r="F1234" s="378" t="s">
        <v>1946</v>
      </c>
      <c r="G1234" s="378" t="s">
        <v>2590</v>
      </c>
      <c r="H1234" s="378" t="s">
        <v>1947</v>
      </c>
      <c r="I1234" s="378" t="s">
        <v>1948</v>
      </c>
      <c r="J1234" s="453" t="s">
        <v>1949</v>
      </c>
      <c r="K1234" s="378" t="s">
        <v>1950</v>
      </c>
    </row>
    <row r="1235" spans="1:11" ht="15.75">
      <c r="A1235" s="922">
        <v>44296</v>
      </c>
      <c r="B1235" s="618" t="s">
        <v>2182</v>
      </c>
      <c r="C1235" s="472" t="s">
        <v>3106</v>
      </c>
      <c r="D1235" s="472" t="s">
        <v>3107</v>
      </c>
      <c r="E1235" s="475">
        <v>270000000</v>
      </c>
      <c r="F1235" s="472" t="s">
        <v>1968</v>
      </c>
      <c r="G1235" s="472" t="s">
        <v>2741</v>
      </c>
      <c r="H1235" s="473" t="s">
        <v>1625</v>
      </c>
      <c r="I1235" s="473" t="s">
        <v>1625</v>
      </c>
      <c r="J1235" s="473">
        <v>1</v>
      </c>
      <c r="K1235" s="472" t="s">
        <v>2482</v>
      </c>
    </row>
    <row r="1236" spans="1:11" ht="15.75">
      <c r="A1236" s="922">
        <v>44326</v>
      </c>
      <c r="B1236" s="745" t="s">
        <v>2182</v>
      </c>
      <c r="C1236" s="472" t="s">
        <v>3108</v>
      </c>
      <c r="D1236" s="472" t="s">
        <v>2573</v>
      </c>
      <c r="E1236" s="475">
        <v>255000000</v>
      </c>
      <c r="F1236" s="472" t="s">
        <v>2292</v>
      </c>
      <c r="G1236" s="472" t="s">
        <v>2605</v>
      </c>
      <c r="H1236" s="473" t="s">
        <v>1955</v>
      </c>
      <c r="I1236" s="473" t="s">
        <v>1625</v>
      </c>
      <c r="J1236" s="473">
        <v>1</v>
      </c>
      <c r="K1236" s="472" t="s">
        <v>2482</v>
      </c>
    </row>
    <row r="1237" spans="1:11" ht="15.75">
      <c r="A1237" s="611" t="s">
        <v>3079</v>
      </c>
      <c r="B1237" s="472" t="s">
        <v>2182</v>
      </c>
      <c r="C1237" s="472" t="s">
        <v>3109</v>
      </c>
      <c r="D1237" s="472" t="s">
        <v>2933</v>
      </c>
      <c r="E1237" s="475">
        <v>330000000</v>
      </c>
      <c r="F1237" s="472" t="s">
        <v>1968</v>
      </c>
      <c r="G1237" s="472" t="s">
        <v>2741</v>
      </c>
      <c r="H1237" s="473" t="s">
        <v>1955</v>
      </c>
      <c r="I1237" s="473" t="s">
        <v>1625</v>
      </c>
      <c r="J1237" s="473">
        <v>1</v>
      </c>
      <c r="K1237" s="472" t="s">
        <v>2482</v>
      </c>
    </row>
    <row r="1238" spans="1:11" ht="15.75">
      <c r="A1238" s="579" t="s">
        <v>3051</v>
      </c>
      <c r="B1238" s="381" t="s">
        <v>2182</v>
      </c>
      <c r="C1238" s="381" t="s">
        <v>572</v>
      </c>
      <c r="D1238" s="381" t="s">
        <v>2347</v>
      </c>
      <c r="E1238" s="451">
        <v>1600000</v>
      </c>
      <c r="F1238" s="381" t="s">
        <v>2292</v>
      </c>
      <c r="G1238" s="381" t="s">
        <v>30</v>
      </c>
      <c r="H1238" s="383" t="s">
        <v>1625</v>
      </c>
      <c r="I1238" s="383" t="s">
        <v>1625</v>
      </c>
      <c r="J1238" s="383">
        <v>1</v>
      </c>
      <c r="K1238" s="381" t="s">
        <v>1245</v>
      </c>
    </row>
    <row r="1239" spans="1:11" ht="15.75">
      <c r="A1239" s="579" t="s">
        <v>3051</v>
      </c>
      <c r="B1239" s="381" t="s">
        <v>2182</v>
      </c>
      <c r="C1239" s="381" t="s">
        <v>3110</v>
      </c>
      <c r="D1239" s="381" t="s">
        <v>2347</v>
      </c>
      <c r="E1239" s="451">
        <v>1400000</v>
      </c>
      <c r="F1239" s="381" t="s">
        <v>2292</v>
      </c>
      <c r="G1239" s="381" t="s">
        <v>2605</v>
      </c>
      <c r="H1239" s="383" t="s">
        <v>1625</v>
      </c>
      <c r="I1239" s="383" t="s">
        <v>1625</v>
      </c>
      <c r="J1239" s="383">
        <v>1</v>
      </c>
      <c r="K1239" s="381" t="s">
        <v>1245</v>
      </c>
    </row>
    <row r="1240" spans="1:11" ht="15.75">
      <c r="A1240" s="579" t="s">
        <v>3054</v>
      </c>
      <c r="B1240" s="381" t="s">
        <v>2182</v>
      </c>
      <c r="C1240" s="381" t="s">
        <v>3111</v>
      </c>
      <c r="D1240" s="381" t="s">
        <v>75</v>
      </c>
      <c r="E1240" s="451">
        <v>1500000</v>
      </c>
      <c r="F1240" s="381" t="s">
        <v>2292</v>
      </c>
      <c r="G1240" s="381" t="s">
        <v>2605</v>
      </c>
      <c r="H1240" s="383" t="s">
        <v>1625</v>
      </c>
      <c r="I1240" s="383" t="s">
        <v>1625</v>
      </c>
      <c r="J1240" s="383">
        <v>1</v>
      </c>
      <c r="K1240" s="381" t="s">
        <v>1499</v>
      </c>
    </row>
    <row r="1241" spans="1:11" ht="15.75">
      <c r="A1241" s="579">
        <v>44296</v>
      </c>
      <c r="B1241" s="381" t="s">
        <v>2182</v>
      </c>
      <c r="C1241" s="381" t="s">
        <v>3112</v>
      </c>
      <c r="D1241" s="381" t="s">
        <v>2673</v>
      </c>
      <c r="E1241" s="451">
        <v>1500000</v>
      </c>
      <c r="F1241" s="381" t="s">
        <v>1968</v>
      </c>
      <c r="G1241" s="381" t="s">
        <v>2593</v>
      </c>
      <c r="H1241" s="383" t="s">
        <v>1625</v>
      </c>
      <c r="I1241" s="383" t="s">
        <v>1625</v>
      </c>
      <c r="J1241" s="383">
        <v>1</v>
      </c>
      <c r="K1241" s="381" t="s">
        <v>1499</v>
      </c>
    </row>
    <row r="1242" spans="1:11" ht="15.75">
      <c r="A1242" s="744">
        <v>44296</v>
      </c>
      <c r="B1242" s="381" t="s">
        <v>2182</v>
      </c>
      <c r="C1242" s="381" t="s">
        <v>567</v>
      </c>
      <c r="D1242" s="381" t="s">
        <v>2491</v>
      </c>
      <c r="E1242" s="451">
        <v>1250000</v>
      </c>
      <c r="F1242" s="381" t="s">
        <v>2292</v>
      </c>
      <c r="G1242" s="381" t="s">
        <v>30</v>
      </c>
      <c r="H1242" s="383" t="s">
        <v>1625</v>
      </c>
      <c r="I1242" s="383" t="s">
        <v>1625</v>
      </c>
      <c r="J1242" s="383">
        <v>1</v>
      </c>
      <c r="K1242" s="381" t="s">
        <v>1499</v>
      </c>
    </row>
    <row r="1243" spans="1:11" ht="15.75">
      <c r="A1243" s="393">
        <v>44357</v>
      </c>
      <c r="B1243" s="610" t="s">
        <v>2182</v>
      </c>
      <c r="C1243" s="482" t="s">
        <v>3113</v>
      </c>
      <c r="D1243" s="482" t="s">
        <v>2347</v>
      </c>
      <c r="E1243" s="483">
        <v>1400000</v>
      </c>
      <c r="F1243" s="482" t="s">
        <v>2290</v>
      </c>
      <c r="G1243" s="482" t="s">
        <v>30</v>
      </c>
      <c r="H1243" s="484" t="s">
        <v>1625</v>
      </c>
      <c r="I1243" s="484" t="s">
        <v>1625</v>
      </c>
      <c r="J1243" s="484">
        <v>1</v>
      </c>
      <c r="K1243" s="482" t="s">
        <v>1499</v>
      </c>
    </row>
    <row r="1244" spans="1:11" ht="15.75">
      <c r="A1244" s="412">
        <v>44357</v>
      </c>
      <c r="B1244" s="411" t="s">
        <v>2182</v>
      </c>
      <c r="C1244" s="381" t="s">
        <v>3114</v>
      </c>
      <c r="D1244" s="381" t="s">
        <v>2966</v>
      </c>
      <c r="E1244" s="451">
        <v>1300000</v>
      </c>
      <c r="F1244" s="381" t="s">
        <v>2292</v>
      </c>
      <c r="G1244" s="381" t="s">
        <v>2741</v>
      </c>
      <c r="H1244" s="383" t="s">
        <v>1625</v>
      </c>
      <c r="I1244" s="383" t="s">
        <v>1625</v>
      </c>
      <c r="J1244" s="383">
        <v>1</v>
      </c>
      <c r="K1244" s="381" t="s">
        <v>1245</v>
      </c>
    </row>
    <row r="1245" spans="1:11" ht="15.75">
      <c r="A1245" s="412">
        <v>44510</v>
      </c>
      <c r="B1245" s="411" t="s">
        <v>2182</v>
      </c>
      <c r="C1245" s="381" t="s">
        <v>644</v>
      </c>
      <c r="D1245" s="381" t="s">
        <v>2573</v>
      </c>
      <c r="E1245" s="451">
        <v>1350000</v>
      </c>
      <c r="F1245" s="381" t="s">
        <v>2292</v>
      </c>
      <c r="G1245" s="381" t="s">
        <v>2605</v>
      </c>
      <c r="H1245" s="383" t="s">
        <v>1955</v>
      </c>
      <c r="I1245" s="383" t="s">
        <v>1625</v>
      </c>
      <c r="J1245" s="383">
        <v>1</v>
      </c>
      <c r="K1245" s="381" t="s">
        <v>1245</v>
      </c>
    </row>
    <row r="1246" spans="1:11" ht="15.75">
      <c r="A1246" s="412">
        <v>44540</v>
      </c>
      <c r="B1246" s="411" t="s">
        <v>2182</v>
      </c>
      <c r="C1246" s="381" t="s">
        <v>573</v>
      </c>
      <c r="D1246" s="381" t="s">
        <v>2661</v>
      </c>
      <c r="E1246" s="451">
        <v>750000</v>
      </c>
      <c r="F1246" s="381" t="s">
        <v>2292</v>
      </c>
      <c r="G1246" s="385" t="s">
        <v>2605</v>
      </c>
      <c r="H1246" s="387" t="s">
        <v>1625</v>
      </c>
      <c r="I1246" s="383" t="s">
        <v>1625</v>
      </c>
      <c r="J1246" s="383">
        <v>1</v>
      </c>
      <c r="K1246" s="381" t="s">
        <v>100</v>
      </c>
    </row>
    <row r="1247" spans="1:11" ht="15.75">
      <c r="A1247" s="479">
        <v>44540</v>
      </c>
      <c r="B1247" s="411" t="s">
        <v>2182</v>
      </c>
      <c r="C1247" s="381" t="s">
        <v>3115</v>
      </c>
      <c r="D1247" s="381" t="s">
        <v>1590</v>
      </c>
      <c r="E1247" s="451">
        <v>1050000</v>
      </c>
      <c r="F1247" s="575" t="s">
        <v>1968</v>
      </c>
      <c r="G1247" s="381" t="s">
        <v>2741</v>
      </c>
      <c r="H1247" s="530" t="s">
        <v>1625</v>
      </c>
      <c r="I1247" s="531" t="s">
        <v>1625</v>
      </c>
      <c r="J1247" s="383">
        <v>1</v>
      </c>
      <c r="K1247" s="381" t="s">
        <v>100</v>
      </c>
    </row>
    <row r="1248" spans="1:11" ht="15.75">
      <c r="A1248" s="412">
        <v>44540</v>
      </c>
      <c r="B1248" s="411" t="s">
        <v>2182</v>
      </c>
      <c r="C1248" s="381" t="s">
        <v>3116</v>
      </c>
      <c r="D1248" s="381" t="s">
        <v>1590</v>
      </c>
      <c r="E1248" s="451">
        <v>1000000</v>
      </c>
      <c r="F1248" s="381" t="s">
        <v>1968</v>
      </c>
      <c r="G1248" s="406" t="s">
        <v>2741</v>
      </c>
      <c r="H1248" s="408" t="s">
        <v>1625</v>
      </c>
      <c r="I1248" s="383" t="s">
        <v>1625</v>
      </c>
      <c r="J1248" s="383">
        <v>1</v>
      </c>
      <c r="K1248" s="381" t="s">
        <v>128</v>
      </c>
    </row>
    <row r="1249" spans="1:11" ht="15.75">
      <c r="A1249" s="412">
        <v>44540</v>
      </c>
      <c r="B1249" s="411" t="s">
        <v>2182</v>
      </c>
      <c r="C1249" s="381" t="s">
        <v>3117</v>
      </c>
      <c r="D1249" s="381" t="s">
        <v>1590</v>
      </c>
      <c r="E1249" s="451">
        <v>1000000</v>
      </c>
      <c r="F1249" s="381" t="s">
        <v>1968</v>
      </c>
      <c r="G1249" s="381" t="s">
        <v>2741</v>
      </c>
      <c r="H1249" s="383" t="s">
        <v>1625</v>
      </c>
      <c r="I1249" s="383" t="s">
        <v>1625</v>
      </c>
      <c r="J1249" s="383">
        <v>1</v>
      </c>
      <c r="K1249" s="381" t="s">
        <v>242</v>
      </c>
    </row>
    <row r="1250" spans="1:11" ht="15.75">
      <c r="A1250" s="412">
        <v>44540</v>
      </c>
      <c r="B1250" s="411" t="s">
        <v>2182</v>
      </c>
      <c r="C1250" s="381" t="s">
        <v>3118</v>
      </c>
      <c r="D1250" s="381" t="s">
        <v>1590</v>
      </c>
      <c r="E1250" s="451">
        <v>1000000</v>
      </c>
      <c r="F1250" s="381" t="s">
        <v>1968</v>
      </c>
      <c r="G1250" s="381" t="s">
        <v>2741</v>
      </c>
      <c r="H1250" s="383" t="s">
        <v>1625</v>
      </c>
      <c r="I1250" s="383" t="s">
        <v>1625</v>
      </c>
      <c r="J1250" s="383">
        <v>1</v>
      </c>
      <c r="K1250" s="381" t="s">
        <v>100</v>
      </c>
    </row>
    <row r="1251" spans="1:11" ht="15.75">
      <c r="A1251" s="393" t="s">
        <v>3083</v>
      </c>
      <c r="B1251" s="381" t="s">
        <v>2182</v>
      </c>
      <c r="C1251" s="381" t="s">
        <v>3119</v>
      </c>
      <c r="D1251" s="381" t="s">
        <v>2966</v>
      </c>
      <c r="E1251" s="451">
        <v>1300000</v>
      </c>
      <c r="F1251" s="381" t="s">
        <v>2292</v>
      </c>
      <c r="G1251" s="381" t="s">
        <v>2741</v>
      </c>
      <c r="H1251" s="383" t="s">
        <v>3090</v>
      </c>
      <c r="I1251" s="383" t="s">
        <v>1625</v>
      </c>
      <c r="J1251" s="383">
        <v>1</v>
      </c>
      <c r="K1251" s="381" t="s">
        <v>1245</v>
      </c>
    </row>
    <row r="1252" spans="1:11" ht="15.75">
      <c r="A1252" s="412" t="s">
        <v>3068</v>
      </c>
      <c r="B1252" s="411" t="s">
        <v>2182</v>
      </c>
      <c r="C1252" s="381" t="s">
        <v>1573</v>
      </c>
      <c r="D1252" s="381" t="s">
        <v>2347</v>
      </c>
      <c r="E1252" s="451">
        <v>1400000</v>
      </c>
      <c r="F1252" s="381" t="s">
        <v>2292</v>
      </c>
      <c r="G1252" s="381" t="s">
        <v>2605</v>
      </c>
      <c r="H1252" s="383" t="s">
        <v>1625</v>
      </c>
      <c r="I1252" s="383" t="s">
        <v>1625</v>
      </c>
      <c r="J1252" s="383">
        <v>1</v>
      </c>
      <c r="K1252" s="381" t="s">
        <v>128</v>
      </c>
    </row>
    <row r="1253" spans="1:11" ht="15.75">
      <c r="A1253" s="384" t="s">
        <v>3069</v>
      </c>
      <c r="B1253" s="385" t="s">
        <v>2182</v>
      </c>
      <c r="C1253" s="385" t="s">
        <v>3120</v>
      </c>
      <c r="D1253" s="385" t="s">
        <v>2661</v>
      </c>
      <c r="E1253" s="462">
        <v>900000</v>
      </c>
      <c r="F1253" s="385" t="s">
        <v>2292</v>
      </c>
      <c r="G1253" s="385" t="s">
        <v>2605</v>
      </c>
      <c r="H1253" s="387" t="s">
        <v>1625</v>
      </c>
      <c r="I1253" s="387" t="s">
        <v>1625</v>
      </c>
      <c r="J1253" s="387">
        <v>1</v>
      </c>
      <c r="K1253" s="385" t="s">
        <v>1499</v>
      </c>
    </row>
    <row r="1254" spans="1:11" ht="15.75">
      <c r="A1254" s="393" t="s">
        <v>3070</v>
      </c>
      <c r="B1254" s="381" t="s">
        <v>2182</v>
      </c>
      <c r="C1254" s="381" t="s">
        <v>3121</v>
      </c>
      <c r="D1254" s="381" t="s">
        <v>2966</v>
      </c>
      <c r="E1254" s="451">
        <v>1100000</v>
      </c>
      <c r="F1254" s="381" t="s">
        <v>2292</v>
      </c>
      <c r="G1254" s="381" t="s">
        <v>2605</v>
      </c>
      <c r="H1254" s="383" t="s">
        <v>1625</v>
      </c>
      <c r="I1254" s="383" t="s">
        <v>1625</v>
      </c>
      <c r="J1254" s="383">
        <v>1</v>
      </c>
      <c r="K1254" s="381" t="s">
        <v>1496</v>
      </c>
    </row>
    <row r="1255" spans="1:11" ht="15.75">
      <c r="A1255" s="393" t="s">
        <v>3073</v>
      </c>
      <c r="B1255" s="381" t="s">
        <v>2182</v>
      </c>
      <c r="C1255" s="381" t="s">
        <v>3122</v>
      </c>
      <c r="D1255" s="381" t="s">
        <v>2253</v>
      </c>
      <c r="E1255" s="451">
        <v>820000</v>
      </c>
      <c r="F1255" s="381" t="s">
        <v>2292</v>
      </c>
      <c r="G1255" s="381" t="s">
        <v>2605</v>
      </c>
      <c r="H1255" s="383" t="s">
        <v>1625</v>
      </c>
      <c r="I1255" s="383" t="s">
        <v>1625</v>
      </c>
      <c r="J1255" s="383">
        <v>1</v>
      </c>
      <c r="K1255" s="381" t="s">
        <v>1496</v>
      </c>
    </row>
    <row r="1256" spans="1:11" ht="15.75">
      <c r="A1256" s="393" t="s">
        <v>3123</v>
      </c>
      <c r="B1256" s="381" t="s">
        <v>2182</v>
      </c>
      <c r="C1256" s="381" t="s">
        <v>3124</v>
      </c>
      <c r="D1256" s="381" t="s">
        <v>2347</v>
      </c>
      <c r="E1256" s="451">
        <v>1400000</v>
      </c>
      <c r="F1256" s="381" t="s">
        <v>2292</v>
      </c>
      <c r="G1256" s="381" t="s">
        <v>30</v>
      </c>
      <c r="H1256" s="383" t="s">
        <v>1625</v>
      </c>
      <c r="I1256" s="383" t="s">
        <v>1625</v>
      </c>
      <c r="J1256" s="383">
        <v>1</v>
      </c>
      <c r="K1256" s="381" t="s">
        <v>128</v>
      </c>
    </row>
    <row r="1257" spans="1:11" ht="15.75">
      <c r="A1257" s="393" t="s">
        <v>3079</v>
      </c>
      <c r="B1257" s="381" t="s">
        <v>2182</v>
      </c>
      <c r="C1257" s="381" t="s">
        <v>3125</v>
      </c>
      <c r="D1257" s="381" t="s">
        <v>2347</v>
      </c>
      <c r="E1257" s="451">
        <v>1400000</v>
      </c>
      <c r="F1257" s="381" t="s">
        <v>2292</v>
      </c>
      <c r="G1257" s="381" t="s">
        <v>2605</v>
      </c>
      <c r="H1257" s="383" t="s">
        <v>1625</v>
      </c>
      <c r="I1257" s="383" t="s">
        <v>1625</v>
      </c>
      <c r="J1257" s="383">
        <v>1</v>
      </c>
      <c r="K1257" s="381" t="s">
        <v>1496</v>
      </c>
    </row>
    <row r="1258" spans="1:11" ht="15.75">
      <c r="A1258" s="928"/>
      <c r="B1258" s="420"/>
      <c r="C1258" s="743"/>
      <c r="D1258" s="633"/>
      <c r="E1258" s="644"/>
      <c r="F1258" s="633"/>
      <c r="G1258" s="633"/>
      <c r="H1258" s="635"/>
      <c r="I1258" s="635"/>
      <c r="J1258" s="387"/>
      <c r="K1258" s="385"/>
    </row>
    <row r="1259" spans="1:11" ht="15.75">
      <c r="A1259" s="928"/>
      <c r="B1259" s="420"/>
      <c r="C1259" s="743"/>
      <c r="D1259" s="633"/>
      <c r="E1259" s="644"/>
      <c r="F1259" s="633"/>
      <c r="G1259" s="633"/>
      <c r="H1259" s="635"/>
      <c r="I1259" s="635"/>
      <c r="J1259" s="387"/>
      <c r="K1259" s="385"/>
    </row>
    <row r="1260" spans="1:11" ht="15.75">
      <c r="A1260" s="393"/>
      <c r="B1260" s="381"/>
      <c r="C1260" s="381"/>
      <c r="D1260" s="381"/>
      <c r="E1260" s="451"/>
      <c r="F1260" s="381"/>
      <c r="G1260" s="381"/>
      <c r="H1260" s="383"/>
      <c r="I1260" s="383"/>
      <c r="J1260" s="383"/>
      <c r="K1260" s="381"/>
    </row>
    <row r="1261" spans="1:11" ht="15.75">
      <c r="A1261" s="456"/>
      <c r="B1261" s="457"/>
      <c r="C1261" s="457"/>
      <c r="D1261" s="457"/>
      <c r="E1261" s="476"/>
      <c r="F1261" s="457"/>
      <c r="G1261" s="457"/>
      <c r="H1261" s="153"/>
      <c r="I1261" s="153"/>
      <c r="J1261" s="493">
        <f>SUM(J1235:J1260)</f>
        <v>23</v>
      </c>
      <c r="K1261" s="457"/>
    </row>
    <row r="1262" spans="1:11" ht="15.75">
      <c r="A1262" s="394"/>
      <c r="B1262" s="395"/>
      <c r="C1262" s="395"/>
      <c r="D1262" s="395"/>
      <c r="E1262" s="396"/>
      <c r="F1262" s="397"/>
      <c r="G1262" s="397"/>
      <c r="H1262" s="395"/>
      <c r="I1262" s="395"/>
      <c r="J1262" s="395"/>
      <c r="K1262" s="395"/>
    </row>
    <row r="1263" spans="1:11" ht="15.75">
      <c r="A1263" s="394"/>
      <c r="B1263" s="395"/>
      <c r="C1263" s="395"/>
      <c r="D1263" s="395"/>
      <c r="E1263" s="396"/>
      <c r="F1263" s="397"/>
      <c r="G1263" s="397"/>
      <c r="H1263" s="395"/>
      <c r="I1263" s="395"/>
      <c r="J1263" s="395"/>
      <c r="K1263" s="395"/>
    </row>
    <row r="1265" spans="1:11" ht="26.25">
      <c r="A1265" s="1668" t="s">
        <v>3126</v>
      </c>
      <c r="B1265" s="1669"/>
      <c r="C1265" s="1669"/>
      <c r="D1265" s="1669"/>
      <c r="E1265" s="1669"/>
      <c r="F1265" s="1669"/>
      <c r="G1265" s="1669"/>
      <c r="H1265" s="1669"/>
      <c r="I1265" s="1669"/>
      <c r="J1265" s="1669"/>
      <c r="K1265" s="1670"/>
    </row>
    <row r="1266" spans="1:11" ht="31.5">
      <c r="A1266" s="375" t="s">
        <v>1941</v>
      </c>
      <c r="B1266" s="378" t="s">
        <v>1942</v>
      </c>
      <c r="C1266" s="378" t="s">
        <v>1943</v>
      </c>
      <c r="D1266" s="378" t="s">
        <v>1944</v>
      </c>
      <c r="E1266" s="452" t="s">
        <v>1945</v>
      </c>
      <c r="F1266" s="378" t="s">
        <v>1946</v>
      </c>
      <c r="G1266" s="378" t="s">
        <v>2590</v>
      </c>
      <c r="H1266" s="378" t="s">
        <v>1947</v>
      </c>
      <c r="I1266" s="378" t="s">
        <v>1948</v>
      </c>
      <c r="J1266" s="453" t="s">
        <v>1949</v>
      </c>
      <c r="K1266" s="378" t="s">
        <v>1950</v>
      </c>
    </row>
    <row r="1267" spans="1:11" ht="15.75">
      <c r="A1267" s="922">
        <v>44326</v>
      </c>
      <c r="B1267" s="618" t="s">
        <v>2182</v>
      </c>
      <c r="C1267" s="472" t="s">
        <v>3127</v>
      </c>
      <c r="D1267" s="472" t="s">
        <v>3128</v>
      </c>
      <c r="E1267" s="475">
        <v>230000000</v>
      </c>
      <c r="F1267" s="472" t="s">
        <v>1968</v>
      </c>
      <c r="G1267" s="472" t="s">
        <v>30</v>
      </c>
      <c r="H1267" s="473" t="s">
        <v>1625</v>
      </c>
      <c r="I1267" s="473" t="s">
        <v>1625</v>
      </c>
      <c r="J1267" s="473">
        <v>1</v>
      </c>
      <c r="K1267" s="472" t="s">
        <v>2629</v>
      </c>
    </row>
    <row r="1268" spans="1:11" ht="15.75">
      <c r="A1268" s="922" t="s">
        <v>3083</v>
      </c>
      <c r="B1268" s="618" t="s">
        <v>2182</v>
      </c>
      <c r="C1268" s="472" t="s">
        <v>3129</v>
      </c>
      <c r="D1268" s="472" t="s">
        <v>75</v>
      </c>
      <c r="E1268" s="475">
        <v>320000000</v>
      </c>
      <c r="F1268" s="472" t="s">
        <v>2292</v>
      </c>
      <c r="G1268" s="472" t="s">
        <v>2605</v>
      </c>
      <c r="H1268" s="473" t="s">
        <v>1625</v>
      </c>
      <c r="I1268" s="473" t="s">
        <v>1625</v>
      </c>
      <c r="J1268" s="473">
        <v>1</v>
      </c>
      <c r="K1268" s="472" t="s">
        <v>2629</v>
      </c>
    </row>
    <row r="1269" spans="1:11" ht="15.75">
      <c r="A1269" s="922" t="s">
        <v>3079</v>
      </c>
      <c r="B1269" s="618" t="s">
        <v>2182</v>
      </c>
      <c r="C1269" s="472" t="s">
        <v>3130</v>
      </c>
      <c r="D1269" s="472" t="s">
        <v>2326</v>
      </c>
      <c r="E1269" s="475">
        <v>145000000</v>
      </c>
      <c r="F1269" s="472" t="s">
        <v>1968</v>
      </c>
      <c r="G1269" s="472" t="s">
        <v>2741</v>
      </c>
      <c r="H1269" s="473" t="s">
        <v>1625</v>
      </c>
      <c r="I1269" s="473" t="s">
        <v>1625</v>
      </c>
      <c r="J1269" s="473">
        <v>1</v>
      </c>
      <c r="K1269" s="472" t="s">
        <v>2629</v>
      </c>
    </row>
    <row r="1270" spans="1:11" ht="15.75">
      <c r="A1270" s="384" t="s">
        <v>3051</v>
      </c>
      <c r="B1270" s="577" t="s">
        <v>2182</v>
      </c>
      <c r="C1270" s="385" t="s">
        <v>3127</v>
      </c>
      <c r="D1270" s="385" t="s">
        <v>2326</v>
      </c>
      <c r="E1270" s="462">
        <v>1000000</v>
      </c>
      <c r="F1270" s="385" t="s">
        <v>1968</v>
      </c>
      <c r="G1270" s="385" t="s">
        <v>2593</v>
      </c>
      <c r="H1270" s="387" t="s">
        <v>1625</v>
      </c>
      <c r="I1270" s="387" t="s">
        <v>1625</v>
      </c>
      <c r="J1270" s="387">
        <v>1</v>
      </c>
      <c r="K1270" s="385" t="s">
        <v>242</v>
      </c>
    </row>
    <row r="1271" spans="1:11" ht="15.75">
      <c r="A1271" s="384" t="s">
        <v>3051</v>
      </c>
      <c r="B1271" s="577" t="s">
        <v>2182</v>
      </c>
      <c r="C1271" s="426" t="s">
        <v>3131</v>
      </c>
      <c r="D1271" s="385" t="s">
        <v>2845</v>
      </c>
      <c r="E1271" s="462">
        <v>1450000</v>
      </c>
      <c r="F1271" s="385" t="s">
        <v>3132</v>
      </c>
      <c r="G1271" s="385" t="s">
        <v>2741</v>
      </c>
      <c r="H1271" s="387" t="s">
        <v>1625</v>
      </c>
      <c r="I1271" s="387" t="s">
        <v>1625</v>
      </c>
      <c r="J1271" s="387">
        <v>1</v>
      </c>
      <c r="K1271" s="385" t="s">
        <v>128</v>
      </c>
    </row>
    <row r="1272" spans="1:11" ht="15.75">
      <c r="A1272" s="384" t="s">
        <v>3133</v>
      </c>
      <c r="B1272" s="577" t="s">
        <v>2182</v>
      </c>
      <c r="C1272" s="426" t="s">
        <v>3134</v>
      </c>
      <c r="D1272" s="385" t="s">
        <v>75</v>
      </c>
      <c r="E1272" s="462">
        <v>2550000</v>
      </c>
      <c r="F1272" s="385" t="s">
        <v>2292</v>
      </c>
      <c r="G1272" s="385" t="s">
        <v>2741</v>
      </c>
      <c r="H1272" s="387" t="s">
        <v>1955</v>
      </c>
      <c r="I1272" s="387" t="s">
        <v>1625</v>
      </c>
      <c r="J1272" s="387">
        <v>1</v>
      </c>
      <c r="K1272" s="385" t="s">
        <v>3135</v>
      </c>
    </row>
    <row r="1273" spans="1:11" ht="15.75">
      <c r="A1273" s="393" t="s">
        <v>3133</v>
      </c>
      <c r="B1273" s="381" t="s">
        <v>2182</v>
      </c>
      <c r="C1273" s="411" t="s">
        <v>3136</v>
      </c>
      <c r="D1273" s="381" t="s">
        <v>75</v>
      </c>
      <c r="E1273" s="451">
        <v>2700000</v>
      </c>
      <c r="F1273" s="381" t="s">
        <v>2292</v>
      </c>
      <c r="G1273" s="381" t="s">
        <v>30</v>
      </c>
      <c r="H1273" s="383" t="s">
        <v>1625</v>
      </c>
      <c r="I1273" s="383" t="s">
        <v>1625</v>
      </c>
      <c r="J1273" s="383">
        <v>1</v>
      </c>
      <c r="K1273" s="381" t="s">
        <v>242</v>
      </c>
    </row>
    <row r="1274" spans="1:11" ht="15.75">
      <c r="A1274" s="925">
        <v>44357</v>
      </c>
      <c r="B1274" s="610" t="s">
        <v>2182</v>
      </c>
      <c r="C1274" s="381" t="s">
        <v>3137</v>
      </c>
      <c r="D1274" s="381" t="s">
        <v>3138</v>
      </c>
      <c r="E1274" s="451">
        <v>700000</v>
      </c>
      <c r="F1274" s="381" t="s">
        <v>1968</v>
      </c>
      <c r="G1274" s="381" t="s">
        <v>30</v>
      </c>
      <c r="H1274" s="383" t="s">
        <v>1625</v>
      </c>
      <c r="I1274" s="383" t="s">
        <v>1625</v>
      </c>
      <c r="J1274" s="383">
        <v>1</v>
      </c>
      <c r="K1274" s="381" t="s">
        <v>1499</v>
      </c>
    </row>
    <row r="1275" spans="1:11" ht="15.75">
      <c r="A1275" s="412">
        <v>44387</v>
      </c>
      <c r="B1275" s="381" t="s">
        <v>2182</v>
      </c>
      <c r="C1275" s="426" t="s">
        <v>3139</v>
      </c>
      <c r="D1275" s="385" t="s">
        <v>75</v>
      </c>
      <c r="E1275" s="462">
        <v>1600000</v>
      </c>
      <c r="F1275" s="385" t="s">
        <v>2292</v>
      </c>
      <c r="G1275" s="385" t="s">
        <v>2741</v>
      </c>
      <c r="H1275" s="387" t="s">
        <v>1625</v>
      </c>
      <c r="I1275" s="387" t="s">
        <v>1625</v>
      </c>
      <c r="J1275" s="387">
        <v>1</v>
      </c>
      <c r="K1275" s="385" t="s">
        <v>1245</v>
      </c>
    </row>
    <row r="1276" spans="1:11" ht="15.75">
      <c r="A1276" s="412">
        <v>44387</v>
      </c>
      <c r="B1276" s="381" t="s">
        <v>2182</v>
      </c>
      <c r="C1276" s="426" t="s">
        <v>3140</v>
      </c>
      <c r="D1276" s="385" t="s">
        <v>3141</v>
      </c>
      <c r="E1276" s="462">
        <v>1350000</v>
      </c>
      <c r="F1276" s="385" t="s">
        <v>2292</v>
      </c>
      <c r="G1276" s="385" t="s">
        <v>2605</v>
      </c>
      <c r="H1276" s="387" t="s">
        <v>1625</v>
      </c>
      <c r="I1276" s="387" t="s">
        <v>1625</v>
      </c>
      <c r="J1276" s="387">
        <v>1</v>
      </c>
      <c r="K1276" s="385" t="s">
        <v>1499</v>
      </c>
    </row>
    <row r="1277" spans="1:11" ht="15.75">
      <c r="A1277" s="412">
        <v>44418</v>
      </c>
      <c r="B1277" s="381" t="s">
        <v>2182</v>
      </c>
      <c r="C1277" s="426" t="s">
        <v>588</v>
      </c>
      <c r="D1277" s="385" t="s">
        <v>3059</v>
      </c>
      <c r="E1277" s="462">
        <v>1850000</v>
      </c>
      <c r="F1277" s="385" t="s">
        <v>2290</v>
      </c>
      <c r="G1277" s="385" t="s">
        <v>2605</v>
      </c>
      <c r="H1277" s="387" t="s">
        <v>1625</v>
      </c>
      <c r="I1277" s="387" t="s">
        <v>1625</v>
      </c>
      <c r="J1277" s="387">
        <v>1</v>
      </c>
      <c r="K1277" s="385" t="s">
        <v>100</v>
      </c>
    </row>
    <row r="1278" spans="1:11" ht="15.75">
      <c r="A1278" s="928" t="s">
        <v>3083</v>
      </c>
      <c r="B1278" s="420" t="s">
        <v>2182</v>
      </c>
      <c r="C1278" s="743" t="s">
        <v>3142</v>
      </c>
      <c r="D1278" s="633" t="s">
        <v>75</v>
      </c>
      <c r="E1278" s="644">
        <v>1350000</v>
      </c>
      <c r="F1278" s="633" t="s">
        <v>2292</v>
      </c>
      <c r="G1278" s="633" t="s">
        <v>2605</v>
      </c>
      <c r="H1278" s="635" t="s">
        <v>1625</v>
      </c>
      <c r="I1278" s="635" t="s">
        <v>1625</v>
      </c>
      <c r="J1278" s="387">
        <v>1</v>
      </c>
      <c r="K1278" s="385" t="s">
        <v>128</v>
      </c>
    </row>
    <row r="1279" spans="1:11" ht="15.75">
      <c r="A1279" s="928" t="s">
        <v>3065</v>
      </c>
      <c r="B1279" s="420" t="s">
        <v>2182</v>
      </c>
      <c r="C1279" s="743" t="s">
        <v>533</v>
      </c>
      <c r="D1279" s="633" t="s">
        <v>75</v>
      </c>
      <c r="E1279" s="644">
        <v>1350000</v>
      </c>
      <c r="F1279" s="633" t="s">
        <v>2292</v>
      </c>
      <c r="G1279" s="633" t="s">
        <v>2605</v>
      </c>
      <c r="H1279" s="635" t="s">
        <v>1625</v>
      </c>
      <c r="I1279" s="635" t="s">
        <v>1625</v>
      </c>
      <c r="J1279" s="387">
        <v>1</v>
      </c>
      <c r="K1279" s="385" t="s">
        <v>1245</v>
      </c>
    </row>
    <row r="1280" spans="1:11" ht="15.75">
      <c r="A1280" s="928" t="s">
        <v>3143</v>
      </c>
      <c r="B1280" s="420" t="s">
        <v>2182</v>
      </c>
      <c r="C1280" s="743" t="s">
        <v>609</v>
      </c>
      <c r="D1280" s="633" t="s">
        <v>75</v>
      </c>
      <c r="E1280" s="644">
        <v>1600000</v>
      </c>
      <c r="F1280" s="633" t="s">
        <v>2292</v>
      </c>
      <c r="G1280" s="633" t="s">
        <v>2605</v>
      </c>
      <c r="H1280" s="635" t="s">
        <v>1955</v>
      </c>
      <c r="I1280" s="635" t="s">
        <v>1625</v>
      </c>
      <c r="J1280" s="387">
        <v>1</v>
      </c>
      <c r="K1280" s="385" t="s">
        <v>1496</v>
      </c>
    </row>
    <row r="1281" spans="1:11" ht="15.75">
      <c r="A1281" s="928" t="s">
        <v>3069</v>
      </c>
      <c r="B1281" s="420" t="s">
        <v>2182</v>
      </c>
      <c r="C1281" s="743" t="s">
        <v>3144</v>
      </c>
      <c r="D1281" s="633" t="s">
        <v>75</v>
      </c>
      <c r="E1281" s="644">
        <v>1380000</v>
      </c>
      <c r="F1281" s="633" t="s">
        <v>2292</v>
      </c>
      <c r="G1281" s="633" t="s">
        <v>2605</v>
      </c>
      <c r="H1281" s="635" t="s">
        <v>1625</v>
      </c>
      <c r="I1281" s="635" t="s">
        <v>1625</v>
      </c>
      <c r="J1281" s="387">
        <v>1</v>
      </c>
      <c r="K1281" s="385" t="s">
        <v>100</v>
      </c>
    </row>
    <row r="1282" spans="1:11" ht="15.75">
      <c r="A1282" s="928" t="s">
        <v>3070</v>
      </c>
      <c r="B1282" s="420" t="s">
        <v>2182</v>
      </c>
      <c r="C1282" s="743" t="s">
        <v>3145</v>
      </c>
      <c r="D1282" s="633" t="s">
        <v>2711</v>
      </c>
      <c r="E1282" s="644">
        <v>1050000</v>
      </c>
      <c r="F1282" s="633" t="s">
        <v>2292</v>
      </c>
      <c r="G1282" s="633" t="s">
        <v>2605</v>
      </c>
      <c r="H1282" s="635" t="s">
        <v>1625</v>
      </c>
      <c r="I1282" s="635" t="s">
        <v>1625</v>
      </c>
      <c r="J1282" s="387">
        <v>1</v>
      </c>
      <c r="K1282" s="385" t="s">
        <v>1496</v>
      </c>
    </row>
    <row r="1283" spans="1:11" ht="15.75">
      <c r="A1283" s="928" t="s">
        <v>3073</v>
      </c>
      <c r="B1283" s="420" t="s">
        <v>2182</v>
      </c>
      <c r="C1283" s="743" t="s">
        <v>389</v>
      </c>
      <c r="D1283" s="633" t="s">
        <v>75</v>
      </c>
      <c r="E1283" s="644">
        <v>1400000</v>
      </c>
      <c r="F1283" s="633" t="s">
        <v>2292</v>
      </c>
      <c r="G1283" s="633" t="s">
        <v>2605</v>
      </c>
      <c r="H1283" s="635" t="s">
        <v>1625</v>
      </c>
      <c r="I1283" s="635" t="s">
        <v>1625</v>
      </c>
      <c r="J1283" s="387">
        <v>1</v>
      </c>
      <c r="K1283" s="385" t="s">
        <v>128</v>
      </c>
    </row>
    <row r="1284" spans="1:11" ht="15.75">
      <c r="A1284" s="928" t="s">
        <v>3073</v>
      </c>
      <c r="B1284" s="420" t="s">
        <v>2060</v>
      </c>
      <c r="C1284" s="743" t="s">
        <v>3146</v>
      </c>
      <c r="D1284" s="633" t="s">
        <v>3147</v>
      </c>
      <c r="E1284" s="644" t="s">
        <v>3148</v>
      </c>
      <c r="F1284" s="633" t="s">
        <v>3149</v>
      </c>
      <c r="G1284" s="633" t="s">
        <v>3150</v>
      </c>
      <c r="H1284" s="635" t="s">
        <v>1955</v>
      </c>
      <c r="I1284" s="635" t="s">
        <v>1625</v>
      </c>
      <c r="J1284" s="387">
        <v>1</v>
      </c>
      <c r="K1284" s="385" t="s">
        <v>1496</v>
      </c>
    </row>
    <row r="1285" spans="1:11" ht="15.75">
      <c r="A1285" s="928" t="s">
        <v>3073</v>
      </c>
      <c r="B1285" s="420" t="s">
        <v>2060</v>
      </c>
      <c r="C1285" s="743" t="s">
        <v>3151</v>
      </c>
      <c r="D1285" s="633" t="s">
        <v>3147</v>
      </c>
      <c r="E1285" s="644" t="s">
        <v>3152</v>
      </c>
      <c r="F1285" s="633" t="s">
        <v>3149</v>
      </c>
      <c r="G1285" s="633" t="s">
        <v>3150</v>
      </c>
      <c r="H1285" s="635" t="s">
        <v>1955</v>
      </c>
      <c r="I1285" s="635" t="s">
        <v>1625</v>
      </c>
      <c r="J1285" s="387">
        <v>1</v>
      </c>
      <c r="K1285" s="385" t="s">
        <v>1496</v>
      </c>
    </row>
    <row r="1286" spans="1:11" ht="15.75">
      <c r="A1286" s="928" t="s">
        <v>3073</v>
      </c>
      <c r="B1286" s="420" t="s">
        <v>2060</v>
      </c>
      <c r="C1286" s="743" t="s">
        <v>3153</v>
      </c>
      <c r="D1286" s="633" t="s">
        <v>3147</v>
      </c>
      <c r="E1286" s="644" t="s">
        <v>3154</v>
      </c>
      <c r="F1286" s="633" t="s">
        <v>3149</v>
      </c>
      <c r="G1286" s="633" t="s">
        <v>3150</v>
      </c>
      <c r="H1286" s="635" t="s">
        <v>1955</v>
      </c>
      <c r="I1286" s="635" t="s">
        <v>1625</v>
      </c>
      <c r="J1286" s="387">
        <v>1</v>
      </c>
      <c r="K1286" s="385" t="s">
        <v>128</v>
      </c>
    </row>
    <row r="1287" spans="1:11" ht="15.75">
      <c r="A1287" s="928" t="s">
        <v>3073</v>
      </c>
      <c r="B1287" s="420" t="s">
        <v>2060</v>
      </c>
      <c r="C1287" s="743" t="s">
        <v>3155</v>
      </c>
      <c r="D1287" s="633" t="s">
        <v>3147</v>
      </c>
      <c r="E1287" s="644" t="s">
        <v>3156</v>
      </c>
      <c r="F1287" s="633" t="s">
        <v>3149</v>
      </c>
      <c r="G1287" s="633" t="s">
        <v>3150</v>
      </c>
      <c r="H1287" s="635" t="s">
        <v>1955</v>
      </c>
      <c r="I1287" s="635" t="s">
        <v>1625</v>
      </c>
      <c r="J1287" s="387">
        <v>1</v>
      </c>
      <c r="K1287" s="385" t="s">
        <v>128</v>
      </c>
    </row>
    <row r="1288" spans="1:11" ht="15.75">
      <c r="A1288" s="928" t="s">
        <v>3073</v>
      </c>
      <c r="B1288" s="420" t="s">
        <v>2060</v>
      </c>
      <c r="C1288" s="743" t="s">
        <v>3157</v>
      </c>
      <c r="D1288" s="633" t="s">
        <v>3147</v>
      </c>
      <c r="E1288" s="644" t="s">
        <v>3158</v>
      </c>
      <c r="F1288" s="633" t="s">
        <v>3149</v>
      </c>
      <c r="G1288" s="633" t="s">
        <v>3150</v>
      </c>
      <c r="H1288" s="635" t="s">
        <v>1955</v>
      </c>
      <c r="I1288" s="635" t="s">
        <v>1625</v>
      </c>
      <c r="J1288" s="387">
        <v>1</v>
      </c>
      <c r="K1288" s="385" t="s">
        <v>1245</v>
      </c>
    </row>
    <row r="1289" spans="1:11" ht="15.75">
      <c r="A1289" s="928" t="s">
        <v>3069</v>
      </c>
      <c r="B1289" s="420" t="s">
        <v>2060</v>
      </c>
      <c r="C1289" s="743" t="s">
        <v>3159</v>
      </c>
      <c r="D1289" s="633" t="s">
        <v>3147</v>
      </c>
      <c r="E1289" s="644" t="s">
        <v>3160</v>
      </c>
      <c r="F1289" s="633" t="s">
        <v>3149</v>
      </c>
      <c r="G1289" s="633" t="s">
        <v>3150</v>
      </c>
      <c r="H1289" s="635" t="s">
        <v>1955</v>
      </c>
      <c r="I1289" s="635" t="s">
        <v>1625</v>
      </c>
      <c r="J1289" s="387">
        <v>1</v>
      </c>
      <c r="K1289" s="385" t="s">
        <v>1245</v>
      </c>
    </row>
    <row r="1290" spans="1:11" ht="15.75">
      <c r="A1290" s="928" t="s">
        <v>3079</v>
      </c>
      <c r="B1290" s="420" t="s">
        <v>2182</v>
      </c>
      <c r="C1290" s="743" t="s">
        <v>3161</v>
      </c>
      <c r="D1290" s="633" t="s">
        <v>2711</v>
      </c>
      <c r="E1290" s="644">
        <v>1400000</v>
      </c>
      <c r="F1290" s="633" t="s">
        <v>2292</v>
      </c>
      <c r="G1290" s="633" t="s">
        <v>2605</v>
      </c>
      <c r="H1290" s="635" t="s">
        <v>1625</v>
      </c>
      <c r="I1290" s="635" t="s">
        <v>1625</v>
      </c>
      <c r="J1290" s="387">
        <v>1</v>
      </c>
      <c r="K1290" s="385" t="s">
        <v>1496</v>
      </c>
    </row>
    <row r="1291" spans="1:11" ht="15.75">
      <c r="A1291" s="928" t="s">
        <v>3079</v>
      </c>
      <c r="B1291" s="420" t="s">
        <v>2060</v>
      </c>
      <c r="C1291" s="743" t="s">
        <v>3162</v>
      </c>
      <c r="D1291" s="633" t="s">
        <v>3163</v>
      </c>
      <c r="E1291" s="644">
        <v>3000000</v>
      </c>
      <c r="F1291" s="633" t="s">
        <v>1968</v>
      </c>
      <c r="G1291" s="633" t="s">
        <v>3164</v>
      </c>
      <c r="H1291" s="635" t="s">
        <v>1955</v>
      </c>
      <c r="I1291" s="635" t="s">
        <v>1625</v>
      </c>
      <c r="J1291" s="387">
        <v>1</v>
      </c>
      <c r="K1291" s="385" t="s">
        <v>1245</v>
      </c>
    </row>
    <row r="1292" spans="1:11" ht="15.75">
      <c r="A1292" s="928"/>
      <c r="B1292" s="420"/>
      <c r="C1292" s="743"/>
      <c r="D1292" s="633"/>
      <c r="E1292" s="644"/>
      <c r="F1292" s="633"/>
      <c r="G1292" s="633"/>
      <c r="H1292" s="635"/>
      <c r="I1292" s="635"/>
      <c r="J1292" s="387"/>
      <c r="K1292" s="385"/>
    </row>
    <row r="1293" spans="1:11" ht="15.75">
      <c r="A1293" s="419"/>
      <c r="B1293" s="420"/>
      <c r="C1293" s="457"/>
      <c r="D1293" s="457"/>
      <c r="E1293" s="458"/>
      <c r="F1293" s="457"/>
      <c r="G1293" s="457"/>
      <c r="H1293" s="457"/>
      <c r="I1293" s="457"/>
      <c r="J1293" s="493">
        <f>SUM(J1267:J1292)</f>
        <v>25</v>
      </c>
      <c r="K1293" s="457"/>
    </row>
    <row r="1294" spans="1:11" ht="15.75">
      <c r="A1294" s="394"/>
      <c r="B1294" s="395"/>
      <c r="C1294" s="395"/>
      <c r="D1294" s="395"/>
      <c r="E1294" s="396"/>
      <c r="F1294" s="395"/>
      <c r="G1294" s="395"/>
      <c r="H1294" s="395"/>
      <c r="I1294" s="395"/>
      <c r="J1294" s="397"/>
      <c r="K1294" s="395"/>
    </row>
    <row r="1295" spans="1:11" ht="15.75">
      <c r="A1295" s="394"/>
      <c r="B1295" s="395"/>
      <c r="C1295" s="395"/>
      <c r="D1295" s="395"/>
      <c r="E1295" s="396"/>
      <c r="F1295" s="395"/>
      <c r="G1295" s="395"/>
      <c r="H1295" s="395"/>
      <c r="I1295" s="395"/>
      <c r="J1295" s="397"/>
      <c r="K1295" s="395"/>
    </row>
    <row r="1296" spans="1:11" ht="26.25">
      <c r="A1296" s="1668" t="s">
        <v>3165</v>
      </c>
      <c r="B1296" s="1669"/>
      <c r="C1296" s="1669"/>
      <c r="D1296" s="1669"/>
      <c r="E1296" s="1669"/>
      <c r="F1296" s="1669"/>
      <c r="G1296" s="1669"/>
      <c r="H1296" s="1669"/>
      <c r="I1296" s="1669"/>
      <c r="J1296" s="1669"/>
      <c r="K1296" s="1670"/>
    </row>
    <row r="1297" spans="1:11" ht="31.5">
      <c r="A1297" s="929" t="s">
        <v>1941</v>
      </c>
      <c r="B1297" s="693" t="s">
        <v>1942</v>
      </c>
      <c r="C1297" s="693" t="s">
        <v>1943</v>
      </c>
      <c r="D1297" s="693" t="s">
        <v>1944</v>
      </c>
      <c r="E1297" s="694" t="s">
        <v>1945</v>
      </c>
      <c r="F1297" s="693" t="s">
        <v>1946</v>
      </c>
      <c r="G1297" s="693" t="s">
        <v>2590</v>
      </c>
      <c r="H1297" s="693" t="s">
        <v>1947</v>
      </c>
      <c r="I1297" s="693" t="s">
        <v>1948</v>
      </c>
      <c r="J1297" s="695" t="s">
        <v>1949</v>
      </c>
      <c r="K1297" s="693" t="s">
        <v>1950</v>
      </c>
    </row>
    <row r="1298" spans="1:11" ht="15.75">
      <c r="A1298" s="930" t="s">
        <v>3051</v>
      </c>
      <c r="B1298" s="697" t="s">
        <v>2182</v>
      </c>
      <c r="C1298" s="455" t="s">
        <v>3166</v>
      </c>
      <c r="D1298" s="455" t="s">
        <v>75</v>
      </c>
      <c r="E1298" s="461">
        <v>380000000</v>
      </c>
      <c r="F1298" s="455" t="s">
        <v>2292</v>
      </c>
      <c r="G1298" s="455" t="s">
        <v>2593</v>
      </c>
      <c r="H1298" s="460" t="s">
        <v>1625</v>
      </c>
      <c r="I1298" s="460" t="s">
        <v>1625</v>
      </c>
      <c r="J1298" s="460">
        <v>1</v>
      </c>
      <c r="K1298" s="455" t="s">
        <v>2629</v>
      </c>
    </row>
    <row r="1299" spans="1:11" ht="15.75">
      <c r="A1299" s="930"/>
      <c r="B1299" s="697"/>
      <c r="C1299" s="455"/>
      <c r="D1299" s="455"/>
      <c r="E1299" s="461"/>
      <c r="F1299" s="455"/>
      <c r="G1299" s="455"/>
      <c r="H1299" s="460"/>
      <c r="I1299" s="460"/>
      <c r="J1299" s="460"/>
      <c r="K1299" s="455"/>
    </row>
    <row r="1300" spans="1:11" ht="15.75">
      <c r="A1300" s="692"/>
      <c r="B1300" s="457"/>
      <c r="C1300" s="457"/>
      <c r="D1300" s="457"/>
      <c r="E1300" s="476"/>
      <c r="F1300" s="457"/>
      <c r="G1300" s="457"/>
      <c r="H1300" s="153"/>
      <c r="I1300" s="153"/>
      <c r="J1300" s="383"/>
      <c r="K1300" s="381"/>
    </row>
    <row r="1301" spans="1:11" ht="15.75">
      <c r="A1301" s="692"/>
      <c r="B1301" s="457"/>
      <c r="C1301" s="457"/>
      <c r="D1301" s="457"/>
      <c r="E1301" s="458"/>
      <c r="F1301" s="457"/>
      <c r="G1301" s="457"/>
      <c r="H1301" s="153"/>
      <c r="I1301" s="153"/>
      <c r="J1301" s="383"/>
      <c r="K1301" s="381"/>
    </row>
    <row r="1302" spans="1:11" ht="15.75">
      <c r="A1302" s="456"/>
      <c r="B1302" s="457"/>
      <c r="C1302" s="457"/>
      <c r="D1302" s="457"/>
      <c r="E1302" s="458"/>
      <c r="F1302" s="457"/>
      <c r="G1302" s="457"/>
      <c r="H1302" s="457"/>
      <c r="I1302" s="457"/>
      <c r="J1302" s="493">
        <f>SUM(J1298:J1300)</f>
        <v>1</v>
      </c>
      <c r="K1302" s="457"/>
    </row>
    <row r="1306" spans="1:11" ht="26.25">
      <c r="A1306" s="1667" t="s">
        <v>3167</v>
      </c>
      <c r="B1306" s="1667"/>
      <c r="C1306" s="1679"/>
      <c r="D1306" s="1667"/>
      <c r="E1306" s="1667"/>
      <c r="F1306" s="1667"/>
      <c r="G1306" s="1667"/>
      <c r="H1306" s="1667"/>
      <c r="I1306" s="1667"/>
      <c r="J1306" s="1667"/>
      <c r="K1306" s="1667"/>
    </row>
    <row r="1307" spans="1:11" ht="31.5">
      <c r="A1307" s="375" t="s">
        <v>1941</v>
      </c>
      <c r="B1307" s="803" t="s">
        <v>1942</v>
      </c>
      <c r="C1307" s="693" t="s">
        <v>1943</v>
      </c>
      <c r="D1307" s="804" t="s">
        <v>1944</v>
      </c>
      <c r="E1307" s="452" t="s">
        <v>1945</v>
      </c>
      <c r="F1307" s="378" t="s">
        <v>1946</v>
      </c>
      <c r="G1307" s="378" t="s">
        <v>2590</v>
      </c>
      <c r="H1307" s="378" t="s">
        <v>1947</v>
      </c>
      <c r="I1307" s="378" t="s">
        <v>1948</v>
      </c>
      <c r="J1307" s="453" t="s">
        <v>1949</v>
      </c>
      <c r="K1307" s="378" t="s">
        <v>1950</v>
      </c>
    </row>
    <row r="1308" spans="1:11" ht="15.75">
      <c r="A1308" s="744">
        <v>44206</v>
      </c>
      <c r="B1308" s="381" t="s">
        <v>2182</v>
      </c>
      <c r="C1308" s="381" t="s">
        <v>3168</v>
      </c>
      <c r="D1308" s="807" t="s">
        <v>3169</v>
      </c>
      <c r="E1308" s="808">
        <v>950000</v>
      </c>
      <c r="F1308" s="807" t="s">
        <v>1968</v>
      </c>
      <c r="G1308" s="807" t="s">
        <v>2741</v>
      </c>
      <c r="H1308" s="805" t="s">
        <v>1625</v>
      </c>
      <c r="I1308" s="805" t="s">
        <v>1625</v>
      </c>
      <c r="J1308" s="805">
        <v>1</v>
      </c>
      <c r="K1308" s="807" t="s">
        <v>1499</v>
      </c>
    </row>
    <row r="1309" spans="1:11" ht="15.75">
      <c r="A1309" s="481">
        <v>44387</v>
      </c>
      <c r="B1309" s="806" t="s">
        <v>1966</v>
      </c>
      <c r="C1309" s="406" t="s">
        <v>3170</v>
      </c>
      <c r="D1309" s="610" t="s">
        <v>2845</v>
      </c>
      <c r="E1309" s="483">
        <v>2100000</v>
      </c>
      <c r="F1309" s="482" t="s">
        <v>1968</v>
      </c>
      <c r="G1309" s="482" t="s">
        <v>30</v>
      </c>
      <c r="H1309" s="484" t="s">
        <v>1625</v>
      </c>
      <c r="I1309" s="484" t="s">
        <v>1625</v>
      </c>
      <c r="J1309" s="484">
        <v>1</v>
      </c>
      <c r="K1309" s="482"/>
    </row>
    <row r="1310" spans="1:11" ht="15.75">
      <c r="A1310" s="443">
        <v>44418</v>
      </c>
      <c r="B1310" s="381" t="s">
        <v>2182</v>
      </c>
      <c r="C1310" s="381" t="s">
        <v>575</v>
      </c>
      <c r="D1310" s="426" t="s">
        <v>2032</v>
      </c>
      <c r="E1310" s="451">
        <v>700000</v>
      </c>
      <c r="F1310" s="381" t="s">
        <v>1968</v>
      </c>
      <c r="G1310" s="381" t="s">
        <v>30</v>
      </c>
      <c r="H1310" s="383" t="s">
        <v>1625</v>
      </c>
      <c r="I1310" s="383" t="s">
        <v>1625</v>
      </c>
      <c r="J1310" s="383">
        <v>1</v>
      </c>
      <c r="K1310" s="381"/>
    </row>
    <row r="1311" spans="1:11" ht="15.75">
      <c r="A1311" s="744" t="s">
        <v>3143</v>
      </c>
      <c r="B1311" s="381" t="s">
        <v>2182</v>
      </c>
      <c r="C1311" s="381" t="s">
        <v>3171</v>
      </c>
      <c r="D1311" s="411" t="s">
        <v>2841</v>
      </c>
      <c r="E1311" s="712">
        <v>850000</v>
      </c>
      <c r="F1311" s="381" t="s">
        <v>1968</v>
      </c>
      <c r="G1311" s="381" t="s">
        <v>2741</v>
      </c>
      <c r="H1311" s="383" t="s">
        <v>1625</v>
      </c>
      <c r="I1311" s="383" t="s">
        <v>1625</v>
      </c>
      <c r="J1311" s="383">
        <v>1</v>
      </c>
      <c r="K1311" s="381" t="s">
        <v>1245</v>
      </c>
    </row>
    <row r="1312" spans="1:11" ht="15.75">
      <c r="A1312" s="744">
        <v>44206</v>
      </c>
      <c r="B1312" s="381" t="s">
        <v>2182</v>
      </c>
      <c r="C1312" s="381" t="s">
        <v>3168</v>
      </c>
      <c r="D1312" s="411"/>
      <c r="E1312" s="712"/>
      <c r="F1312" s="381"/>
      <c r="G1312" s="381"/>
      <c r="H1312" s="383"/>
      <c r="I1312" s="383"/>
      <c r="J1312" s="383"/>
      <c r="K1312" s="381"/>
    </row>
    <row r="1313" spans="1:11" ht="15.75">
      <c r="A1313" s="744"/>
      <c r="B1313" s="381"/>
      <c r="C1313" s="381"/>
      <c r="D1313" s="411"/>
      <c r="E1313" s="712"/>
      <c r="F1313" s="381"/>
      <c r="G1313" s="381"/>
      <c r="H1313" s="383"/>
      <c r="I1313" s="383"/>
      <c r="J1313" s="383"/>
      <c r="K1313" s="381"/>
    </row>
    <row r="1314" spans="1:11" ht="15.75">
      <c r="A1314" s="393"/>
      <c r="B1314" s="406"/>
      <c r="C1314" s="406"/>
      <c r="D1314" s="381"/>
      <c r="E1314" s="712"/>
      <c r="F1314" s="381"/>
      <c r="G1314" s="381"/>
      <c r="H1314" s="383"/>
      <c r="I1314" s="383"/>
      <c r="J1314" s="383"/>
      <c r="K1314" s="381"/>
    </row>
    <row r="1315" spans="1:11" ht="15.75">
      <c r="A1315" s="412"/>
      <c r="B1315" s="381"/>
      <c r="C1315" s="381"/>
      <c r="D1315" s="381"/>
      <c r="E1315" s="712"/>
      <c r="F1315" s="381"/>
      <c r="G1315" s="381"/>
      <c r="H1315" s="383"/>
      <c r="I1315" s="383"/>
      <c r="J1315" s="383"/>
      <c r="K1315" s="381"/>
    </row>
    <row r="1316" spans="1:11" ht="15.75">
      <c r="A1316" s="419"/>
      <c r="B1316" s="420"/>
      <c r="C1316" s="420"/>
      <c r="D1316" s="420"/>
      <c r="E1316" s="458"/>
      <c r="F1316" s="153"/>
      <c r="G1316" s="153"/>
      <c r="H1316" s="457"/>
      <c r="I1316" s="457"/>
      <c r="J1316" s="493">
        <f>SUM(J1308:J1315)</f>
        <v>4</v>
      </c>
      <c r="K1316" s="457"/>
    </row>
    <row r="1319" spans="1:11">
      <c r="A1319" s="1665" t="s">
        <v>3172</v>
      </c>
      <c r="B1319" s="1665"/>
      <c r="C1319" s="1665"/>
      <c r="D1319" s="1665"/>
      <c r="E1319" s="1665"/>
      <c r="F1319" s="1665"/>
      <c r="G1319" s="1665"/>
      <c r="H1319" s="1665"/>
      <c r="I1319" s="1665"/>
      <c r="J1319" s="1665"/>
      <c r="K1319" s="1665"/>
    </row>
    <row r="1320" spans="1:11">
      <c r="A1320" s="1666"/>
      <c r="B1320" s="1666"/>
      <c r="C1320" s="1666"/>
      <c r="D1320" s="1666"/>
      <c r="E1320" s="1666"/>
      <c r="F1320" s="1666"/>
      <c r="G1320" s="1666"/>
      <c r="H1320" s="1666"/>
      <c r="I1320" s="1666"/>
      <c r="J1320" s="1666"/>
      <c r="K1320" s="1666"/>
    </row>
    <row r="1322" spans="1:11" ht="26.25">
      <c r="A1322" s="1667" t="s">
        <v>3173</v>
      </c>
      <c r="B1322" s="1667"/>
      <c r="C1322" s="1667"/>
      <c r="D1322" s="1667"/>
      <c r="E1322" s="1667"/>
      <c r="F1322" s="1667"/>
      <c r="G1322" s="1667"/>
      <c r="H1322" s="1667"/>
      <c r="I1322" s="1667"/>
      <c r="J1322" s="1667"/>
      <c r="K1322" s="1667"/>
    </row>
    <row r="1323" spans="1:11" ht="31.5">
      <c r="A1323" s="375" t="s">
        <v>1941</v>
      </c>
      <c r="B1323" s="378" t="s">
        <v>1942</v>
      </c>
      <c r="C1323" s="378" t="s">
        <v>1943</v>
      </c>
      <c r="D1323" s="378" t="s">
        <v>1944</v>
      </c>
      <c r="E1323" s="452" t="s">
        <v>1945</v>
      </c>
      <c r="F1323" s="378" t="s">
        <v>1946</v>
      </c>
      <c r="G1323" s="378" t="s">
        <v>2590</v>
      </c>
      <c r="H1323" s="378" t="s">
        <v>1947</v>
      </c>
      <c r="I1323" s="378" t="s">
        <v>1948</v>
      </c>
      <c r="J1323" s="453" t="s">
        <v>1949</v>
      </c>
      <c r="K1323" s="378" t="s">
        <v>10</v>
      </c>
    </row>
    <row r="1324" spans="1:11" ht="15.75">
      <c r="A1324" s="454" t="s">
        <v>3174</v>
      </c>
      <c r="B1324" s="455" t="s">
        <v>2182</v>
      </c>
      <c r="C1324" s="455" t="s">
        <v>3175</v>
      </c>
      <c r="D1324" s="455" t="s">
        <v>2394</v>
      </c>
      <c r="E1324" s="461">
        <v>210000000</v>
      </c>
      <c r="F1324" s="464" t="s">
        <v>2292</v>
      </c>
      <c r="G1324" s="464" t="s">
        <v>2741</v>
      </c>
      <c r="H1324" s="460" t="s">
        <v>1955</v>
      </c>
      <c r="I1324" s="460" t="s">
        <v>1625</v>
      </c>
      <c r="J1324" s="460">
        <v>1</v>
      </c>
      <c r="K1324" s="455" t="s">
        <v>2629</v>
      </c>
    </row>
    <row r="1325" spans="1:11" ht="15.75">
      <c r="A1325" s="454">
        <v>44327</v>
      </c>
      <c r="B1325" s="472" t="s">
        <v>1966</v>
      </c>
      <c r="C1325" s="455" t="s">
        <v>3176</v>
      </c>
      <c r="D1325" s="455" t="s">
        <v>75</v>
      </c>
      <c r="E1325" s="461">
        <v>630000000</v>
      </c>
      <c r="F1325" s="464" t="s">
        <v>2292</v>
      </c>
      <c r="G1325" s="656" t="s">
        <v>2741</v>
      </c>
      <c r="H1325" s="460" t="s">
        <v>1955</v>
      </c>
      <c r="I1325" s="460" t="s">
        <v>1625</v>
      </c>
      <c r="J1325" s="460">
        <v>1</v>
      </c>
      <c r="K1325" s="455" t="s">
        <v>2629</v>
      </c>
    </row>
    <row r="1326" spans="1:11" ht="15.75">
      <c r="A1326" s="454" t="s">
        <v>3177</v>
      </c>
      <c r="B1326" s="455" t="s">
        <v>2182</v>
      </c>
      <c r="C1326" s="459" t="s">
        <v>3178</v>
      </c>
      <c r="D1326" s="455" t="s">
        <v>3179</v>
      </c>
      <c r="E1326" s="461">
        <v>339572000</v>
      </c>
      <c r="F1326" s="654" t="s">
        <v>2292</v>
      </c>
      <c r="G1326" s="464" t="s">
        <v>30</v>
      </c>
      <c r="H1326" s="655" t="s">
        <v>1625</v>
      </c>
      <c r="I1326" s="460" t="s">
        <v>1625</v>
      </c>
      <c r="J1326" s="460">
        <v>1</v>
      </c>
      <c r="K1326" s="455" t="s">
        <v>2629</v>
      </c>
    </row>
    <row r="1327" spans="1:11" ht="15.75">
      <c r="A1327" s="649" t="s">
        <v>3177</v>
      </c>
      <c r="B1327" s="650" t="s">
        <v>2182</v>
      </c>
      <c r="C1327" s="459" t="s">
        <v>3180</v>
      </c>
      <c r="D1327" s="455" t="s">
        <v>3179</v>
      </c>
      <c r="E1327" s="461">
        <v>424942000</v>
      </c>
      <c r="F1327" s="654" t="s">
        <v>2292</v>
      </c>
      <c r="G1327" s="464" t="s">
        <v>30</v>
      </c>
      <c r="H1327" s="655" t="s">
        <v>1625</v>
      </c>
      <c r="I1327" s="460" t="s">
        <v>1625</v>
      </c>
      <c r="J1327" s="460">
        <v>1</v>
      </c>
      <c r="K1327" s="455" t="s">
        <v>2629</v>
      </c>
    </row>
    <row r="1328" spans="1:11" s="32" customFormat="1" ht="15.75">
      <c r="A1328" s="479" t="s">
        <v>3181</v>
      </c>
      <c r="B1328" s="612" t="s">
        <v>2182</v>
      </c>
      <c r="C1328" s="411" t="s">
        <v>3182</v>
      </c>
      <c r="D1328" s="381" t="s">
        <v>2167</v>
      </c>
      <c r="E1328" s="451">
        <v>1300000</v>
      </c>
      <c r="F1328" s="304" t="s">
        <v>2292</v>
      </c>
      <c r="G1328" s="275" t="s">
        <v>2873</v>
      </c>
      <c r="H1328" s="531" t="s">
        <v>1625</v>
      </c>
      <c r="I1328" s="383" t="s">
        <v>1625</v>
      </c>
      <c r="J1328" s="383">
        <v>1</v>
      </c>
      <c r="K1328" s="381" t="s">
        <v>1499</v>
      </c>
    </row>
    <row r="1329" spans="1:11" ht="15.75">
      <c r="A1329" s="479" t="s">
        <v>3181</v>
      </c>
      <c r="B1329" s="612" t="s">
        <v>2182</v>
      </c>
      <c r="C1329" s="381" t="s">
        <v>739</v>
      </c>
      <c r="D1329" s="381" t="s">
        <v>2167</v>
      </c>
      <c r="E1329" s="451">
        <v>1300000</v>
      </c>
      <c r="F1329" s="304" t="s">
        <v>2292</v>
      </c>
      <c r="G1329" s="275" t="s">
        <v>2873</v>
      </c>
      <c r="H1329" s="531" t="s">
        <v>1625</v>
      </c>
      <c r="I1329" s="383" t="s">
        <v>1625</v>
      </c>
      <c r="J1329" s="383">
        <v>1</v>
      </c>
      <c r="K1329" s="381" t="s">
        <v>1245</v>
      </c>
    </row>
    <row r="1330" spans="1:11" ht="15.75">
      <c r="A1330" s="479" t="s">
        <v>3181</v>
      </c>
      <c r="B1330" s="612" t="s">
        <v>2182</v>
      </c>
      <c r="C1330" s="381" t="s">
        <v>3183</v>
      </c>
      <c r="D1330" s="381" t="s">
        <v>75</v>
      </c>
      <c r="E1330" s="451">
        <v>1700000</v>
      </c>
      <c r="F1330" s="304" t="s">
        <v>2290</v>
      </c>
      <c r="G1330" s="275" t="s">
        <v>2605</v>
      </c>
      <c r="H1330" s="531" t="s">
        <v>1625</v>
      </c>
      <c r="I1330" s="383" t="s">
        <v>1625</v>
      </c>
      <c r="J1330" s="383">
        <v>1</v>
      </c>
      <c r="K1330" s="381" t="s">
        <v>1499</v>
      </c>
    </row>
    <row r="1331" spans="1:11" ht="15.75">
      <c r="A1331" s="479" t="s">
        <v>3184</v>
      </c>
      <c r="B1331" s="612" t="s">
        <v>2182</v>
      </c>
      <c r="C1331" s="381" t="s">
        <v>3185</v>
      </c>
      <c r="D1331" s="381" t="s">
        <v>2394</v>
      </c>
      <c r="E1331" s="451">
        <v>1100000</v>
      </c>
      <c r="F1331" s="304" t="s">
        <v>2292</v>
      </c>
      <c r="G1331" s="275" t="s">
        <v>2605</v>
      </c>
      <c r="H1331" s="531" t="s">
        <v>1625</v>
      </c>
      <c r="I1331" s="383" t="s">
        <v>1625</v>
      </c>
      <c r="J1331" s="383">
        <v>1</v>
      </c>
      <c r="K1331" s="381" t="s">
        <v>1245</v>
      </c>
    </row>
    <row r="1332" spans="1:11" ht="15.75">
      <c r="A1332" s="479" t="s">
        <v>3174</v>
      </c>
      <c r="B1332" s="612" t="s">
        <v>2182</v>
      </c>
      <c r="C1332" s="381" t="s">
        <v>3186</v>
      </c>
      <c r="D1332" s="381" t="s">
        <v>2326</v>
      </c>
      <c r="E1332" s="451">
        <v>950000</v>
      </c>
      <c r="F1332" s="304" t="s">
        <v>2292</v>
      </c>
      <c r="G1332" s="275" t="s">
        <v>2741</v>
      </c>
      <c r="H1332" s="531" t="s">
        <v>1955</v>
      </c>
      <c r="I1332" s="383" t="s">
        <v>1625</v>
      </c>
      <c r="J1332" s="383">
        <v>1</v>
      </c>
      <c r="K1332" s="381" t="s">
        <v>1499</v>
      </c>
    </row>
    <row r="1333" spans="1:11" ht="15.75">
      <c r="A1333" s="479" t="s">
        <v>3187</v>
      </c>
      <c r="B1333" s="612" t="s">
        <v>2182</v>
      </c>
      <c r="C1333" s="381" t="s">
        <v>1613</v>
      </c>
      <c r="D1333" s="381" t="s">
        <v>2167</v>
      </c>
      <c r="E1333" s="451">
        <v>1300000</v>
      </c>
      <c r="F1333" s="304" t="s">
        <v>2292</v>
      </c>
      <c r="G1333" s="275" t="s">
        <v>2873</v>
      </c>
      <c r="H1333" s="531" t="s">
        <v>1625</v>
      </c>
      <c r="I1333" s="383" t="s">
        <v>1625</v>
      </c>
      <c r="J1333" s="383">
        <v>1</v>
      </c>
      <c r="K1333" s="381" t="s">
        <v>1499</v>
      </c>
    </row>
    <row r="1334" spans="1:11" ht="15.75">
      <c r="A1334" s="479">
        <v>44327</v>
      </c>
      <c r="B1334" s="612" t="s">
        <v>2182</v>
      </c>
      <c r="C1334" s="381" t="s">
        <v>3188</v>
      </c>
      <c r="D1334" s="381" t="s">
        <v>3189</v>
      </c>
      <c r="E1334" s="451">
        <v>1000000</v>
      </c>
      <c r="F1334" s="304" t="s">
        <v>1968</v>
      </c>
      <c r="G1334" s="275" t="s">
        <v>2741</v>
      </c>
      <c r="H1334" s="531" t="s">
        <v>1955</v>
      </c>
      <c r="I1334" s="383" t="s">
        <v>1625</v>
      </c>
      <c r="J1334" s="383">
        <v>1</v>
      </c>
      <c r="K1334" s="381" t="s">
        <v>1245</v>
      </c>
    </row>
    <row r="1335" spans="1:11" ht="15.75">
      <c r="A1335" s="479">
        <v>44327</v>
      </c>
      <c r="B1335" s="612" t="s">
        <v>1966</v>
      </c>
      <c r="C1335" s="381" t="s">
        <v>3190</v>
      </c>
      <c r="D1335" s="381" t="s">
        <v>3191</v>
      </c>
      <c r="E1335" s="451">
        <v>3000000</v>
      </c>
      <c r="F1335" s="304" t="s">
        <v>1968</v>
      </c>
      <c r="G1335" s="275" t="s">
        <v>2741</v>
      </c>
      <c r="H1335" s="531" t="s">
        <v>1625</v>
      </c>
      <c r="I1335" s="383" t="s">
        <v>1625</v>
      </c>
      <c r="J1335" s="383">
        <v>1</v>
      </c>
      <c r="K1335" s="381" t="s">
        <v>1499</v>
      </c>
    </row>
    <row r="1336" spans="1:11" ht="15.75">
      <c r="A1336" s="479">
        <v>44419</v>
      </c>
      <c r="B1336" s="612" t="s">
        <v>2182</v>
      </c>
      <c r="C1336" s="381" t="s">
        <v>3192</v>
      </c>
      <c r="D1336" s="381" t="s">
        <v>3193</v>
      </c>
      <c r="E1336" s="451">
        <v>1300000</v>
      </c>
      <c r="F1336" s="304" t="s">
        <v>2292</v>
      </c>
      <c r="G1336" s="275" t="s">
        <v>2605</v>
      </c>
      <c r="H1336" s="531" t="s">
        <v>1955</v>
      </c>
      <c r="I1336" s="383" t="s">
        <v>1625</v>
      </c>
      <c r="J1336" s="383">
        <v>1</v>
      </c>
      <c r="K1336" s="381" t="s">
        <v>1245</v>
      </c>
    </row>
    <row r="1337" spans="1:11" ht="15.75">
      <c r="A1337" s="479">
        <v>44419</v>
      </c>
      <c r="B1337" s="612" t="s">
        <v>1966</v>
      </c>
      <c r="C1337" s="381" t="s">
        <v>3194</v>
      </c>
      <c r="D1337" s="381" t="s">
        <v>2326</v>
      </c>
      <c r="E1337" s="451">
        <v>5000000</v>
      </c>
      <c r="F1337" s="304" t="s">
        <v>1968</v>
      </c>
      <c r="G1337" s="275" t="s">
        <v>2741</v>
      </c>
      <c r="H1337" s="531" t="s">
        <v>1955</v>
      </c>
      <c r="I1337" s="383" t="s">
        <v>1625</v>
      </c>
      <c r="J1337" s="383">
        <v>1</v>
      </c>
      <c r="K1337" s="381" t="s">
        <v>1245</v>
      </c>
    </row>
    <row r="1338" spans="1:11" ht="15.75">
      <c r="A1338" s="479">
        <v>44450</v>
      </c>
      <c r="B1338" s="612" t="s">
        <v>2182</v>
      </c>
      <c r="C1338" s="381" t="s">
        <v>3195</v>
      </c>
      <c r="D1338" s="381" t="s">
        <v>75</v>
      </c>
      <c r="E1338" s="451">
        <v>1350000</v>
      </c>
      <c r="F1338" s="304" t="s">
        <v>2292</v>
      </c>
      <c r="G1338" s="275" t="s">
        <v>2605</v>
      </c>
      <c r="H1338" s="531" t="s">
        <v>1625</v>
      </c>
      <c r="I1338" s="383" t="s">
        <v>1625</v>
      </c>
      <c r="J1338" s="383">
        <v>1</v>
      </c>
      <c r="K1338" s="381" t="s">
        <v>1499</v>
      </c>
    </row>
    <row r="1339" spans="1:11" ht="15.75">
      <c r="A1339" s="479">
        <v>44450</v>
      </c>
      <c r="B1339" s="612" t="s">
        <v>2182</v>
      </c>
      <c r="C1339" s="381" t="s">
        <v>673</v>
      </c>
      <c r="D1339" s="381" t="s">
        <v>3196</v>
      </c>
      <c r="E1339" s="451">
        <v>900000</v>
      </c>
      <c r="F1339" s="304" t="s">
        <v>2292</v>
      </c>
      <c r="G1339" s="275" t="s">
        <v>30</v>
      </c>
      <c r="H1339" s="531" t="s">
        <v>1625</v>
      </c>
      <c r="I1339" s="383" t="s">
        <v>1625</v>
      </c>
      <c r="J1339" s="383">
        <v>1</v>
      </c>
      <c r="K1339" s="381" t="s">
        <v>2998</v>
      </c>
    </row>
    <row r="1340" spans="1:11" ht="15.75">
      <c r="A1340" s="479" t="s">
        <v>3197</v>
      </c>
      <c r="B1340" s="612" t="s">
        <v>2182</v>
      </c>
      <c r="C1340" s="381" t="s">
        <v>3198</v>
      </c>
      <c r="D1340" s="381" t="s">
        <v>3179</v>
      </c>
      <c r="E1340" s="451">
        <v>1000000</v>
      </c>
      <c r="F1340" s="304" t="s">
        <v>2292</v>
      </c>
      <c r="G1340" s="275" t="s">
        <v>2741</v>
      </c>
      <c r="H1340" s="531" t="s">
        <v>1625</v>
      </c>
      <c r="I1340" s="383" t="s">
        <v>1625</v>
      </c>
      <c r="J1340" s="383">
        <v>1</v>
      </c>
      <c r="K1340" s="381" t="s">
        <v>1245</v>
      </c>
    </row>
    <row r="1341" spans="1:11" ht="15.75">
      <c r="A1341" s="479" t="s">
        <v>3197</v>
      </c>
      <c r="B1341" s="612" t="s">
        <v>2182</v>
      </c>
      <c r="C1341" s="381" t="s">
        <v>3199</v>
      </c>
      <c r="D1341" s="381" t="s">
        <v>75</v>
      </c>
      <c r="E1341" s="451">
        <v>1500000</v>
      </c>
      <c r="F1341" s="304" t="s">
        <v>2292</v>
      </c>
      <c r="G1341" s="275" t="s">
        <v>30</v>
      </c>
      <c r="H1341" s="531" t="s">
        <v>1625</v>
      </c>
      <c r="I1341" s="383" t="s">
        <v>1625</v>
      </c>
      <c r="J1341" s="383">
        <v>1</v>
      </c>
      <c r="K1341" s="381" t="s">
        <v>1499</v>
      </c>
    </row>
    <row r="1342" spans="1:11" ht="15.75">
      <c r="A1342" s="479" t="s">
        <v>3197</v>
      </c>
      <c r="B1342" s="612" t="s">
        <v>2060</v>
      </c>
      <c r="C1342" s="381" t="s">
        <v>3200</v>
      </c>
      <c r="D1342" s="381" t="s">
        <v>3179</v>
      </c>
      <c r="E1342" s="451">
        <v>3990000</v>
      </c>
      <c r="F1342" s="304" t="s">
        <v>2292</v>
      </c>
      <c r="G1342" s="275" t="s">
        <v>2593</v>
      </c>
      <c r="H1342" s="531" t="s">
        <v>1625</v>
      </c>
      <c r="I1342" s="383" t="s">
        <v>1625</v>
      </c>
      <c r="J1342" s="383">
        <v>1</v>
      </c>
      <c r="K1342" s="381" t="s">
        <v>1245</v>
      </c>
    </row>
    <row r="1343" spans="1:11" ht="15.75">
      <c r="A1343" s="479" t="s">
        <v>3197</v>
      </c>
      <c r="B1343" s="612" t="s">
        <v>2182</v>
      </c>
      <c r="C1343" s="381" t="s">
        <v>3201</v>
      </c>
      <c r="D1343" s="381" t="s">
        <v>3179</v>
      </c>
      <c r="E1343" s="451">
        <v>1350000</v>
      </c>
      <c r="F1343" s="304" t="s">
        <v>2292</v>
      </c>
      <c r="G1343" s="275" t="s">
        <v>2741</v>
      </c>
      <c r="H1343" s="531" t="s">
        <v>1625</v>
      </c>
      <c r="I1343" s="383" t="s">
        <v>1625</v>
      </c>
      <c r="J1343" s="383">
        <v>1</v>
      </c>
      <c r="K1343" s="381" t="s">
        <v>2998</v>
      </c>
    </row>
    <row r="1344" spans="1:11" ht="15.75">
      <c r="A1344" s="479" t="s">
        <v>3202</v>
      </c>
      <c r="B1344" s="612" t="s">
        <v>2182</v>
      </c>
      <c r="C1344" s="381" t="s">
        <v>728</v>
      </c>
      <c r="D1344" s="381" t="s">
        <v>3059</v>
      </c>
      <c r="E1344" s="451">
        <v>1300000</v>
      </c>
      <c r="F1344" s="304" t="s">
        <v>1968</v>
      </c>
      <c r="G1344" s="275" t="s">
        <v>2741</v>
      </c>
      <c r="H1344" s="531"/>
      <c r="I1344" s="383" t="s">
        <v>1625</v>
      </c>
      <c r="J1344" s="383">
        <v>1</v>
      </c>
      <c r="K1344" s="381" t="s">
        <v>1496</v>
      </c>
    </row>
    <row r="1345" spans="1:11" ht="15.75">
      <c r="A1345" s="479" t="s">
        <v>3202</v>
      </c>
      <c r="B1345" s="612" t="s">
        <v>2060</v>
      </c>
      <c r="C1345" s="381" t="s">
        <v>3203</v>
      </c>
      <c r="D1345" s="381" t="s">
        <v>3179</v>
      </c>
      <c r="E1345" s="451">
        <v>59160000</v>
      </c>
      <c r="F1345" s="304" t="s">
        <v>2292</v>
      </c>
      <c r="G1345" s="275" t="s">
        <v>2593</v>
      </c>
      <c r="H1345" s="531" t="s">
        <v>1625</v>
      </c>
      <c r="I1345" s="383" t="s">
        <v>1625</v>
      </c>
      <c r="J1345" s="383">
        <v>1</v>
      </c>
      <c r="K1345" s="381" t="s">
        <v>1171</v>
      </c>
    </row>
    <row r="1346" spans="1:11" ht="15.75">
      <c r="A1346" s="393" t="s">
        <v>3202</v>
      </c>
      <c r="B1346" s="381" t="s">
        <v>2060</v>
      </c>
      <c r="C1346" s="381" t="s">
        <v>3204</v>
      </c>
      <c r="D1346" s="381" t="s">
        <v>3179</v>
      </c>
      <c r="E1346" s="451">
        <v>34860000</v>
      </c>
      <c r="F1346" s="381" t="s">
        <v>2292</v>
      </c>
      <c r="G1346" s="381" t="s">
        <v>2741</v>
      </c>
      <c r="H1346" s="383" t="s">
        <v>1625</v>
      </c>
      <c r="I1346" s="383" t="s">
        <v>1625</v>
      </c>
      <c r="J1346" s="383">
        <v>1</v>
      </c>
      <c r="K1346" s="381" t="s">
        <v>2998</v>
      </c>
    </row>
    <row r="1347" spans="1:11" ht="15.75">
      <c r="A1347" s="412" t="s">
        <v>3202</v>
      </c>
      <c r="B1347" s="411" t="s">
        <v>2060</v>
      </c>
      <c r="C1347" s="381" t="s">
        <v>3205</v>
      </c>
      <c r="D1347" s="381" t="s">
        <v>3179</v>
      </c>
      <c r="E1347" s="451">
        <v>3990000</v>
      </c>
      <c r="F1347" s="304" t="s">
        <v>2292</v>
      </c>
      <c r="G1347" s="275" t="s">
        <v>2741</v>
      </c>
      <c r="H1347" s="531" t="s">
        <v>1625</v>
      </c>
      <c r="I1347" s="383" t="s">
        <v>1625</v>
      </c>
      <c r="J1347" s="383">
        <v>1</v>
      </c>
      <c r="K1347" s="381" t="s">
        <v>1245</v>
      </c>
    </row>
    <row r="1348" spans="1:11" ht="15.75">
      <c r="A1348" s="405" t="s">
        <v>3202</v>
      </c>
      <c r="B1348" s="406" t="s">
        <v>2060</v>
      </c>
      <c r="C1348" s="406" t="s">
        <v>3206</v>
      </c>
      <c r="D1348" s="406" t="s">
        <v>3179</v>
      </c>
      <c r="E1348" s="490">
        <v>6840000</v>
      </c>
      <c r="F1348" s="491" t="s">
        <v>2292</v>
      </c>
      <c r="G1348" s="491" t="s">
        <v>2741</v>
      </c>
      <c r="H1348" s="408" t="s">
        <v>1625</v>
      </c>
      <c r="I1348" s="408" t="s">
        <v>1625</v>
      </c>
      <c r="J1348" s="408">
        <v>1</v>
      </c>
      <c r="K1348" s="406" t="s">
        <v>1171</v>
      </c>
    </row>
    <row r="1349" spans="1:11" ht="15.75">
      <c r="A1349" s="405" t="s">
        <v>3207</v>
      </c>
      <c r="B1349" s="406" t="s">
        <v>2182</v>
      </c>
      <c r="C1349" s="406" t="s">
        <v>3208</v>
      </c>
      <c r="D1349" s="406" t="s">
        <v>3179</v>
      </c>
      <c r="E1349" s="490">
        <v>1550000</v>
      </c>
      <c r="F1349" s="491" t="s">
        <v>2292</v>
      </c>
      <c r="G1349" s="491" t="s">
        <v>2741</v>
      </c>
      <c r="H1349" s="408" t="s">
        <v>1625</v>
      </c>
      <c r="I1349" s="408" t="s">
        <v>1625</v>
      </c>
      <c r="J1349" s="408">
        <v>1</v>
      </c>
      <c r="K1349" s="406" t="s">
        <v>1245</v>
      </c>
    </row>
    <row r="1350" spans="1:11" ht="15.75">
      <c r="A1350" s="405" t="s">
        <v>3209</v>
      </c>
      <c r="B1350" s="406" t="s">
        <v>2182</v>
      </c>
      <c r="C1350" s="406" t="s">
        <v>615</v>
      </c>
      <c r="D1350" s="406" t="s">
        <v>2700</v>
      </c>
      <c r="E1350" s="490">
        <v>1200000</v>
      </c>
      <c r="F1350" s="491" t="s">
        <v>2292</v>
      </c>
      <c r="G1350" s="491" t="s">
        <v>2605</v>
      </c>
      <c r="H1350" s="408" t="s">
        <v>1625</v>
      </c>
      <c r="I1350" s="408" t="s">
        <v>1625</v>
      </c>
      <c r="J1350" s="408">
        <v>1</v>
      </c>
      <c r="K1350" s="406" t="s">
        <v>1245</v>
      </c>
    </row>
    <row r="1351" spans="1:11" ht="15.75">
      <c r="A1351" s="405" t="s">
        <v>3177</v>
      </c>
      <c r="B1351" s="406" t="s">
        <v>2060</v>
      </c>
      <c r="C1351" s="406" t="s">
        <v>3210</v>
      </c>
      <c r="D1351" s="406" t="s">
        <v>3179</v>
      </c>
      <c r="E1351" s="490">
        <v>3990000</v>
      </c>
      <c r="F1351" s="491" t="s">
        <v>2292</v>
      </c>
      <c r="G1351" s="491" t="s">
        <v>2741</v>
      </c>
      <c r="H1351" s="408" t="s">
        <v>1625</v>
      </c>
      <c r="I1351" s="408" t="s">
        <v>1625</v>
      </c>
      <c r="J1351" s="408">
        <v>1</v>
      </c>
      <c r="K1351" s="406" t="s">
        <v>1171</v>
      </c>
    </row>
    <row r="1352" spans="1:11" ht="15.75">
      <c r="A1352" s="405" t="s">
        <v>3177</v>
      </c>
      <c r="B1352" s="406" t="s">
        <v>2060</v>
      </c>
      <c r="C1352" s="406" t="s">
        <v>3211</v>
      </c>
      <c r="D1352" s="406" t="s">
        <v>3179</v>
      </c>
      <c r="E1352" s="490">
        <v>3990000</v>
      </c>
      <c r="F1352" s="491" t="s">
        <v>2292</v>
      </c>
      <c r="G1352" s="491" t="s">
        <v>2741</v>
      </c>
      <c r="H1352" s="408" t="s">
        <v>1625</v>
      </c>
      <c r="I1352" s="408" t="s">
        <v>1625</v>
      </c>
      <c r="J1352" s="408">
        <v>1</v>
      </c>
      <c r="K1352" s="406" t="s">
        <v>2998</v>
      </c>
    </row>
    <row r="1353" spans="1:11" ht="15.75">
      <c r="A1353" s="419"/>
      <c r="B1353" s="420"/>
      <c r="C1353" s="420"/>
      <c r="D1353" s="420"/>
      <c r="E1353" s="463"/>
      <c r="F1353" s="466"/>
      <c r="G1353" s="466"/>
      <c r="H1353" s="422"/>
      <c r="I1353" s="422"/>
      <c r="J1353" s="492">
        <f>SUM(J1324:J1352)</f>
        <v>29</v>
      </c>
      <c r="K1353" s="420"/>
    </row>
    <row r="1354" spans="1:11" ht="15.75">
      <c r="A1354" s="394"/>
      <c r="B1354" s="395"/>
      <c r="C1354" s="395"/>
      <c r="D1354" s="395"/>
      <c r="E1354" s="706"/>
      <c r="F1354" s="707"/>
      <c r="G1354" s="707"/>
      <c r="H1354" s="397"/>
      <c r="I1354" s="397"/>
      <c r="J1354" s="397"/>
      <c r="K1354" s="395"/>
    </row>
    <row r="1355" spans="1:11" ht="15.75">
      <c r="A1355" s="394"/>
      <c r="B1355" s="395"/>
      <c r="C1355" s="395"/>
      <c r="D1355" s="395"/>
      <c r="E1355" s="706"/>
      <c r="F1355" s="707"/>
      <c r="G1355" s="707"/>
      <c r="H1355" s="397"/>
      <c r="I1355" s="397"/>
      <c r="J1355" s="397"/>
      <c r="K1355" s="395"/>
    </row>
    <row r="1356" spans="1:11" ht="15.75">
      <c r="A1356" s="394"/>
      <c r="B1356" s="395"/>
      <c r="C1356" s="395"/>
      <c r="D1356" s="395"/>
      <c r="E1356" s="396"/>
      <c r="F1356" s="397"/>
      <c r="G1356" s="397"/>
      <c r="H1356" s="397"/>
      <c r="I1356" s="395"/>
      <c r="J1356" s="395"/>
      <c r="K1356" s="395"/>
    </row>
    <row r="1357" spans="1:11" ht="26.25">
      <c r="A1357" s="1667" t="s">
        <v>3212</v>
      </c>
      <c r="B1357" s="1667"/>
      <c r="C1357" s="1667"/>
      <c r="D1357" s="1667"/>
      <c r="E1357" s="1667"/>
      <c r="F1357" s="1667"/>
      <c r="G1357" s="1667"/>
      <c r="H1357" s="1667"/>
      <c r="I1357" s="1667"/>
      <c r="J1357" s="1667"/>
      <c r="K1357" s="1667"/>
    </row>
    <row r="1358" spans="1:11" ht="31.5">
      <c r="A1358" s="375" t="s">
        <v>1941</v>
      </c>
      <c r="B1358" s="378" t="s">
        <v>1942</v>
      </c>
      <c r="C1358" s="378" t="s">
        <v>1943</v>
      </c>
      <c r="D1358" s="378" t="s">
        <v>1944</v>
      </c>
      <c r="E1358" s="452" t="s">
        <v>1945</v>
      </c>
      <c r="F1358" s="378" t="s">
        <v>1946</v>
      </c>
      <c r="G1358" s="378" t="s">
        <v>2590</v>
      </c>
      <c r="H1358" s="378" t="s">
        <v>1947</v>
      </c>
      <c r="I1358" s="378" t="s">
        <v>1948</v>
      </c>
      <c r="J1358" s="453" t="s">
        <v>1949</v>
      </c>
      <c r="K1358" s="378" t="s">
        <v>1950</v>
      </c>
    </row>
    <row r="1359" spans="1:11" ht="15.75">
      <c r="A1359" s="474">
        <v>44327</v>
      </c>
      <c r="B1359" s="472" t="s">
        <v>2182</v>
      </c>
      <c r="C1359" s="472" t="s">
        <v>479</v>
      </c>
      <c r="D1359" s="472" t="s">
        <v>2711</v>
      </c>
      <c r="E1359" s="475">
        <v>2350000000</v>
      </c>
      <c r="F1359" s="472" t="s">
        <v>1968</v>
      </c>
      <c r="G1359" s="472" t="s">
        <v>2741</v>
      </c>
      <c r="H1359" s="473" t="s">
        <v>1955</v>
      </c>
      <c r="I1359" s="473" t="s">
        <v>1625</v>
      </c>
      <c r="J1359" s="473">
        <v>1</v>
      </c>
      <c r="K1359" s="472" t="s">
        <v>2629</v>
      </c>
    </row>
    <row r="1360" spans="1:11" ht="15.75">
      <c r="A1360" s="474">
        <v>44327</v>
      </c>
      <c r="B1360" s="455" t="s">
        <v>2182</v>
      </c>
      <c r="C1360" s="455" t="s">
        <v>3213</v>
      </c>
      <c r="D1360" s="455" t="s">
        <v>3059</v>
      </c>
      <c r="E1360" s="461">
        <v>290000000</v>
      </c>
      <c r="F1360" s="455" t="s">
        <v>1968</v>
      </c>
      <c r="G1360" s="455" t="s">
        <v>2838</v>
      </c>
      <c r="H1360" s="460" t="s">
        <v>1955</v>
      </c>
      <c r="I1360" s="460" t="s">
        <v>1625</v>
      </c>
      <c r="J1360" s="460">
        <v>1</v>
      </c>
      <c r="K1360" s="455" t="s">
        <v>2629</v>
      </c>
    </row>
    <row r="1361" spans="1:11" ht="15.75">
      <c r="A1361" s="507"/>
      <c r="B1361" s="459"/>
      <c r="C1361" s="455"/>
      <c r="D1361" s="455"/>
      <c r="E1361" s="461"/>
      <c r="F1361" s="455"/>
      <c r="G1361" s="455"/>
      <c r="H1361" s="460"/>
      <c r="I1361" s="460"/>
      <c r="J1361" s="460"/>
      <c r="K1361" s="455"/>
    </row>
    <row r="1362" spans="1:11" ht="15.75">
      <c r="A1362" s="412" t="s">
        <v>3174</v>
      </c>
      <c r="B1362" s="426" t="s">
        <v>2182</v>
      </c>
      <c r="C1362" s="385" t="s">
        <v>699</v>
      </c>
      <c r="D1362" s="385" t="s">
        <v>2167</v>
      </c>
      <c r="E1362" s="462">
        <v>1400000</v>
      </c>
      <c r="F1362" s="385" t="s">
        <v>2292</v>
      </c>
      <c r="G1362" s="385" t="s">
        <v>2605</v>
      </c>
      <c r="H1362" s="387" t="s">
        <v>1955</v>
      </c>
      <c r="I1362" s="387" t="s">
        <v>1625</v>
      </c>
      <c r="J1362" s="387">
        <v>1</v>
      </c>
      <c r="K1362" s="385" t="s">
        <v>1245</v>
      </c>
    </row>
    <row r="1363" spans="1:11" ht="15.75">
      <c r="A1363" s="479" t="s">
        <v>3214</v>
      </c>
      <c r="B1363" s="426" t="s">
        <v>2182</v>
      </c>
      <c r="C1363" s="385" t="s">
        <v>3215</v>
      </c>
      <c r="D1363" s="385" t="s">
        <v>2167</v>
      </c>
      <c r="E1363" s="462">
        <v>1300000</v>
      </c>
      <c r="F1363" s="385" t="s">
        <v>2292</v>
      </c>
      <c r="G1363" s="385" t="s">
        <v>2605</v>
      </c>
      <c r="H1363" s="387" t="s">
        <v>1625</v>
      </c>
      <c r="I1363" s="387" t="s">
        <v>1625</v>
      </c>
      <c r="J1363" s="387">
        <v>1</v>
      </c>
      <c r="K1363" s="385" t="s">
        <v>1499</v>
      </c>
    </row>
    <row r="1364" spans="1:11" ht="15.75">
      <c r="A1364" s="479">
        <v>44297</v>
      </c>
      <c r="B1364" s="426" t="s">
        <v>2182</v>
      </c>
      <c r="C1364" s="385" t="s">
        <v>633</v>
      </c>
      <c r="D1364" s="385" t="s">
        <v>3059</v>
      </c>
      <c r="E1364" s="462">
        <v>1300000</v>
      </c>
      <c r="F1364" s="385" t="s">
        <v>2292</v>
      </c>
      <c r="G1364" s="385" t="s">
        <v>30</v>
      </c>
      <c r="H1364" s="387" t="s">
        <v>1625</v>
      </c>
      <c r="I1364" s="387" t="s">
        <v>1625</v>
      </c>
      <c r="J1364" s="387">
        <v>1</v>
      </c>
      <c r="K1364" s="385" t="s">
        <v>1245</v>
      </c>
    </row>
    <row r="1365" spans="1:11" ht="15.75">
      <c r="A1365" s="479">
        <v>44327</v>
      </c>
      <c r="B1365" s="381" t="s">
        <v>2182</v>
      </c>
      <c r="C1365" s="381" t="s">
        <v>3213</v>
      </c>
      <c r="D1365" s="381" t="s">
        <v>3059</v>
      </c>
      <c r="E1365" s="451">
        <v>1200000</v>
      </c>
      <c r="F1365" s="381" t="s">
        <v>2292</v>
      </c>
      <c r="G1365" s="381" t="s">
        <v>2838</v>
      </c>
      <c r="H1365" s="383" t="s">
        <v>1625</v>
      </c>
      <c r="I1365" s="383" t="s">
        <v>1625</v>
      </c>
      <c r="J1365" s="383">
        <v>1</v>
      </c>
      <c r="K1365" s="381" t="s">
        <v>1499</v>
      </c>
    </row>
    <row r="1366" spans="1:11" ht="15.75">
      <c r="A1366" s="481">
        <v>44480</v>
      </c>
      <c r="B1366" s="482" t="s">
        <v>2182</v>
      </c>
      <c r="C1366" s="482" t="s">
        <v>3216</v>
      </c>
      <c r="D1366" s="482" t="s">
        <v>3217</v>
      </c>
      <c r="E1366" s="483">
        <v>1200000</v>
      </c>
      <c r="F1366" s="482" t="s">
        <v>2292</v>
      </c>
      <c r="G1366" s="482" t="s">
        <v>2741</v>
      </c>
      <c r="H1366" s="484" t="s">
        <v>1955</v>
      </c>
      <c r="I1366" s="484" t="s">
        <v>1625</v>
      </c>
      <c r="J1366" s="484">
        <v>1</v>
      </c>
      <c r="K1366" s="482" t="s">
        <v>1245</v>
      </c>
    </row>
    <row r="1367" spans="1:11" ht="15.75">
      <c r="A1367" s="443">
        <v>44480</v>
      </c>
      <c r="B1367" s="381" t="s">
        <v>2182</v>
      </c>
      <c r="C1367" s="381" t="s">
        <v>634</v>
      </c>
      <c r="D1367" s="381" t="s">
        <v>2576</v>
      </c>
      <c r="E1367" s="451">
        <v>800000</v>
      </c>
      <c r="F1367" s="381" t="s">
        <v>1968</v>
      </c>
      <c r="G1367" s="381" t="s">
        <v>30</v>
      </c>
      <c r="H1367" s="383" t="s">
        <v>1625</v>
      </c>
      <c r="I1367" s="383" t="s">
        <v>1625</v>
      </c>
      <c r="J1367" s="383">
        <v>1</v>
      </c>
      <c r="K1367" s="381" t="s">
        <v>2998</v>
      </c>
    </row>
    <row r="1368" spans="1:11" ht="15.75">
      <c r="A1368" s="412">
        <v>44541</v>
      </c>
      <c r="B1368" s="411" t="s">
        <v>2182</v>
      </c>
      <c r="C1368" s="381" t="s">
        <v>3218</v>
      </c>
      <c r="D1368" s="381" t="s">
        <v>3059</v>
      </c>
      <c r="E1368" s="451">
        <v>1250000</v>
      </c>
      <c r="F1368" s="381" t="s">
        <v>2292</v>
      </c>
      <c r="G1368" s="381" t="s">
        <v>2741</v>
      </c>
      <c r="H1368" s="383" t="s">
        <v>1955</v>
      </c>
      <c r="I1368" s="383" t="s">
        <v>1625</v>
      </c>
      <c r="J1368" s="383">
        <v>1</v>
      </c>
      <c r="K1368" s="381" t="s">
        <v>2998</v>
      </c>
    </row>
    <row r="1369" spans="1:11" ht="15.75">
      <c r="A1369" s="412" t="s">
        <v>3197</v>
      </c>
      <c r="B1369" s="411" t="s">
        <v>2182</v>
      </c>
      <c r="C1369" s="381" t="s">
        <v>3219</v>
      </c>
      <c r="D1369" s="381" t="s">
        <v>2167</v>
      </c>
      <c r="E1369" s="451">
        <v>1300000</v>
      </c>
      <c r="F1369" s="381" t="s">
        <v>2290</v>
      </c>
      <c r="G1369" s="381" t="s">
        <v>2741</v>
      </c>
      <c r="H1369" s="383" t="s">
        <v>1955</v>
      </c>
      <c r="I1369" s="383" t="s">
        <v>1625</v>
      </c>
      <c r="J1369" s="383">
        <v>1</v>
      </c>
      <c r="K1369" s="381" t="s">
        <v>2998</v>
      </c>
    </row>
    <row r="1370" spans="1:11" ht="15.75">
      <c r="A1370" s="412" t="s">
        <v>3197</v>
      </c>
      <c r="B1370" s="411" t="s">
        <v>2182</v>
      </c>
      <c r="C1370" s="381" t="s">
        <v>636</v>
      </c>
      <c r="D1370" s="381" t="s">
        <v>75</v>
      </c>
      <c r="E1370" s="451">
        <v>1600000</v>
      </c>
      <c r="F1370" s="381" t="s">
        <v>2292</v>
      </c>
      <c r="G1370" s="381" t="s">
        <v>2741</v>
      </c>
      <c r="H1370" s="383" t="s">
        <v>1625</v>
      </c>
      <c r="I1370" s="383" t="s">
        <v>1625</v>
      </c>
      <c r="J1370" s="383">
        <v>1</v>
      </c>
      <c r="K1370" s="381" t="s">
        <v>1171</v>
      </c>
    </row>
    <row r="1371" spans="1:11" ht="15.75">
      <c r="A1371" s="393" t="s">
        <v>3202</v>
      </c>
      <c r="B1371" s="381" t="s">
        <v>2182</v>
      </c>
      <c r="C1371" s="381" t="s">
        <v>3220</v>
      </c>
      <c r="D1371" s="381" t="s">
        <v>2948</v>
      </c>
      <c r="E1371" s="451">
        <v>1200000</v>
      </c>
      <c r="F1371" s="381" t="s">
        <v>1968</v>
      </c>
      <c r="G1371" s="381" t="s">
        <v>2741</v>
      </c>
      <c r="H1371" s="383" t="s">
        <v>1955</v>
      </c>
      <c r="I1371" s="383" t="s">
        <v>1625</v>
      </c>
      <c r="J1371" s="383">
        <v>1</v>
      </c>
      <c r="K1371" s="381" t="s">
        <v>1171</v>
      </c>
    </row>
    <row r="1372" spans="1:11" ht="15.75">
      <c r="A1372" s="393" t="s">
        <v>3221</v>
      </c>
      <c r="B1372" s="381" t="s">
        <v>2182</v>
      </c>
      <c r="C1372" s="381" t="s">
        <v>3222</v>
      </c>
      <c r="D1372" s="381" t="s">
        <v>2711</v>
      </c>
      <c r="E1372" s="451">
        <v>1200000</v>
      </c>
      <c r="F1372" s="381" t="s">
        <v>2292</v>
      </c>
      <c r="G1372" s="381" t="s">
        <v>2605</v>
      </c>
      <c r="H1372" s="383" t="s">
        <v>1625</v>
      </c>
      <c r="I1372" s="383" t="s">
        <v>1625</v>
      </c>
      <c r="J1372" s="383">
        <v>1</v>
      </c>
      <c r="K1372" s="381" t="s">
        <v>1245</v>
      </c>
    </row>
    <row r="1373" spans="1:11" ht="15.75">
      <c r="A1373" s="393" t="s">
        <v>3209</v>
      </c>
      <c r="B1373" s="381" t="s">
        <v>2182</v>
      </c>
      <c r="C1373" s="381" t="s">
        <v>3223</v>
      </c>
      <c r="D1373" s="381" t="s">
        <v>2167</v>
      </c>
      <c r="E1373" s="451">
        <v>1400000</v>
      </c>
      <c r="F1373" s="381" t="s">
        <v>2292</v>
      </c>
      <c r="G1373" s="381" t="s">
        <v>2741</v>
      </c>
      <c r="H1373" s="383" t="s">
        <v>1955</v>
      </c>
      <c r="I1373" s="383" t="s">
        <v>1625</v>
      </c>
      <c r="J1373" s="383">
        <v>1</v>
      </c>
      <c r="K1373" s="381" t="s">
        <v>1245</v>
      </c>
    </row>
    <row r="1374" spans="1:11" ht="15.75">
      <c r="A1374" s="393"/>
      <c r="B1374" s="381"/>
      <c r="C1374" s="381"/>
      <c r="D1374" s="381"/>
      <c r="E1374" s="451"/>
      <c r="F1374" s="381"/>
      <c r="G1374" s="381"/>
      <c r="H1374" s="383"/>
      <c r="I1374" s="383"/>
      <c r="J1374" s="383"/>
      <c r="K1374" s="381"/>
    </row>
    <row r="1375" spans="1:11" ht="15.75">
      <c r="A1375" s="456"/>
      <c r="B1375" s="457"/>
      <c r="C1375" s="457"/>
      <c r="D1375" s="457"/>
      <c r="E1375" s="476"/>
      <c r="F1375" s="457"/>
      <c r="G1375" s="457"/>
      <c r="H1375" s="153"/>
      <c r="I1375" s="153"/>
      <c r="J1375" s="493">
        <f>SUM(J1359:J1374)</f>
        <v>14</v>
      </c>
      <c r="K1375" s="457"/>
    </row>
    <row r="1376" spans="1:11" ht="26.25">
      <c r="A1376" s="1667" t="s">
        <v>3224</v>
      </c>
      <c r="B1376" s="1667"/>
      <c r="C1376" s="1667"/>
      <c r="D1376" s="1667"/>
      <c r="E1376" s="1667"/>
      <c r="F1376" s="1667"/>
      <c r="G1376" s="1667"/>
      <c r="H1376" s="1667"/>
      <c r="I1376" s="1667"/>
      <c r="J1376" s="1667"/>
      <c r="K1376" s="1667"/>
    </row>
    <row r="1377" spans="1:11" ht="31.5">
      <c r="A1377" s="375" t="s">
        <v>1941</v>
      </c>
      <c r="B1377" s="378" t="s">
        <v>1942</v>
      </c>
      <c r="C1377" s="378" t="s">
        <v>1943</v>
      </c>
      <c r="D1377" s="378" t="s">
        <v>1944</v>
      </c>
      <c r="E1377" s="452" t="s">
        <v>1945</v>
      </c>
      <c r="F1377" s="378" t="s">
        <v>1946</v>
      </c>
      <c r="G1377" s="378" t="s">
        <v>2590</v>
      </c>
      <c r="H1377" s="378" t="s">
        <v>1947</v>
      </c>
      <c r="I1377" s="378" t="s">
        <v>1948</v>
      </c>
      <c r="J1377" s="453" t="s">
        <v>1949</v>
      </c>
      <c r="K1377" s="378" t="s">
        <v>1950</v>
      </c>
    </row>
    <row r="1378" spans="1:11" ht="15.75">
      <c r="A1378" s="922" t="s">
        <v>3184</v>
      </c>
      <c r="B1378" s="618" t="s">
        <v>1952</v>
      </c>
      <c r="C1378" s="472" t="s">
        <v>3225</v>
      </c>
      <c r="D1378" s="472" t="s">
        <v>2661</v>
      </c>
      <c r="E1378" s="475">
        <v>145000000</v>
      </c>
      <c r="F1378" s="472" t="s">
        <v>2292</v>
      </c>
      <c r="G1378" s="472" t="s">
        <v>2605</v>
      </c>
      <c r="H1378" s="473" t="s">
        <v>1955</v>
      </c>
      <c r="I1378" s="473" t="s">
        <v>1625</v>
      </c>
      <c r="J1378" s="473">
        <v>1</v>
      </c>
      <c r="K1378" s="472" t="s">
        <v>2629</v>
      </c>
    </row>
    <row r="1379" spans="1:11" ht="15.75">
      <c r="A1379" s="454">
        <v>44450</v>
      </c>
      <c r="B1379" s="455" t="s">
        <v>1952</v>
      </c>
      <c r="C1379" s="459" t="s">
        <v>3226</v>
      </c>
      <c r="D1379" s="455" t="s">
        <v>2167</v>
      </c>
      <c r="E1379" s="461">
        <v>270000000</v>
      </c>
      <c r="F1379" s="654" t="s">
        <v>2292</v>
      </c>
      <c r="G1379" s="464" t="s">
        <v>2593</v>
      </c>
      <c r="H1379" s="655" t="s">
        <v>1955</v>
      </c>
      <c r="I1379" s="460" t="s">
        <v>1625</v>
      </c>
      <c r="J1379" s="460">
        <v>1</v>
      </c>
      <c r="K1379" s="455" t="s">
        <v>2629</v>
      </c>
    </row>
    <row r="1380" spans="1:11" ht="15.75">
      <c r="A1380" s="611" t="s">
        <v>3209</v>
      </c>
      <c r="B1380" s="472" t="s">
        <v>2182</v>
      </c>
      <c r="C1380" s="472" t="s">
        <v>2742</v>
      </c>
      <c r="D1380" s="472" t="s">
        <v>2661</v>
      </c>
      <c r="E1380" s="475">
        <v>170000000</v>
      </c>
      <c r="F1380" s="472" t="s">
        <v>1968</v>
      </c>
      <c r="G1380" s="472" t="s">
        <v>2741</v>
      </c>
      <c r="H1380" s="473" t="s">
        <v>1955</v>
      </c>
      <c r="I1380" s="473" t="s">
        <v>1625</v>
      </c>
      <c r="J1380" s="473">
        <v>1</v>
      </c>
      <c r="K1380" s="472" t="s">
        <v>2629</v>
      </c>
    </row>
    <row r="1381" spans="1:11" ht="15.75">
      <c r="A1381" s="579" t="s">
        <v>3181</v>
      </c>
      <c r="B1381" s="381" t="s">
        <v>1952</v>
      </c>
      <c r="C1381" s="381" t="s">
        <v>3227</v>
      </c>
      <c r="D1381" s="381" t="s">
        <v>2347</v>
      </c>
      <c r="E1381" s="451">
        <v>1350000</v>
      </c>
      <c r="F1381" s="381" t="s">
        <v>2292</v>
      </c>
      <c r="G1381" s="381" t="s">
        <v>2605</v>
      </c>
      <c r="H1381" s="383" t="s">
        <v>1625</v>
      </c>
      <c r="I1381" s="383" t="s">
        <v>1625</v>
      </c>
      <c r="J1381" s="383">
        <v>1</v>
      </c>
      <c r="K1381" s="381" t="s">
        <v>100</v>
      </c>
    </row>
    <row r="1382" spans="1:11" ht="15.75">
      <c r="A1382" s="579" t="s">
        <v>3184</v>
      </c>
      <c r="B1382" s="381" t="s">
        <v>1952</v>
      </c>
      <c r="C1382" s="381" t="s">
        <v>630</v>
      </c>
      <c r="D1382" s="381" t="s">
        <v>2347</v>
      </c>
      <c r="E1382" s="451">
        <v>1400000</v>
      </c>
      <c r="F1382" s="381" t="s">
        <v>2306</v>
      </c>
      <c r="G1382" s="381" t="s">
        <v>2593</v>
      </c>
      <c r="H1382" s="383" t="s">
        <v>1625</v>
      </c>
      <c r="I1382" s="383" t="s">
        <v>1625</v>
      </c>
      <c r="J1382" s="383">
        <v>1</v>
      </c>
      <c r="K1382" s="381" t="s">
        <v>100</v>
      </c>
    </row>
    <row r="1383" spans="1:11" ht="15.75">
      <c r="A1383" s="579" t="s">
        <v>3174</v>
      </c>
      <c r="B1383" s="381" t="s">
        <v>2182</v>
      </c>
      <c r="C1383" s="381" t="s">
        <v>647</v>
      </c>
      <c r="D1383" s="381" t="s">
        <v>2347</v>
      </c>
      <c r="E1383" s="451">
        <v>1400000</v>
      </c>
      <c r="F1383" s="381" t="s">
        <v>2292</v>
      </c>
      <c r="G1383" s="381" t="s">
        <v>2605</v>
      </c>
      <c r="H1383" s="383" t="s">
        <v>1625</v>
      </c>
      <c r="I1383" s="383" t="s">
        <v>1625</v>
      </c>
      <c r="J1383" s="383">
        <v>1</v>
      </c>
      <c r="K1383" s="381" t="s">
        <v>1245</v>
      </c>
    </row>
    <row r="1384" spans="1:11" ht="15.75">
      <c r="A1384" s="579" t="s">
        <v>3187</v>
      </c>
      <c r="B1384" s="381" t="s">
        <v>2182</v>
      </c>
      <c r="C1384" s="381" t="s">
        <v>3228</v>
      </c>
      <c r="D1384" s="381" t="s">
        <v>2576</v>
      </c>
      <c r="E1384" s="451">
        <v>700000</v>
      </c>
      <c r="F1384" s="381" t="s">
        <v>2292</v>
      </c>
      <c r="G1384" s="381" t="s">
        <v>30</v>
      </c>
      <c r="H1384" s="383" t="s">
        <v>1625</v>
      </c>
      <c r="I1384" s="383" t="s">
        <v>1625</v>
      </c>
      <c r="J1384" s="383">
        <v>1</v>
      </c>
      <c r="K1384" s="381" t="s">
        <v>1245</v>
      </c>
    </row>
    <row r="1385" spans="1:11" ht="15.75">
      <c r="A1385" s="744">
        <v>44238</v>
      </c>
      <c r="B1385" s="381" t="s">
        <v>2182</v>
      </c>
      <c r="C1385" s="381" t="s">
        <v>1598</v>
      </c>
      <c r="D1385" s="381" t="s">
        <v>2347</v>
      </c>
      <c r="E1385" s="451">
        <v>1400000</v>
      </c>
      <c r="F1385" s="381" t="s">
        <v>2292</v>
      </c>
      <c r="G1385" s="381" t="s">
        <v>2593</v>
      </c>
      <c r="H1385" s="383" t="s">
        <v>1955</v>
      </c>
      <c r="I1385" s="383" t="s">
        <v>1625</v>
      </c>
      <c r="J1385" s="383">
        <v>1</v>
      </c>
      <c r="K1385" s="381" t="s">
        <v>1499</v>
      </c>
    </row>
    <row r="1386" spans="1:11" ht="15.75">
      <c r="A1386" s="393">
        <v>44297</v>
      </c>
      <c r="B1386" s="610" t="s">
        <v>1966</v>
      </c>
      <c r="C1386" s="482" t="s">
        <v>3229</v>
      </c>
      <c r="D1386" s="482" t="s">
        <v>75</v>
      </c>
      <c r="E1386" s="483">
        <v>950000</v>
      </c>
      <c r="F1386" s="482" t="s">
        <v>1968</v>
      </c>
      <c r="G1386" s="482" t="s">
        <v>30</v>
      </c>
      <c r="H1386" s="484" t="s">
        <v>1625</v>
      </c>
      <c r="I1386" s="484" t="s">
        <v>1625</v>
      </c>
      <c r="J1386" s="484">
        <v>1</v>
      </c>
      <c r="K1386" s="482" t="s">
        <v>2998</v>
      </c>
    </row>
    <row r="1387" spans="1:11" ht="15.75">
      <c r="A1387" s="412">
        <v>44297</v>
      </c>
      <c r="B1387" s="411" t="s">
        <v>1952</v>
      </c>
      <c r="C1387" s="381" t="s">
        <v>3230</v>
      </c>
      <c r="D1387" s="381" t="s">
        <v>2966</v>
      </c>
      <c r="E1387" s="451">
        <v>1400000</v>
      </c>
      <c r="F1387" s="381" t="s">
        <v>2292</v>
      </c>
      <c r="G1387" s="381" t="s">
        <v>2605</v>
      </c>
      <c r="H1387" s="383" t="s">
        <v>1625</v>
      </c>
      <c r="I1387" s="383" t="s">
        <v>1625</v>
      </c>
      <c r="J1387" s="383">
        <v>1</v>
      </c>
      <c r="K1387" s="381" t="s">
        <v>2998</v>
      </c>
    </row>
    <row r="1388" spans="1:11" ht="15.75">
      <c r="A1388" s="412">
        <v>44358</v>
      </c>
      <c r="B1388" s="411" t="s">
        <v>2182</v>
      </c>
      <c r="C1388" s="381" t="s">
        <v>3231</v>
      </c>
      <c r="D1388" s="381" t="s">
        <v>2669</v>
      </c>
      <c r="E1388" s="451">
        <v>1300000</v>
      </c>
      <c r="F1388" s="381" t="s">
        <v>2292</v>
      </c>
      <c r="G1388" s="381" t="s">
        <v>30</v>
      </c>
      <c r="H1388" s="383" t="s">
        <v>1625</v>
      </c>
      <c r="I1388" s="383" t="s">
        <v>1625</v>
      </c>
      <c r="J1388" s="383">
        <v>1</v>
      </c>
      <c r="K1388" s="381" t="s">
        <v>1499</v>
      </c>
    </row>
    <row r="1389" spans="1:11" ht="15.75">
      <c r="A1389" s="412">
        <v>44358</v>
      </c>
      <c r="B1389" s="411" t="s">
        <v>2182</v>
      </c>
      <c r="C1389" s="381" t="s">
        <v>3232</v>
      </c>
      <c r="D1389" s="381" t="s">
        <v>3189</v>
      </c>
      <c r="E1389" s="451">
        <v>1400000</v>
      </c>
      <c r="F1389" s="381" t="s">
        <v>1968</v>
      </c>
      <c r="G1389" s="385" t="s">
        <v>2741</v>
      </c>
      <c r="H1389" s="387" t="s">
        <v>1955</v>
      </c>
      <c r="I1389" s="383" t="s">
        <v>1625</v>
      </c>
      <c r="J1389" s="383">
        <v>1</v>
      </c>
      <c r="K1389" s="381" t="s">
        <v>1245</v>
      </c>
    </row>
    <row r="1390" spans="1:11" ht="15.75">
      <c r="A1390" s="479">
        <v>44358</v>
      </c>
      <c r="B1390" s="411" t="s">
        <v>2182</v>
      </c>
      <c r="C1390" s="381" t="s">
        <v>3233</v>
      </c>
      <c r="D1390" s="381" t="s">
        <v>2573</v>
      </c>
      <c r="E1390" s="451">
        <v>1300000</v>
      </c>
      <c r="F1390" s="575" t="s">
        <v>2292</v>
      </c>
      <c r="G1390" s="381" t="s">
        <v>2605</v>
      </c>
      <c r="H1390" s="530" t="s">
        <v>1625</v>
      </c>
      <c r="I1390" s="531" t="s">
        <v>1625</v>
      </c>
      <c r="J1390" s="383">
        <v>1</v>
      </c>
      <c r="K1390" s="381" t="s">
        <v>1245</v>
      </c>
    </row>
    <row r="1391" spans="1:11" ht="15.75">
      <c r="A1391" s="479">
        <v>44450</v>
      </c>
      <c r="B1391" s="612" t="s">
        <v>2182</v>
      </c>
      <c r="C1391" s="381" t="s">
        <v>3226</v>
      </c>
      <c r="D1391" s="381" t="s">
        <v>3059</v>
      </c>
      <c r="E1391" s="451">
        <v>1250000</v>
      </c>
      <c r="F1391" s="304" t="s">
        <v>1968</v>
      </c>
      <c r="G1391" s="275" t="s">
        <v>2741</v>
      </c>
      <c r="H1391" s="531" t="s">
        <v>1955</v>
      </c>
      <c r="I1391" s="383" t="s">
        <v>1625</v>
      </c>
      <c r="J1391" s="383">
        <v>1</v>
      </c>
      <c r="K1391" s="381" t="s">
        <v>1245</v>
      </c>
    </row>
    <row r="1392" spans="1:11" ht="15.75">
      <c r="A1392" s="412">
        <v>44511</v>
      </c>
      <c r="B1392" s="411" t="s">
        <v>2182</v>
      </c>
      <c r="C1392" s="381" t="s">
        <v>3234</v>
      </c>
      <c r="D1392" s="381" t="s">
        <v>3235</v>
      </c>
      <c r="E1392" s="451">
        <v>1150000</v>
      </c>
      <c r="F1392" s="381" t="s">
        <v>1968</v>
      </c>
      <c r="G1392" s="381" t="s">
        <v>2741</v>
      </c>
      <c r="H1392" s="383" t="s">
        <v>1625</v>
      </c>
      <c r="I1392" s="383" t="s">
        <v>1625</v>
      </c>
      <c r="J1392" s="383">
        <v>1</v>
      </c>
      <c r="K1392" s="381" t="s">
        <v>2998</v>
      </c>
    </row>
    <row r="1393" spans="1:11" ht="15.75">
      <c r="A1393" s="412" t="s">
        <v>3197</v>
      </c>
      <c r="B1393" s="411" t="s">
        <v>2182</v>
      </c>
      <c r="C1393" s="381" t="s">
        <v>710</v>
      </c>
      <c r="D1393" s="381" t="s">
        <v>2347</v>
      </c>
      <c r="E1393" s="451">
        <v>1400000</v>
      </c>
      <c r="F1393" s="381" t="s">
        <v>2292</v>
      </c>
      <c r="G1393" s="381" t="s">
        <v>30</v>
      </c>
      <c r="H1393" s="383" t="s">
        <v>1625</v>
      </c>
      <c r="I1393" s="383" t="s">
        <v>1625</v>
      </c>
      <c r="J1393" s="383">
        <v>1</v>
      </c>
      <c r="K1393" s="381" t="s">
        <v>1171</v>
      </c>
    </row>
    <row r="1394" spans="1:11" ht="15.75">
      <c r="A1394" s="393" t="s">
        <v>3197</v>
      </c>
      <c r="B1394" s="381" t="s">
        <v>2060</v>
      </c>
      <c r="C1394" s="381" t="s">
        <v>3236</v>
      </c>
      <c r="D1394" s="381" t="s">
        <v>2669</v>
      </c>
      <c r="E1394" s="451">
        <v>2200000</v>
      </c>
      <c r="F1394" s="381" t="s">
        <v>1968</v>
      </c>
      <c r="G1394" s="381" t="s">
        <v>2741</v>
      </c>
      <c r="H1394" s="383" t="s">
        <v>1625</v>
      </c>
      <c r="I1394" s="383" t="s">
        <v>1625</v>
      </c>
      <c r="J1394" s="383">
        <v>1</v>
      </c>
      <c r="K1394" s="381" t="s">
        <v>1171</v>
      </c>
    </row>
    <row r="1395" spans="1:11" ht="15.75">
      <c r="A1395" s="412" t="s">
        <v>3197</v>
      </c>
      <c r="B1395" s="411" t="s">
        <v>2182</v>
      </c>
      <c r="C1395" s="381" t="s">
        <v>3237</v>
      </c>
      <c r="D1395" s="381" t="s">
        <v>2669</v>
      </c>
      <c r="E1395" s="451">
        <v>1100000</v>
      </c>
      <c r="F1395" s="381" t="s">
        <v>2292</v>
      </c>
      <c r="G1395" s="381" t="s">
        <v>30</v>
      </c>
      <c r="H1395" s="383" t="s">
        <v>1625</v>
      </c>
      <c r="I1395" s="383" t="s">
        <v>1625</v>
      </c>
      <c r="J1395" s="383">
        <v>1</v>
      </c>
      <c r="K1395" s="381" t="s">
        <v>1171</v>
      </c>
    </row>
    <row r="1396" spans="1:11" ht="15.75">
      <c r="A1396" s="384" t="s">
        <v>3221</v>
      </c>
      <c r="B1396" s="385" t="s">
        <v>2182</v>
      </c>
      <c r="C1396" s="385" t="s">
        <v>3238</v>
      </c>
      <c r="D1396" s="385" t="s">
        <v>2394</v>
      </c>
      <c r="E1396" s="462">
        <v>1100000</v>
      </c>
      <c r="F1396" s="385" t="s">
        <v>1968</v>
      </c>
      <c r="G1396" s="385" t="s">
        <v>2605</v>
      </c>
      <c r="H1396" s="387" t="s">
        <v>1625</v>
      </c>
      <c r="I1396" s="387" t="s">
        <v>1625</v>
      </c>
      <c r="J1396" s="387">
        <v>1</v>
      </c>
      <c r="K1396" s="385" t="s">
        <v>1171</v>
      </c>
    </row>
    <row r="1397" spans="1:11" ht="15.75">
      <c r="A1397" s="393" t="s">
        <v>3239</v>
      </c>
      <c r="B1397" s="381" t="s">
        <v>2182</v>
      </c>
      <c r="C1397" s="381" t="s">
        <v>3240</v>
      </c>
      <c r="D1397" s="381" t="s">
        <v>2669</v>
      </c>
      <c r="E1397" s="451">
        <v>1400000</v>
      </c>
      <c r="F1397" s="381" t="s">
        <v>2292</v>
      </c>
      <c r="G1397" s="381" t="s">
        <v>2605</v>
      </c>
      <c r="H1397" s="383" t="s">
        <v>1625</v>
      </c>
      <c r="I1397" s="383" t="s">
        <v>1625</v>
      </c>
      <c r="J1397" s="383">
        <v>1</v>
      </c>
      <c r="K1397" s="381" t="s">
        <v>1171</v>
      </c>
    </row>
    <row r="1398" spans="1:11" ht="15.75">
      <c r="A1398" s="393" t="s">
        <v>3209</v>
      </c>
      <c r="B1398" s="381" t="s">
        <v>2182</v>
      </c>
      <c r="C1398" s="381" t="s">
        <v>3241</v>
      </c>
      <c r="D1398" s="381" t="s">
        <v>3059</v>
      </c>
      <c r="E1398" s="451">
        <v>1400000</v>
      </c>
      <c r="F1398" s="381" t="s">
        <v>2292</v>
      </c>
      <c r="G1398" s="381" t="s">
        <v>2741</v>
      </c>
      <c r="H1398" s="383" t="s">
        <v>1625</v>
      </c>
      <c r="I1398" s="383" t="s">
        <v>1625</v>
      </c>
      <c r="J1398" s="383">
        <v>1</v>
      </c>
      <c r="K1398" s="381" t="s">
        <v>1171</v>
      </c>
    </row>
    <row r="1399" spans="1:11" ht="15.75">
      <c r="A1399" s="393" t="s">
        <v>3209</v>
      </c>
      <c r="B1399" s="381" t="s">
        <v>2182</v>
      </c>
      <c r="C1399" s="381" t="s">
        <v>765</v>
      </c>
      <c r="D1399" s="381" t="s">
        <v>2573</v>
      </c>
      <c r="E1399" s="451">
        <v>1400000</v>
      </c>
      <c r="F1399" s="381" t="s">
        <v>2292</v>
      </c>
      <c r="G1399" s="381" t="s">
        <v>30</v>
      </c>
      <c r="H1399" s="383" t="s">
        <v>1625</v>
      </c>
      <c r="I1399" s="383" t="s">
        <v>1625</v>
      </c>
      <c r="J1399" s="383">
        <v>1</v>
      </c>
      <c r="K1399" s="381" t="s">
        <v>1499</v>
      </c>
    </row>
    <row r="1400" spans="1:11" ht="15.75">
      <c r="A1400" s="393" t="s">
        <v>3177</v>
      </c>
      <c r="B1400" s="381" t="s">
        <v>2182</v>
      </c>
      <c r="C1400" s="381" t="s">
        <v>707</v>
      </c>
      <c r="D1400" s="381" t="s">
        <v>2347</v>
      </c>
      <c r="E1400" s="451">
        <v>1400000</v>
      </c>
      <c r="F1400" s="381" t="s">
        <v>2292</v>
      </c>
      <c r="G1400" s="381" t="s">
        <v>30</v>
      </c>
      <c r="H1400" s="383" t="s">
        <v>1625</v>
      </c>
      <c r="I1400" s="383" t="s">
        <v>1625</v>
      </c>
      <c r="J1400" s="383">
        <v>1</v>
      </c>
      <c r="K1400" s="381" t="s">
        <v>1171</v>
      </c>
    </row>
    <row r="1401" spans="1:11" ht="15.75">
      <c r="A1401" s="928" t="s">
        <v>3177</v>
      </c>
      <c r="B1401" s="420" t="s">
        <v>2060</v>
      </c>
      <c r="C1401" s="743" t="s">
        <v>3242</v>
      </c>
      <c r="D1401" s="633" t="s">
        <v>75</v>
      </c>
      <c r="E1401" s="644">
        <v>1850000</v>
      </c>
      <c r="F1401" s="633" t="s">
        <v>1968</v>
      </c>
      <c r="G1401" s="633" t="s">
        <v>3150</v>
      </c>
      <c r="H1401" s="635" t="s">
        <v>1625</v>
      </c>
      <c r="I1401" s="635" t="s">
        <v>1625</v>
      </c>
      <c r="J1401" s="387">
        <v>1</v>
      </c>
      <c r="K1401" s="385" t="s">
        <v>1171</v>
      </c>
    </row>
    <row r="1402" spans="1:11" ht="15.75">
      <c r="A1402" s="928" t="s">
        <v>3177</v>
      </c>
      <c r="B1402" s="420" t="s">
        <v>2060</v>
      </c>
      <c r="C1402" s="743" t="s">
        <v>3243</v>
      </c>
      <c r="D1402" s="633" t="s">
        <v>75</v>
      </c>
      <c r="E1402" s="644">
        <v>1850000</v>
      </c>
      <c r="F1402" s="633" t="s">
        <v>1968</v>
      </c>
      <c r="G1402" s="633" t="s">
        <v>3150</v>
      </c>
      <c r="H1402" s="635" t="s">
        <v>1625</v>
      </c>
      <c r="I1402" s="635" t="s">
        <v>1625</v>
      </c>
      <c r="J1402" s="387">
        <v>1</v>
      </c>
      <c r="K1402" s="385" t="s">
        <v>2998</v>
      </c>
    </row>
    <row r="1403" spans="1:11" ht="15.75">
      <c r="A1403" s="928" t="s">
        <v>3244</v>
      </c>
      <c r="B1403" s="420" t="s">
        <v>2060</v>
      </c>
      <c r="C1403" s="743" t="s">
        <v>3245</v>
      </c>
      <c r="D1403" s="633" t="s">
        <v>3246</v>
      </c>
      <c r="E1403" s="644">
        <v>1000000</v>
      </c>
      <c r="F1403" s="633" t="s">
        <v>2292</v>
      </c>
      <c r="G1403" s="633" t="s">
        <v>2605</v>
      </c>
      <c r="H1403" s="635" t="s">
        <v>1625</v>
      </c>
      <c r="I1403" s="635" t="s">
        <v>1625</v>
      </c>
      <c r="J1403" s="387">
        <v>1</v>
      </c>
      <c r="K1403" s="385" t="s">
        <v>1171</v>
      </c>
    </row>
    <row r="1404" spans="1:11" ht="15.75">
      <c r="A1404" s="928" t="s">
        <v>3244</v>
      </c>
      <c r="B1404" s="420" t="s">
        <v>2182</v>
      </c>
      <c r="C1404" s="743" t="s">
        <v>685</v>
      </c>
      <c r="D1404" s="633" t="s">
        <v>2253</v>
      </c>
      <c r="E1404" s="644">
        <v>800000</v>
      </c>
      <c r="F1404" s="633" t="s">
        <v>1968</v>
      </c>
      <c r="G1404" s="633" t="s">
        <v>30</v>
      </c>
      <c r="H1404" s="635" t="s">
        <v>1625</v>
      </c>
      <c r="I1404" s="635" t="s">
        <v>1625</v>
      </c>
      <c r="J1404" s="387">
        <v>1</v>
      </c>
      <c r="K1404" s="385" t="s">
        <v>1245</v>
      </c>
    </row>
    <row r="1405" spans="1:11" ht="15.75">
      <c r="A1405" s="393" t="s">
        <v>3244</v>
      </c>
      <c r="B1405" s="381" t="s">
        <v>2182</v>
      </c>
      <c r="C1405" s="381" t="s">
        <v>650</v>
      </c>
      <c r="D1405" s="381" t="s">
        <v>2945</v>
      </c>
      <c r="E1405" s="451">
        <v>1000000</v>
      </c>
      <c r="F1405" s="381" t="s">
        <v>1968</v>
      </c>
      <c r="G1405" s="381" t="s">
        <v>30</v>
      </c>
      <c r="H1405" s="383" t="s">
        <v>1625</v>
      </c>
      <c r="I1405" s="383" t="s">
        <v>1625</v>
      </c>
      <c r="J1405" s="383">
        <v>1</v>
      </c>
      <c r="K1405" s="381" t="s">
        <v>2998</v>
      </c>
    </row>
    <row r="1406" spans="1:11" ht="15.75">
      <c r="A1406" s="456"/>
      <c r="B1406" s="457"/>
      <c r="C1406" s="457"/>
      <c r="D1406" s="457"/>
      <c r="E1406" s="476"/>
      <c r="F1406" s="457"/>
      <c r="G1406" s="457"/>
      <c r="H1406" s="153"/>
      <c r="I1406" s="153"/>
      <c r="J1406" s="493">
        <f>SUM(J1378:J1405)</f>
        <v>28</v>
      </c>
      <c r="K1406" s="457"/>
    </row>
    <row r="1407" spans="1:11" ht="15.75">
      <c r="A1407" s="394"/>
      <c r="B1407" s="395"/>
      <c r="C1407" s="395"/>
      <c r="D1407" s="395"/>
      <c r="E1407" s="396"/>
      <c r="F1407" s="397"/>
      <c r="G1407" s="397"/>
      <c r="H1407" s="395"/>
      <c r="I1407" s="395"/>
      <c r="J1407" s="395"/>
      <c r="K1407" s="395"/>
    </row>
    <row r="1408" spans="1:11" ht="15.75">
      <c r="A1408" s="394"/>
      <c r="B1408" s="395"/>
      <c r="C1408" s="395"/>
      <c r="D1408" s="395"/>
      <c r="E1408" s="396"/>
      <c r="F1408" s="397"/>
      <c r="G1408" s="397"/>
      <c r="H1408" s="395"/>
      <c r="I1408" s="395"/>
      <c r="J1408" s="395"/>
      <c r="K1408" s="395"/>
    </row>
    <row r="1410" spans="1:11" ht="26.25">
      <c r="A1410" s="1668" t="s">
        <v>3247</v>
      </c>
      <c r="B1410" s="1669"/>
      <c r="C1410" s="1669"/>
      <c r="D1410" s="1669"/>
      <c r="E1410" s="1669"/>
      <c r="F1410" s="1669"/>
      <c r="G1410" s="1669"/>
      <c r="H1410" s="1669"/>
      <c r="I1410" s="1669"/>
      <c r="J1410" s="1669"/>
      <c r="K1410" s="1670"/>
    </row>
    <row r="1411" spans="1:11" ht="31.5">
      <c r="A1411" s="375" t="s">
        <v>1941</v>
      </c>
      <c r="B1411" s="378" t="s">
        <v>1942</v>
      </c>
      <c r="C1411" s="378" t="s">
        <v>1943</v>
      </c>
      <c r="D1411" s="378" t="s">
        <v>1944</v>
      </c>
      <c r="E1411" s="452" t="s">
        <v>1945</v>
      </c>
      <c r="F1411" s="378" t="s">
        <v>1946</v>
      </c>
      <c r="G1411" s="378" t="s">
        <v>2590</v>
      </c>
      <c r="H1411" s="378" t="s">
        <v>1947</v>
      </c>
      <c r="I1411" s="378" t="s">
        <v>1948</v>
      </c>
      <c r="J1411" s="453" t="s">
        <v>1949</v>
      </c>
      <c r="K1411" s="378" t="s">
        <v>1950</v>
      </c>
    </row>
    <row r="1412" spans="1:11" ht="15.75">
      <c r="A1412" s="922" t="s">
        <v>3248</v>
      </c>
      <c r="B1412" s="618" t="s">
        <v>2182</v>
      </c>
      <c r="C1412" s="472" t="s">
        <v>3249</v>
      </c>
      <c r="D1412" s="472" t="s">
        <v>2711</v>
      </c>
      <c r="E1412" s="475">
        <v>350000000</v>
      </c>
      <c r="F1412" s="472" t="s">
        <v>2292</v>
      </c>
      <c r="G1412" s="472" t="s">
        <v>2605</v>
      </c>
      <c r="H1412" s="473" t="s">
        <v>1625</v>
      </c>
      <c r="I1412" s="473" t="s">
        <v>1625</v>
      </c>
      <c r="J1412" s="473">
        <v>1</v>
      </c>
      <c r="K1412" s="472" t="s">
        <v>2629</v>
      </c>
    </row>
    <row r="1413" spans="1:11" ht="15.75">
      <c r="A1413" s="922">
        <v>44327</v>
      </c>
      <c r="B1413" s="618" t="s">
        <v>2182</v>
      </c>
      <c r="C1413" s="578" t="s">
        <v>3250</v>
      </c>
      <c r="D1413" s="472" t="s">
        <v>3059</v>
      </c>
      <c r="E1413" s="475">
        <v>385000000</v>
      </c>
      <c r="F1413" s="472" t="s">
        <v>2292</v>
      </c>
      <c r="G1413" s="472" t="s">
        <v>2838</v>
      </c>
      <c r="H1413" s="473" t="s">
        <v>1625</v>
      </c>
      <c r="I1413" s="473" t="s">
        <v>1625</v>
      </c>
      <c r="J1413" s="473">
        <v>1</v>
      </c>
      <c r="K1413" s="472" t="s">
        <v>2629</v>
      </c>
    </row>
    <row r="1414" spans="1:11" ht="15.75">
      <c r="A1414" s="932">
        <v>44511</v>
      </c>
      <c r="B1414" s="821" t="s">
        <v>2182</v>
      </c>
      <c r="C1414" s="820" t="s">
        <v>1637</v>
      </c>
      <c r="D1414" s="472" t="s">
        <v>75</v>
      </c>
      <c r="E1414" s="475">
        <v>255000000</v>
      </c>
      <c r="F1414" s="472" t="s">
        <v>2292</v>
      </c>
      <c r="G1414" s="472" t="s">
        <v>2741</v>
      </c>
      <c r="H1414" s="473" t="s">
        <v>1955</v>
      </c>
      <c r="I1414" s="473" t="s">
        <v>1625</v>
      </c>
      <c r="J1414" s="473">
        <v>1</v>
      </c>
      <c r="K1414" s="472" t="s">
        <v>2629</v>
      </c>
    </row>
    <row r="1415" spans="1:11" ht="15.75">
      <c r="A1415" s="927" t="s">
        <v>3197</v>
      </c>
      <c r="B1415" s="639" t="s">
        <v>2182</v>
      </c>
      <c r="C1415" s="472" t="s">
        <v>3251</v>
      </c>
      <c r="D1415" s="472" t="s">
        <v>75</v>
      </c>
      <c r="E1415" s="475">
        <v>240000000</v>
      </c>
      <c r="F1415" s="472" t="s">
        <v>1968</v>
      </c>
      <c r="G1415" s="472" t="s">
        <v>30</v>
      </c>
      <c r="H1415" s="473" t="s">
        <v>1955</v>
      </c>
      <c r="I1415" s="473" t="s">
        <v>1625</v>
      </c>
      <c r="J1415" s="473">
        <v>1</v>
      </c>
      <c r="K1415" s="472" t="s">
        <v>2629</v>
      </c>
    </row>
    <row r="1416" spans="1:11" ht="15.75">
      <c r="A1416" s="384" t="s">
        <v>3252</v>
      </c>
      <c r="B1416" s="577" t="s">
        <v>1952</v>
      </c>
      <c r="C1416" s="385" t="s">
        <v>3253</v>
      </c>
      <c r="D1416" s="385" t="s">
        <v>2711</v>
      </c>
      <c r="E1416" s="462">
        <v>1200000</v>
      </c>
      <c r="F1416" s="385" t="s">
        <v>2292</v>
      </c>
      <c r="G1416" s="385" t="s">
        <v>2593</v>
      </c>
      <c r="H1416" s="387" t="s">
        <v>1625</v>
      </c>
      <c r="I1416" s="387" t="s">
        <v>1625</v>
      </c>
      <c r="J1416" s="387">
        <v>1</v>
      </c>
      <c r="K1416" s="385" t="s">
        <v>2998</v>
      </c>
    </row>
    <row r="1417" spans="1:11" ht="15.75">
      <c r="A1417" s="384" t="s">
        <v>3252</v>
      </c>
      <c r="B1417" s="577" t="s">
        <v>1952</v>
      </c>
      <c r="C1417" s="426" t="s">
        <v>662</v>
      </c>
      <c r="D1417" s="385" t="s">
        <v>2711</v>
      </c>
      <c r="E1417" s="462">
        <v>1100000</v>
      </c>
      <c r="F1417" s="385" t="s">
        <v>2292</v>
      </c>
      <c r="G1417" s="385" t="s">
        <v>2605</v>
      </c>
      <c r="H1417" s="387" t="s">
        <v>1955</v>
      </c>
      <c r="I1417" s="387" t="s">
        <v>1625</v>
      </c>
      <c r="J1417" s="387">
        <v>1</v>
      </c>
      <c r="K1417" s="385" t="s">
        <v>100</v>
      </c>
    </row>
    <row r="1418" spans="1:11" ht="15.75">
      <c r="A1418" s="384" t="s">
        <v>3174</v>
      </c>
      <c r="B1418" s="577" t="s">
        <v>2182</v>
      </c>
      <c r="C1418" s="426" t="s">
        <v>3249</v>
      </c>
      <c r="D1418" s="385" t="s">
        <v>2711</v>
      </c>
      <c r="E1418" s="462">
        <v>1500000</v>
      </c>
      <c r="F1418" s="385" t="s">
        <v>2292</v>
      </c>
      <c r="G1418" s="385" t="s">
        <v>2605</v>
      </c>
      <c r="H1418" s="387" t="s">
        <v>1625</v>
      </c>
      <c r="I1418" s="387" t="s">
        <v>1625</v>
      </c>
      <c r="J1418" s="387">
        <v>1</v>
      </c>
      <c r="K1418" s="385" t="s">
        <v>2998</v>
      </c>
    </row>
    <row r="1419" spans="1:11" ht="15.75">
      <c r="A1419" s="393" t="s">
        <v>3187</v>
      </c>
      <c r="B1419" s="381" t="s">
        <v>2182</v>
      </c>
      <c r="C1419" s="411" t="s">
        <v>712</v>
      </c>
      <c r="D1419" s="381" t="s">
        <v>2711</v>
      </c>
      <c r="E1419" s="451">
        <v>1350000</v>
      </c>
      <c r="F1419" s="381" t="s">
        <v>1968</v>
      </c>
      <c r="G1419" s="381" t="s">
        <v>30</v>
      </c>
      <c r="H1419" s="383" t="s">
        <v>1625</v>
      </c>
      <c r="I1419" s="383" t="s">
        <v>1625</v>
      </c>
      <c r="J1419" s="383">
        <v>1</v>
      </c>
      <c r="K1419" s="381" t="s">
        <v>1245</v>
      </c>
    </row>
    <row r="1420" spans="1:11" ht="15.75">
      <c r="A1420" s="925">
        <v>44238</v>
      </c>
      <c r="B1420" s="610" t="s">
        <v>1966</v>
      </c>
      <c r="C1420" s="381" t="s">
        <v>3254</v>
      </c>
      <c r="D1420" s="381" t="s">
        <v>3255</v>
      </c>
      <c r="E1420" s="451">
        <v>1450000</v>
      </c>
      <c r="F1420" s="381" t="s">
        <v>1968</v>
      </c>
      <c r="G1420" s="381" t="s">
        <v>2593</v>
      </c>
      <c r="H1420" s="383" t="s">
        <v>1955</v>
      </c>
      <c r="I1420" s="383" t="s">
        <v>1625</v>
      </c>
      <c r="J1420" s="383">
        <v>1</v>
      </c>
      <c r="K1420" s="381" t="s">
        <v>1245</v>
      </c>
    </row>
    <row r="1421" spans="1:11" ht="15.75">
      <c r="A1421" s="412">
        <v>44266</v>
      </c>
      <c r="B1421" s="381" t="s">
        <v>2182</v>
      </c>
      <c r="C1421" s="426" t="s">
        <v>3256</v>
      </c>
      <c r="D1421" s="385" t="s">
        <v>2711</v>
      </c>
      <c r="E1421" s="462">
        <v>1500000</v>
      </c>
      <c r="F1421" s="385" t="s">
        <v>2292</v>
      </c>
      <c r="G1421" s="385" t="s">
        <v>2605</v>
      </c>
      <c r="H1421" s="387" t="s">
        <v>1955</v>
      </c>
      <c r="I1421" s="387" t="s">
        <v>1625</v>
      </c>
      <c r="J1421" s="387">
        <v>1</v>
      </c>
      <c r="K1421" s="385" t="s">
        <v>2998</v>
      </c>
    </row>
    <row r="1422" spans="1:11" ht="15.75">
      <c r="A1422" s="412">
        <v>44266</v>
      </c>
      <c r="B1422" s="381" t="s">
        <v>1952</v>
      </c>
      <c r="C1422" s="426" t="s">
        <v>3257</v>
      </c>
      <c r="D1422" s="385" t="s">
        <v>75</v>
      </c>
      <c r="E1422" s="462">
        <v>1300000</v>
      </c>
      <c r="F1422" s="385" t="s">
        <v>2292</v>
      </c>
      <c r="G1422" s="385" t="s">
        <v>2605</v>
      </c>
      <c r="H1422" s="387" t="s">
        <v>1625</v>
      </c>
      <c r="I1422" s="387" t="s">
        <v>1625</v>
      </c>
      <c r="J1422" s="387">
        <v>1</v>
      </c>
      <c r="K1422" s="385" t="s">
        <v>1245</v>
      </c>
    </row>
    <row r="1423" spans="1:11" ht="15.75">
      <c r="A1423" s="412">
        <v>44327</v>
      </c>
      <c r="B1423" s="381" t="s">
        <v>2182</v>
      </c>
      <c r="C1423" s="426" t="s">
        <v>3258</v>
      </c>
      <c r="D1423" s="385" t="s">
        <v>3059</v>
      </c>
      <c r="E1423" s="462">
        <v>1650000</v>
      </c>
      <c r="F1423" s="385" t="s">
        <v>2290</v>
      </c>
      <c r="G1423" s="385" t="s">
        <v>30</v>
      </c>
      <c r="H1423" s="387" t="s">
        <v>1625</v>
      </c>
      <c r="I1423" s="387" t="s">
        <v>1625</v>
      </c>
      <c r="J1423" s="387">
        <v>1</v>
      </c>
      <c r="K1423" s="385" t="s">
        <v>1245</v>
      </c>
    </row>
    <row r="1424" spans="1:11" ht="15.75">
      <c r="A1424" s="928" t="s">
        <v>3259</v>
      </c>
      <c r="B1424" s="420" t="s">
        <v>2182</v>
      </c>
      <c r="C1424" s="743" t="s">
        <v>3260</v>
      </c>
      <c r="D1424" s="633" t="s">
        <v>2347</v>
      </c>
      <c r="E1424" s="644">
        <v>1400000</v>
      </c>
      <c r="F1424" s="633" t="s">
        <v>2292</v>
      </c>
      <c r="G1424" s="633" t="s">
        <v>2605</v>
      </c>
      <c r="H1424" s="635" t="s">
        <v>1625</v>
      </c>
      <c r="I1424" s="635" t="s">
        <v>1625</v>
      </c>
      <c r="J1424" s="387">
        <v>1</v>
      </c>
      <c r="K1424" s="385" t="s">
        <v>2998</v>
      </c>
    </row>
    <row r="1425" spans="1:11" ht="15.75">
      <c r="A1425" s="928">
        <v>44419</v>
      </c>
      <c r="B1425" s="420" t="s">
        <v>2182</v>
      </c>
      <c r="C1425" s="743" t="s">
        <v>3261</v>
      </c>
      <c r="D1425" s="633" t="s">
        <v>3262</v>
      </c>
      <c r="E1425" s="644">
        <v>2700000</v>
      </c>
      <c r="F1425" s="633" t="s">
        <v>1968</v>
      </c>
      <c r="G1425" s="633" t="s">
        <v>2593</v>
      </c>
      <c r="H1425" s="635" t="s">
        <v>1955</v>
      </c>
      <c r="I1425" s="635" t="s">
        <v>1625</v>
      </c>
      <c r="J1425" s="387">
        <v>1</v>
      </c>
      <c r="K1425" s="385" t="s">
        <v>2998</v>
      </c>
    </row>
    <row r="1426" spans="1:11" ht="15.75">
      <c r="A1426" s="928">
        <v>44480</v>
      </c>
      <c r="B1426" s="420" t="s">
        <v>2182</v>
      </c>
      <c r="C1426" s="743" t="s">
        <v>3263</v>
      </c>
      <c r="D1426" s="633" t="s">
        <v>75</v>
      </c>
      <c r="E1426" s="644">
        <v>1400000</v>
      </c>
      <c r="F1426" s="633" t="s">
        <v>2292</v>
      </c>
      <c r="G1426" s="633" t="s">
        <v>2605</v>
      </c>
      <c r="H1426" s="635" t="s">
        <v>1625</v>
      </c>
      <c r="I1426" s="635" t="s">
        <v>1625</v>
      </c>
      <c r="J1426" s="387">
        <v>1</v>
      </c>
      <c r="K1426" s="385" t="s">
        <v>1245</v>
      </c>
    </row>
    <row r="1427" spans="1:11" ht="15.75">
      <c r="A1427" s="928">
        <v>44480</v>
      </c>
      <c r="B1427" s="420" t="s">
        <v>2182</v>
      </c>
      <c r="C1427" s="743" t="s">
        <v>1637</v>
      </c>
      <c r="D1427" s="633" t="s">
        <v>75</v>
      </c>
      <c r="E1427" s="644">
        <v>1400000</v>
      </c>
      <c r="F1427" s="633" t="s">
        <v>2292</v>
      </c>
      <c r="G1427" s="633" t="s">
        <v>2593</v>
      </c>
      <c r="H1427" s="635" t="s">
        <v>1955</v>
      </c>
      <c r="I1427" s="635" t="s">
        <v>1625</v>
      </c>
      <c r="J1427" s="387">
        <v>1</v>
      </c>
      <c r="K1427" s="385" t="s">
        <v>2998</v>
      </c>
    </row>
    <row r="1428" spans="1:11" ht="15.75">
      <c r="A1428" s="412">
        <v>44480</v>
      </c>
      <c r="B1428" s="411" t="s">
        <v>2182</v>
      </c>
      <c r="C1428" s="381" t="s">
        <v>3264</v>
      </c>
      <c r="D1428" s="381" t="s">
        <v>2711</v>
      </c>
      <c r="E1428" s="451">
        <v>1500000</v>
      </c>
      <c r="F1428" s="381" t="s">
        <v>2292</v>
      </c>
      <c r="G1428" s="381" t="s">
        <v>2741</v>
      </c>
      <c r="H1428" s="383" t="s">
        <v>1955</v>
      </c>
      <c r="I1428" s="383" t="s">
        <v>1625</v>
      </c>
      <c r="J1428" s="383">
        <v>1</v>
      </c>
      <c r="K1428" s="381" t="s">
        <v>1245</v>
      </c>
    </row>
    <row r="1429" spans="1:11" ht="15.75">
      <c r="A1429" s="928">
        <v>44541</v>
      </c>
      <c r="B1429" s="420" t="s">
        <v>2182</v>
      </c>
      <c r="C1429" s="743" t="s">
        <v>3251</v>
      </c>
      <c r="D1429" s="633" t="s">
        <v>75</v>
      </c>
      <c r="E1429" s="644">
        <v>1200000</v>
      </c>
      <c r="F1429" s="633" t="s">
        <v>1968</v>
      </c>
      <c r="G1429" s="633" t="s">
        <v>30</v>
      </c>
      <c r="H1429" s="635" t="s">
        <v>1955</v>
      </c>
      <c r="I1429" s="635" t="s">
        <v>1625</v>
      </c>
      <c r="J1429" s="387">
        <v>1</v>
      </c>
      <c r="K1429" s="385" t="s">
        <v>1245</v>
      </c>
    </row>
    <row r="1430" spans="1:11" ht="15.75">
      <c r="A1430" s="928" t="s">
        <v>3265</v>
      </c>
      <c r="B1430" s="420" t="s">
        <v>2182</v>
      </c>
      <c r="C1430" s="743" t="s">
        <v>3266</v>
      </c>
      <c r="D1430" s="633" t="s">
        <v>3267</v>
      </c>
      <c r="E1430" s="644">
        <v>1350000</v>
      </c>
      <c r="F1430" s="633" t="s">
        <v>1968</v>
      </c>
      <c r="G1430" s="633" t="s">
        <v>2741</v>
      </c>
      <c r="H1430" s="635" t="s">
        <v>1955</v>
      </c>
      <c r="I1430" s="635" t="s">
        <v>1625</v>
      </c>
      <c r="J1430" s="387">
        <v>1</v>
      </c>
      <c r="K1430" s="385" t="s">
        <v>1245</v>
      </c>
    </row>
    <row r="1431" spans="1:11" ht="15.75">
      <c r="A1431" s="928" t="s">
        <v>3197</v>
      </c>
      <c r="B1431" s="420" t="s">
        <v>2182</v>
      </c>
      <c r="C1431" s="743" t="s">
        <v>3268</v>
      </c>
      <c r="D1431" s="633" t="s">
        <v>2711</v>
      </c>
      <c r="E1431" s="644">
        <v>1300000</v>
      </c>
      <c r="F1431" s="633" t="s">
        <v>2292</v>
      </c>
      <c r="G1431" s="633" t="s">
        <v>2605</v>
      </c>
      <c r="H1431" s="635" t="s">
        <v>1625</v>
      </c>
      <c r="I1431" s="635" t="s">
        <v>1625</v>
      </c>
      <c r="J1431" s="387">
        <v>1</v>
      </c>
      <c r="K1431" s="385" t="s">
        <v>2998</v>
      </c>
    </row>
    <row r="1432" spans="1:11" ht="15.75">
      <c r="A1432" s="928" t="s">
        <v>3202</v>
      </c>
      <c r="B1432" s="420" t="s">
        <v>1966</v>
      </c>
      <c r="C1432" s="743" t="s">
        <v>3269</v>
      </c>
      <c r="D1432" s="633" t="s">
        <v>75</v>
      </c>
      <c r="E1432" s="644">
        <v>2500000</v>
      </c>
      <c r="F1432" s="633" t="s">
        <v>2292</v>
      </c>
      <c r="G1432" s="633" t="s">
        <v>2605</v>
      </c>
      <c r="H1432" s="635" t="s">
        <v>1625</v>
      </c>
      <c r="I1432" s="635" t="s">
        <v>1625</v>
      </c>
      <c r="J1432" s="387">
        <v>1</v>
      </c>
      <c r="K1432" s="385" t="s">
        <v>1171</v>
      </c>
    </row>
    <row r="1433" spans="1:11" ht="15.75">
      <c r="A1433" s="928" t="s">
        <v>3202</v>
      </c>
      <c r="B1433" s="420" t="s">
        <v>2182</v>
      </c>
      <c r="C1433" s="743" t="s">
        <v>3270</v>
      </c>
      <c r="D1433" s="633" t="s">
        <v>2347</v>
      </c>
      <c r="E1433" s="644">
        <v>1400000</v>
      </c>
      <c r="F1433" s="633" t="s">
        <v>2292</v>
      </c>
      <c r="G1433" s="633" t="s">
        <v>2605</v>
      </c>
      <c r="H1433" s="635" t="s">
        <v>1625</v>
      </c>
      <c r="I1433" s="635" t="s">
        <v>1625</v>
      </c>
      <c r="J1433" s="387">
        <v>1</v>
      </c>
      <c r="K1433" s="385" t="s">
        <v>1171</v>
      </c>
    </row>
    <row r="1434" spans="1:11" ht="15.75">
      <c r="A1434" s="928" t="s">
        <v>3209</v>
      </c>
      <c r="B1434" s="420" t="s">
        <v>2182</v>
      </c>
      <c r="C1434" s="743" t="s">
        <v>3271</v>
      </c>
      <c r="D1434" s="633" t="s">
        <v>2167</v>
      </c>
      <c r="E1434" s="644">
        <v>1350000</v>
      </c>
      <c r="F1434" s="633" t="s">
        <v>1968</v>
      </c>
      <c r="G1434" s="633" t="s">
        <v>30</v>
      </c>
      <c r="H1434" s="635" t="s">
        <v>1625</v>
      </c>
      <c r="I1434" s="635" t="s">
        <v>1625</v>
      </c>
      <c r="J1434" s="387">
        <v>1</v>
      </c>
      <c r="K1434" s="385" t="s">
        <v>1171</v>
      </c>
    </row>
    <row r="1435" spans="1:11" ht="15.75">
      <c r="A1435" s="928" t="s">
        <v>3177</v>
      </c>
      <c r="B1435" s="420" t="s">
        <v>2182</v>
      </c>
      <c r="C1435" s="743" t="s">
        <v>3272</v>
      </c>
      <c r="D1435" s="633" t="s">
        <v>3267</v>
      </c>
      <c r="E1435" s="644">
        <v>950000</v>
      </c>
      <c r="F1435" s="633" t="s">
        <v>1968</v>
      </c>
      <c r="G1435" s="633" t="s">
        <v>2741</v>
      </c>
      <c r="H1435" s="635" t="s">
        <v>1955</v>
      </c>
      <c r="I1435" s="635" t="s">
        <v>1625</v>
      </c>
      <c r="J1435" s="387">
        <v>1</v>
      </c>
      <c r="K1435" s="385" t="s">
        <v>2998</v>
      </c>
    </row>
    <row r="1436" spans="1:11" ht="15.75">
      <c r="A1436" s="928" t="s">
        <v>3177</v>
      </c>
      <c r="B1436" s="420" t="s">
        <v>2182</v>
      </c>
      <c r="C1436" s="743" t="s">
        <v>3273</v>
      </c>
      <c r="D1436" s="633" t="s">
        <v>2711</v>
      </c>
      <c r="E1436" s="644">
        <v>1100000</v>
      </c>
      <c r="F1436" s="633" t="s">
        <v>2292</v>
      </c>
      <c r="G1436" s="633" t="s">
        <v>2605</v>
      </c>
      <c r="H1436" s="635" t="s">
        <v>1625</v>
      </c>
      <c r="I1436" s="635" t="s">
        <v>1625</v>
      </c>
      <c r="J1436" s="387">
        <v>1</v>
      </c>
      <c r="K1436" s="385" t="s">
        <v>1245</v>
      </c>
    </row>
    <row r="1437" spans="1:11" ht="15.75">
      <c r="A1437" s="928" t="s">
        <v>3177</v>
      </c>
      <c r="B1437" s="420" t="s">
        <v>2060</v>
      </c>
      <c r="C1437" s="743" t="s">
        <v>3274</v>
      </c>
      <c r="D1437" s="633" t="s">
        <v>75</v>
      </c>
      <c r="E1437" s="644">
        <v>1850000</v>
      </c>
      <c r="F1437" s="633" t="s">
        <v>1968</v>
      </c>
      <c r="G1437" s="633" t="s">
        <v>3150</v>
      </c>
      <c r="H1437" s="635" t="s">
        <v>1625</v>
      </c>
      <c r="I1437" s="635" t="s">
        <v>1625</v>
      </c>
      <c r="J1437" s="387">
        <v>1</v>
      </c>
      <c r="K1437" s="385" t="s">
        <v>1171</v>
      </c>
    </row>
    <row r="1438" spans="1:11" ht="15.75">
      <c r="A1438" s="928" t="s">
        <v>3177</v>
      </c>
      <c r="B1438" s="420" t="s">
        <v>2060</v>
      </c>
      <c r="C1438" s="743" t="s">
        <v>3275</v>
      </c>
      <c r="D1438" s="633" t="s">
        <v>75</v>
      </c>
      <c r="E1438" s="644">
        <v>1850000</v>
      </c>
      <c r="F1438" s="633" t="s">
        <v>1968</v>
      </c>
      <c r="G1438" s="633" t="s">
        <v>3150</v>
      </c>
      <c r="H1438" s="635" t="s">
        <v>1625</v>
      </c>
      <c r="I1438" s="635" t="s">
        <v>1625</v>
      </c>
      <c r="J1438" s="387">
        <v>1</v>
      </c>
      <c r="K1438" s="385" t="s">
        <v>1245</v>
      </c>
    </row>
    <row r="1439" spans="1:11" ht="15.75">
      <c r="A1439" s="928" t="s">
        <v>3177</v>
      </c>
      <c r="B1439" s="420" t="s">
        <v>2060</v>
      </c>
      <c r="C1439" s="743" t="s">
        <v>3276</v>
      </c>
      <c r="D1439" s="633" t="s">
        <v>75</v>
      </c>
      <c r="E1439" s="644">
        <v>1850000</v>
      </c>
      <c r="F1439" s="633" t="s">
        <v>1968</v>
      </c>
      <c r="G1439" s="633" t="s">
        <v>3150</v>
      </c>
      <c r="H1439" s="635" t="s">
        <v>1625</v>
      </c>
      <c r="I1439" s="635" t="s">
        <v>1625</v>
      </c>
      <c r="J1439" s="387">
        <v>1</v>
      </c>
      <c r="K1439" s="385" t="s">
        <v>2998</v>
      </c>
    </row>
    <row r="1440" spans="1:11" ht="15.75">
      <c r="A1440" s="928" t="s">
        <v>3177</v>
      </c>
      <c r="B1440" s="420" t="s">
        <v>2060</v>
      </c>
      <c r="C1440" s="743" t="s">
        <v>3277</v>
      </c>
      <c r="D1440" s="633" t="s">
        <v>75</v>
      </c>
      <c r="E1440" s="644">
        <v>1850000</v>
      </c>
      <c r="F1440" s="633" t="s">
        <v>1968</v>
      </c>
      <c r="G1440" s="633" t="s">
        <v>3150</v>
      </c>
      <c r="H1440" s="635" t="s">
        <v>1625</v>
      </c>
      <c r="I1440" s="635" t="s">
        <v>1625</v>
      </c>
      <c r="J1440" s="387">
        <v>1</v>
      </c>
      <c r="K1440" s="385" t="s">
        <v>1245</v>
      </c>
    </row>
    <row r="1441" spans="1:11" ht="15.75">
      <c r="A1441" s="419"/>
      <c r="B1441" s="420"/>
      <c r="C1441" s="457"/>
      <c r="D1441" s="457"/>
      <c r="E1441" s="458"/>
      <c r="F1441" s="457"/>
      <c r="G1441" s="457"/>
      <c r="H1441" s="457"/>
      <c r="I1441" s="457"/>
      <c r="J1441" s="493">
        <f>SUM(J1412:J1440)</f>
        <v>29</v>
      </c>
      <c r="K1441" s="457"/>
    </row>
    <row r="1442" spans="1:11" ht="15.75">
      <c r="A1442" s="394"/>
      <c r="B1442" s="395"/>
      <c r="C1442" s="395"/>
      <c r="D1442" s="395"/>
      <c r="E1442" s="396"/>
      <c r="F1442" s="395"/>
      <c r="G1442" s="395"/>
      <c r="H1442" s="395"/>
      <c r="I1442" s="395"/>
      <c r="J1442" s="397"/>
      <c r="K1442" s="395"/>
    </row>
    <row r="1443" spans="1:11" ht="15.75">
      <c r="A1443" s="394"/>
      <c r="B1443" s="395"/>
      <c r="C1443" s="395"/>
      <c r="D1443" s="395"/>
      <c r="E1443" s="396"/>
      <c r="F1443" s="395"/>
      <c r="G1443" s="395"/>
      <c r="H1443" s="395"/>
      <c r="I1443" s="395"/>
      <c r="J1443" s="397"/>
      <c r="K1443" s="395"/>
    </row>
    <row r="1444" spans="1:11" ht="26.25">
      <c r="A1444" s="1668" t="s">
        <v>3278</v>
      </c>
      <c r="B1444" s="1669"/>
      <c r="C1444" s="1669"/>
      <c r="D1444" s="1669"/>
      <c r="E1444" s="1669"/>
      <c r="F1444" s="1669"/>
      <c r="G1444" s="1669"/>
      <c r="H1444" s="1669"/>
      <c r="I1444" s="1669"/>
      <c r="J1444" s="1669"/>
      <c r="K1444" s="1670"/>
    </row>
    <row r="1445" spans="1:11" ht="31.5">
      <c r="A1445" s="929" t="s">
        <v>1941</v>
      </c>
      <c r="B1445" s="693" t="s">
        <v>1942</v>
      </c>
      <c r="C1445" s="693" t="s">
        <v>1943</v>
      </c>
      <c r="D1445" s="693" t="s">
        <v>1944</v>
      </c>
      <c r="E1445" s="694" t="s">
        <v>1945</v>
      </c>
      <c r="F1445" s="693" t="s">
        <v>1946</v>
      </c>
      <c r="G1445" s="693" t="s">
        <v>2590</v>
      </c>
      <c r="H1445" s="693" t="s">
        <v>1947</v>
      </c>
      <c r="I1445" s="693" t="s">
        <v>1948</v>
      </c>
      <c r="J1445" s="695" t="s">
        <v>1949</v>
      </c>
      <c r="K1445" s="693" t="s">
        <v>1950</v>
      </c>
    </row>
    <row r="1446" spans="1:11" ht="15.75">
      <c r="A1446" s="930"/>
      <c r="B1446" s="697"/>
      <c r="C1446" s="455"/>
      <c r="D1446" s="455"/>
      <c r="E1446" s="461"/>
      <c r="F1446" s="455"/>
      <c r="G1446" s="455"/>
      <c r="H1446" s="460"/>
      <c r="I1446" s="460"/>
      <c r="J1446" s="460"/>
      <c r="K1446" s="455"/>
    </row>
    <row r="1447" spans="1:11" ht="15.75">
      <c r="A1447" s="930"/>
      <c r="B1447" s="697"/>
      <c r="C1447" s="455"/>
      <c r="D1447" s="455"/>
      <c r="E1447" s="461"/>
      <c r="F1447" s="455"/>
      <c r="G1447" s="455"/>
      <c r="H1447" s="460"/>
      <c r="I1447" s="460"/>
      <c r="J1447" s="460"/>
      <c r="K1447" s="455"/>
    </row>
    <row r="1448" spans="1:11" ht="15.75">
      <c r="A1448" s="692"/>
      <c r="B1448" s="457"/>
      <c r="C1448" s="457"/>
      <c r="D1448" s="457"/>
      <c r="E1448" s="476"/>
      <c r="F1448" s="457"/>
      <c r="G1448" s="457"/>
      <c r="H1448" s="153"/>
      <c r="I1448" s="153"/>
      <c r="J1448" s="383"/>
      <c r="K1448" s="381"/>
    </row>
    <row r="1449" spans="1:11" ht="15.75">
      <c r="A1449" s="692"/>
      <c r="B1449" s="457"/>
      <c r="C1449" s="457"/>
      <c r="D1449" s="457"/>
      <c r="E1449" s="458"/>
      <c r="F1449" s="457"/>
      <c r="G1449" s="457"/>
      <c r="H1449" s="153"/>
      <c r="I1449" s="153"/>
      <c r="J1449" s="383"/>
      <c r="K1449" s="381"/>
    </row>
    <row r="1450" spans="1:11" ht="15.75">
      <c r="A1450" s="456"/>
      <c r="B1450" s="457"/>
      <c r="C1450" s="457"/>
      <c r="D1450" s="457"/>
      <c r="E1450" s="458"/>
      <c r="F1450" s="457"/>
      <c r="G1450" s="457"/>
      <c r="H1450" s="457"/>
      <c r="I1450" s="457"/>
      <c r="J1450" s="493">
        <f>SUM(J1446:J1448)</f>
        <v>0</v>
      </c>
      <c r="K1450" s="457"/>
    </row>
    <row r="1454" spans="1:11" ht="26.25">
      <c r="A1454" s="1667" t="s">
        <v>3279</v>
      </c>
      <c r="B1454" s="1667"/>
      <c r="C1454" s="1667"/>
      <c r="D1454" s="1667"/>
      <c r="E1454" s="1667"/>
      <c r="F1454" s="1667"/>
      <c r="G1454" s="1667"/>
      <c r="H1454" s="1667"/>
      <c r="I1454" s="1667"/>
      <c r="J1454" s="1667"/>
      <c r="K1454" s="1667"/>
    </row>
    <row r="1455" spans="1:11" ht="31.5">
      <c r="A1455" s="375" t="s">
        <v>1941</v>
      </c>
      <c r="B1455" s="378" t="s">
        <v>1942</v>
      </c>
      <c r="C1455" s="378" t="s">
        <v>1943</v>
      </c>
      <c r="D1455" s="378" t="s">
        <v>1944</v>
      </c>
      <c r="E1455" s="452" t="s">
        <v>1945</v>
      </c>
      <c r="F1455" s="378" t="s">
        <v>1946</v>
      </c>
      <c r="G1455" s="378" t="s">
        <v>2590</v>
      </c>
      <c r="H1455" s="378" t="s">
        <v>1947</v>
      </c>
      <c r="I1455" s="378" t="s">
        <v>1948</v>
      </c>
      <c r="J1455" s="453" t="s">
        <v>1949</v>
      </c>
      <c r="K1455" s="378" t="s">
        <v>1950</v>
      </c>
    </row>
    <row r="1456" spans="1:11" ht="15.75">
      <c r="A1456" s="443">
        <v>44541</v>
      </c>
      <c r="B1456" s="653" t="s">
        <v>1952</v>
      </c>
      <c r="C1456" s="381" t="s">
        <v>677</v>
      </c>
      <c r="D1456" s="426" t="s">
        <v>2711</v>
      </c>
      <c r="E1456" s="462">
        <v>1250000</v>
      </c>
      <c r="F1456" s="385" t="s">
        <v>30</v>
      </c>
      <c r="G1456" s="385" t="s">
        <v>30</v>
      </c>
      <c r="H1456" s="387" t="s">
        <v>1955</v>
      </c>
      <c r="I1456" s="387" t="s">
        <v>1625</v>
      </c>
      <c r="J1456" s="387">
        <v>1</v>
      </c>
      <c r="K1456" s="385" t="s">
        <v>856</v>
      </c>
    </row>
    <row r="1457" spans="1:11" ht="15.75">
      <c r="A1457" s="443" t="s">
        <v>3265</v>
      </c>
      <c r="B1457" s="381" t="s">
        <v>1952</v>
      </c>
      <c r="C1457" s="381" t="s">
        <v>3280</v>
      </c>
      <c r="D1457" s="426" t="s">
        <v>75</v>
      </c>
      <c r="E1457" s="451">
        <v>1450000</v>
      </c>
      <c r="F1457" s="381" t="s">
        <v>30</v>
      </c>
      <c r="G1457" s="381" t="s">
        <v>30</v>
      </c>
      <c r="H1457" s="383" t="s">
        <v>3090</v>
      </c>
      <c r="I1457" s="383" t="s">
        <v>1625</v>
      </c>
      <c r="J1457" s="383">
        <v>1</v>
      </c>
      <c r="K1457" s="381" t="s">
        <v>856</v>
      </c>
    </row>
    <row r="1458" spans="1:11" ht="15.75">
      <c r="A1458" s="393"/>
      <c r="B1458" s="406"/>
      <c r="C1458" s="406"/>
      <c r="D1458" s="381"/>
      <c r="E1458" s="712"/>
      <c r="F1458" s="381"/>
      <c r="G1458" s="381"/>
      <c r="H1458" s="383"/>
      <c r="I1458" s="383"/>
      <c r="J1458" s="383"/>
      <c r="K1458" s="381"/>
    </row>
    <row r="1459" spans="1:11" ht="15.75">
      <c r="A1459" s="393"/>
      <c r="B1459" s="381"/>
      <c r="C1459" s="381"/>
      <c r="D1459" s="381"/>
      <c r="E1459" s="712"/>
      <c r="F1459" s="381"/>
      <c r="G1459" s="381"/>
      <c r="H1459" s="383"/>
      <c r="I1459" s="383"/>
      <c r="J1459" s="383"/>
      <c r="K1459" s="381"/>
    </row>
    <row r="1460" spans="1:11" ht="15.75">
      <c r="A1460" s="393"/>
      <c r="B1460" s="381"/>
      <c r="C1460" s="381"/>
      <c r="D1460" s="381"/>
      <c r="E1460" s="712"/>
      <c r="F1460" s="381"/>
      <c r="G1460" s="381"/>
      <c r="H1460" s="383"/>
      <c r="I1460" s="383"/>
      <c r="J1460" s="383"/>
      <c r="K1460" s="381"/>
    </row>
    <row r="1461" spans="1:11" ht="15.75">
      <c r="A1461" s="393"/>
      <c r="B1461" s="381"/>
      <c r="C1461" s="381"/>
      <c r="D1461" s="381"/>
      <c r="E1461" s="712"/>
      <c r="F1461" s="381"/>
      <c r="G1461" s="381"/>
      <c r="H1461" s="383"/>
      <c r="I1461" s="383"/>
      <c r="J1461" s="383"/>
      <c r="K1461" s="381"/>
    </row>
    <row r="1462" spans="1:11" ht="15.75">
      <c r="A1462" s="412"/>
      <c r="B1462" s="381"/>
      <c r="C1462" s="381"/>
      <c r="D1462" s="381"/>
      <c r="E1462" s="712"/>
      <c r="F1462" s="381"/>
      <c r="G1462" s="381"/>
      <c r="H1462" s="383"/>
      <c r="I1462" s="383"/>
      <c r="J1462" s="383"/>
      <c r="K1462" s="381"/>
    </row>
    <row r="1463" spans="1:11" ht="15.75">
      <c r="A1463" s="419"/>
      <c r="B1463" s="420"/>
      <c r="C1463" s="420"/>
      <c r="D1463" s="420"/>
      <c r="E1463" s="458"/>
      <c r="F1463" s="153"/>
      <c r="G1463" s="153"/>
      <c r="H1463" s="457"/>
      <c r="I1463" s="457"/>
      <c r="J1463" s="493">
        <f>SUM(J1456:J1462)</f>
        <v>2</v>
      </c>
      <c r="K1463" s="457"/>
    </row>
    <row r="1466" spans="1:11">
      <c r="A1466" s="1665" t="s">
        <v>3281</v>
      </c>
      <c r="B1466" s="1665"/>
      <c r="C1466" s="1665"/>
      <c r="D1466" s="1665"/>
      <c r="E1466" s="1665"/>
      <c r="F1466" s="1665"/>
      <c r="G1466" s="1665"/>
      <c r="H1466" s="1665"/>
      <c r="I1466" s="1665"/>
      <c r="J1466" s="1665"/>
      <c r="K1466" s="1665"/>
    </row>
    <row r="1467" spans="1:11">
      <c r="A1467" s="1666"/>
      <c r="B1467" s="1666"/>
      <c r="C1467" s="1666"/>
      <c r="D1467" s="1666"/>
      <c r="E1467" s="1666"/>
      <c r="F1467" s="1666"/>
      <c r="G1467" s="1666"/>
      <c r="H1467" s="1666"/>
      <c r="I1467" s="1666"/>
      <c r="J1467" s="1666"/>
      <c r="K1467" s="1666"/>
    </row>
    <row r="1469" spans="1:11" ht="26.25">
      <c r="A1469" s="1667" t="s">
        <v>3282</v>
      </c>
      <c r="B1469" s="1667"/>
      <c r="C1469" s="1667"/>
      <c r="D1469" s="1667"/>
      <c r="E1469" s="1667"/>
      <c r="F1469" s="1667"/>
      <c r="G1469" s="1667"/>
      <c r="H1469" s="1667"/>
      <c r="I1469" s="1667"/>
      <c r="J1469" s="1667"/>
      <c r="K1469" s="1667"/>
    </row>
    <row r="1470" spans="1:11" ht="31.5">
      <c r="A1470" s="375" t="s">
        <v>1941</v>
      </c>
      <c r="B1470" s="378" t="s">
        <v>1942</v>
      </c>
      <c r="C1470" s="378" t="s">
        <v>1943</v>
      </c>
      <c r="D1470" s="378" t="s">
        <v>1944</v>
      </c>
      <c r="E1470" s="452" t="s">
        <v>1945</v>
      </c>
      <c r="F1470" s="378" t="s">
        <v>1946</v>
      </c>
      <c r="G1470" s="378" t="s">
        <v>2590</v>
      </c>
      <c r="H1470" s="378" t="s">
        <v>1947</v>
      </c>
      <c r="I1470" s="378" t="s">
        <v>1948</v>
      </c>
      <c r="J1470" s="453" t="s">
        <v>1949</v>
      </c>
      <c r="K1470" s="378" t="s">
        <v>10</v>
      </c>
    </row>
    <row r="1471" spans="1:11" ht="15.75">
      <c r="A1471" s="454" t="s">
        <v>3283</v>
      </c>
      <c r="B1471" s="455" t="s">
        <v>2182</v>
      </c>
      <c r="C1471" s="455" t="s">
        <v>3284</v>
      </c>
      <c r="D1471" s="455" t="s">
        <v>2845</v>
      </c>
      <c r="E1471" s="461">
        <v>420000000</v>
      </c>
      <c r="F1471" s="464" t="s">
        <v>1968</v>
      </c>
      <c r="G1471" s="464" t="s">
        <v>2741</v>
      </c>
      <c r="H1471" s="460" t="s">
        <v>1955</v>
      </c>
      <c r="I1471" s="460" t="s">
        <v>1625</v>
      </c>
      <c r="J1471" s="460">
        <v>1</v>
      </c>
      <c r="K1471" s="455" t="s">
        <v>2629</v>
      </c>
    </row>
    <row r="1472" spans="1:11" ht="15.75">
      <c r="A1472" s="454" t="s">
        <v>3285</v>
      </c>
      <c r="B1472" s="472" t="s">
        <v>2182</v>
      </c>
      <c r="C1472" s="455" t="s">
        <v>3286</v>
      </c>
      <c r="D1472" s="455" t="s">
        <v>2394</v>
      </c>
      <c r="E1472" s="461">
        <v>220000000</v>
      </c>
      <c r="F1472" s="464" t="s">
        <v>2292</v>
      </c>
      <c r="G1472" s="656" t="s">
        <v>2741</v>
      </c>
      <c r="H1472" s="460" t="s">
        <v>1955</v>
      </c>
      <c r="I1472" s="460" t="s">
        <v>1625</v>
      </c>
      <c r="J1472" s="460">
        <v>1</v>
      </c>
      <c r="K1472" s="455" t="s">
        <v>2629</v>
      </c>
    </row>
    <row r="1473" spans="1:11" ht="15.75">
      <c r="A1473" s="454" t="s">
        <v>3285</v>
      </c>
      <c r="B1473" s="455" t="s">
        <v>2182</v>
      </c>
      <c r="C1473" s="459" t="s">
        <v>3287</v>
      </c>
      <c r="D1473" s="455" t="s">
        <v>3059</v>
      </c>
      <c r="E1473" s="461">
        <v>360000000</v>
      </c>
      <c r="F1473" s="654" t="s">
        <v>1968</v>
      </c>
      <c r="G1473" s="464" t="s">
        <v>2741</v>
      </c>
      <c r="H1473" s="655" t="s">
        <v>1955</v>
      </c>
      <c r="I1473" s="460" t="s">
        <v>1625</v>
      </c>
      <c r="J1473" s="460">
        <v>1</v>
      </c>
      <c r="K1473" s="455" t="s">
        <v>2629</v>
      </c>
    </row>
    <row r="1474" spans="1:11" ht="15.75">
      <c r="A1474" s="479" t="s">
        <v>3288</v>
      </c>
      <c r="B1474" s="612" t="s">
        <v>2182</v>
      </c>
      <c r="C1474" s="411" t="s">
        <v>1680</v>
      </c>
      <c r="D1474" s="381" t="s">
        <v>75</v>
      </c>
      <c r="E1474" s="451">
        <v>1250000</v>
      </c>
      <c r="F1474" s="304" t="s">
        <v>2292</v>
      </c>
      <c r="G1474" s="275" t="s">
        <v>2741</v>
      </c>
      <c r="H1474" s="531" t="s">
        <v>1625</v>
      </c>
      <c r="I1474" s="383" t="s">
        <v>1625</v>
      </c>
      <c r="J1474" s="383">
        <v>1</v>
      </c>
      <c r="K1474" s="381" t="s">
        <v>1245</v>
      </c>
    </row>
    <row r="1475" spans="1:11" ht="15.75">
      <c r="A1475" s="479" t="s">
        <v>3288</v>
      </c>
      <c r="B1475" s="612" t="s">
        <v>2182</v>
      </c>
      <c r="C1475" s="381" t="s">
        <v>3289</v>
      </c>
      <c r="D1475" s="381" t="s">
        <v>3290</v>
      </c>
      <c r="E1475" s="451">
        <v>1100000</v>
      </c>
      <c r="F1475" s="304" t="s">
        <v>1968</v>
      </c>
      <c r="G1475" s="275" t="s">
        <v>2741</v>
      </c>
      <c r="H1475" s="531" t="s">
        <v>1955</v>
      </c>
      <c r="I1475" s="383" t="s">
        <v>1625</v>
      </c>
      <c r="J1475" s="383">
        <v>1</v>
      </c>
      <c r="K1475" s="381" t="s">
        <v>2998</v>
      </c>
    </row>
    <row r="1476" spans="1:11" ht="15.75">
      <c r="A1476" s="479" t="s">
        <v>3291</v>
      </c>
      <c r="B1476" s="612" t="s">
        <v>1952</v>
      </c>
      <c r="C1476" s="381" t="s">
        <v>3292</v>
      </c>
      <c r="D1476" s="381" t="s">
        <v>2394</v>
      </c>
      <c r="E1476" s="451">
        <v>1100000</v>
      </c>
      <c r="F1476" s="304" t="s">
        <v>2292</v>
      </c>
      <c r="G1476" s="275" t="s">
        <v>2741</v>
      </c>
      <c r="H1476" s="531" t="s">
        <v>1625</v>
      </c>
      <c r="I1476" s="383" t="s">
        <v>1625</v>
      </c>
      <c r="J1476" s="383">
        <v>1</v>
      </c>
      <c r="K1476" s="381" t="s">
        <v>1171</v>
      </c>
    </row>
    <row r="1477" spans="1:11" ht="15.75">
      <c r="A1477" s="479" t="s">
        <v>3293</v>
      </c>
      <c r="B1477" s="612" t="s">
        <v>2182</v>
      </c>
      <c r="C1477" s="381" t="s">
        <v>1060</v>
      </c>
      <c r="D1477" s="381" t="s">
        <v>2167</v>
      </c>
      <c r="E1477" s="451">
        <v>1300000</v>
      </c>
      <c r="F1477" s="304" t="s">
        <v>2292</v>
      </c>
      <c r="G1477" s="275" t="s">
        <v>2873</v>
      </c>
      <c r="H1477" s="531" t="s">
        <v>1625</v>
      </c>
      <c r="I1477" s="383" t="s">
        <v>1625</v>
      </c>
      <c r="J1477" s="383">
        <v>1</v>
      </c>
      <c r="K1477" s="381" t="s">
        <v>2998</v>
      </c>
    </row>
    <row r="1478" spans="1:11" ht="15.75">
      <c r="A1478" s="479">
        <v>44208</v>
      </c>
      <c r="B1478" s="612" t="s">
        <v>2182</v>
      </c>
      <c r="C1478" s="381" t="s">
        <v>676</v>
      </c>
      <c r="D1478" s="381" t="s">
        <v>2167</v>
      </c>
      <c r="E1478" s="451">
        <v>1450000</v>
      </c>
      <c r="F1478" s="304" t="s">
        <v>1968</v>
      </c>
      <c r="G1478" s="275" t="s">
        <v>2741</v>
      </c>
      <c r="H1478" s="531" t="s">
        <v>1955</v>
      </c>
      <c r="I1478" s="383" t="s">
        <v>1625</v>
      </c>
      <c r="J1478" s="383">
        <v>1</v>
      </c>
      <c r="K1478" s="381" t="s">
        <v>1171</v>
      </c>
    </row>
    <row r="1479" spans="1:11" ht="15.75">
      <c r="A1479" s="479">
        <v>44208</v>
      </c>
      <c r="B1479" s="612" t="s">
        <v>2182</v>
      </c>
      <c r="C1479" s="381" t="s">
        <v>3294</v>
      </c>
      <c r="D1479" s="381" t="s">
        <v>2711</v>
      </c>
      <c r="E1479" s="451">
        <v>1250000</v>
      </c>
      <c r="F1479" s="304" t="s">
        <v>2290</v>
      </c>
      <c r="G1479" s="275" t="s">
        <v>2605</v>
      </c>
      <c r="H1479" s="531" t="s">
        <v>1625</v>
      </c>
      <c r="I1479" s="383" t="s">
        <v>1625</v>
      </c>
      <c r="J1479" s="383">
        <v>1</v>
      </c>
      <c r="K1479" s="381" t="s">
        <v>1245</v>
      </c>
    </row>
    <row r="1480" spans="1:11" ht="15.75">
      <c r="A1480" s="479">
        <v>44239</v>
      </c>
      <c r="B1480" s="612" t="s">
        <v>2182</v>
      </c>
      <c r="C1480" s="381" t="s">
        <v>3295</v>
      </c>
      <c r="D1480" s="381" t="s">
        <v>3296</v>
      </c>
      <c r="E1480" s="451">
        <v>1200000</v>
      </c>
      <c r="F1480" s="304" t="s">
        <v>1968</v>
      </c>
      <c r="G1480" s="275" t="s">
        <v>2741</v>
      </c>
      <c r="H1480" s="531" t="s">
        <v>1955</v>
      </c>
      <c r="I1480" s="383" t="s">
        <v>1625</v>
      </c>
      <c r="J1480" s="383">
        <v>1</v>
      </c>
      <c r="K1480" s="381" t="s">
        <v>1171</v>
      </c>
    </row>
    <row r="1481" spans="1:11" ht="15.75">
      <c r="A1481" s="479">
        <v>44239</v>
      </c>
      <c r="B1481" s="612" t="s">
        <v>2182</v>
      </c>
      <c r="C1481" s="381" t="s">
        <v>3297</v>
      </c>
      <c r="D1481" s="381" t="s">
        <v>3298</v>
      </c>
      <c r="E1481" s="451">
        <v>1800000</v>
      </c>
      <c r="F1481" s="304" t="s">
        <v>2292</v>
      </c>
      <c r="G1481" s="275" t="s">
        <v>2605</v>
      </c>
      <c r="H1481" s="531" t="s">
        <v>1625</v>
      </c>
      <c r="I1481" s="383" t="s">
        <v>1625</v>
      </c>
      <c r="J1481" s="383">
        <v>1</v>
      </c>
      <c r="K1481" s="381" t="s">
        <v>1245</v>
      </c>
    </row>
    <row r="1482" spans="1:11" ht="15.75">
      <c r="A1482" s="479">
        <v>44359</v>
      </c>
      <c r="B1482" s="612" t="s">
        <v>2182</v>
      </c>
      <c r="C1482" s="381" t="s">
        <v>684</v>
      </c>
      <c r="D1482" s="381" t="s">
        <v>2711</v>
      </c>
      <c r="E1482" s="451">
        <v>1500000</v>
      </c>
      <c r="F1482" s="304" t="s">
        <v>1968</v>
      </c>
      <c r="G1482" s="275" t="s">
        <v>2741</v>
      </c>
      <c r="H1482" s="531" t="s">
        <v>1625</v>
      </c>
      <c r="I1482" s="383" t="s">
        <v>1625</v>
      </c>
      <c r="J1482" s="383">
        <v>1</v>
      </c>
      <c r="K1482" s="381" t="s">
        <v>2998</v>
      </c>
    </row>
    <row r="1483" spans="1:11" ht="15.75">
      <c r="A1483" s="479">
        <v>44451</v>
      </c>
      <c r="B1483" s="612" t="s">
        <v>2182</v>
      </c>
      <c r="C1483" s="381" t="s">
        <v>3299</v>
      </c>
      <c r="D1483" s="381" t="s">
        <v>2394</v>
      </c>
      <c r="E1483" s="451">
        <v>1150000</v>
      </c>
      <c r="F1483" s="304" t="s">
        <v>2292</v>
      </c>
      <c r="G1483" s="275" t="s">
        <v>2605</v>
      </c>
      <c r="H1483" s="531" t="s">
        <v>1625</v>
      </c>
      <c r="I1483" s="383" t="s">
        <v>1625</v>
      </c>
      <c r="J1483" s="383">
        <v>1</v>
      </c>
      <c r="K1483" s="381" t="s">
        <v>1171</v>
      </c>
    </row>
    <row r="1484" spans="1:11" ht="15.75">
      <c r="A1484" s="479">
        <v>44451</v>
      </c>
      <c r="B1484" s="612" t="s">
        <v>1952</v>
      </c>
      <c r="C1484" s="381" t="s">
        <v>675</v>
      </c>
      <c r="D1484" s="381" t="s">
        <v>2394</v>
      </c>
      <c r="E1484" s="451">
        <v>1250000</v>
      </c>
      <c r="F1484" s="304" t="s">
        <v>2292</v>
      </c>
      <c r="G1484" s="275" t="s">
        <v>2605</v>
      </c>
      <c r="H1484" s="531" t="s">
        <v>1625</v>
      </c>
      <c r="I1484" s="383" t="s">
        <v>1625</v>
      </c>
      <c r="J1484" s="383">
        <v>1</v>
      </c>
      <c r="K1484" s="381" t="s">
        <v>1245</v>
      </c>
    </row>
    <row r="1485" spans="1:11" ht="15.75">
      <c r="A1485" s="479">
        <v>44451</v>
      </c>
      <c r="B1485" s="612" t="s">
        <v>2182</v>
      </c>
      <c r="C1485" s="381" t="s">
        <v>3300</v>
      </c>
      <c r="D1485" s="381" t="s">
        <v>3301</v>
      </c>
      <c r="E1485" s="451">
        <v>3000000</v>
      </c>
      <c r="F1485" s="304" t="s">
        <v>1968</v>
      </c>
      <c r="G1485" s="275" t="s">
        <v>2605</v>
      </c>
      <c r="H1485" s="531" t="s">
        <v>1955</v>
      </c>
      <c r="I1485" s="383" t="s">
        <v>1625</v>
      </c>
      <c r="J1485" s="383">
        <v>1</v>
      </c>
      <c r="K1485" s="381" t="s">
        <v>2998</v>
      </c>
    </row>
    <row r="1486" spans="1:11" ht="15.75">
      <c r="A1486" s="479">
        <v>44481</v>
      </c>
      <c r="B1486" s="612" t="s">
        <v>2182</v>
      </c>
      <c r="C1486" s="381" t="s">
        <v>686</v>
      </c>
      <c r="D1486" s="381" t="s">
        <v>3059</v>
      </c>
      <c r="E1486" s="451">
        <v>1200000</v>
      </c>
      <c r="F1486" s="304" t="s">
        <v>2292</v>
      </c>
      <c r="G1486" s="275" t="s">
        <v>2741</v>
      </c>
      <c r="H1486" s="531" t="s">
        <v>1955</v>
      </c>
      <c r="I1486" s="383" t="s">
        <v>1625</v>
      </c>
      <c r="J1486" s="383">
        <v>1</v>
      </c>
      <c r="K1486" s="381" t="s">
        <v>1245</v>
      </c>
    </row>
    <row r="1487" spans="1:11" ht="15.75">
      <c r="A1487" s="479">
        <v>44512</v>
      </c>
      <c r="B1487" s="612" t="s">
        <v>2182</v>
      </c>
      <c r="C1487" s="381" t="s">
        <v>680</v>
      </c>
      <c r="D1487" s="381" t="s">
        <v>2167</v>
      </c>
      <c r="E1487" s="451">
        <v>1600000</v>
      </c>
      <c r="F1487" s="304" t="s">
        <v>2292</v>
      </c>
      <c r="G1487" s="275" t="s">
        <v>2873</v>
      </c>
      <c r="H1487" s="531" t="s">
        <v>1625</v>
      </c>
      <c r="I1487" s="383" t="s">
        <v>1625</v>
      </c>
      <c r="J1487" s="383">
        <v>1</v>
      </c>
      <c r="K1487" s="381" t="s">
        <v>1245</v>
      </c>
    </row>
    <row r="1488" spans="1:11" ht="15.75">
      <c r="A1488" s="479" t="s">
        <v>3302</v>
      </c>
      <c r="B1488" s="612" t="s">
        <v>2182</v>
      </c>
      <c r="C1488" s="381" t="s">
        <v>681</v>
      </c>
      <c r="D1488" s="381" t="s">
        <v>2326</v>
      </c>
      <c r="E1488" s="451">
        <v>900000</v>
      </c>
      <c r="F1488" s="304" t="s">
        <v>2292</v>
      </c>
      <c r="G1488" s="275" t="s">
        <v>2741</v>
      </c>
      <c r="H1488" s="531" t="s">
        <v>1625</v>
      </c>
      <c r="I1488" s="383" t="s">
        <v>1625</v>
      </c>
      <c r="J1488" s="383">
        <v>1</v>
      </c>
      <c r="K1488" s="381" t="s">
        <v>1171</v>
      </c>
    </row>
    <row r="1489" spans="1:11" ht="15.75">
      <c r="A1489" s="479" t="s">
        <v>3302</v>
      </c>
      <c r="B1489" s="612" t="s">
        <v>2182</v>
      </c>
      <c r="C1489" s="381" t="s">
        <v>3303</v>
      </c>
      <c r="D1489" s="381" t="s">
        <v>75</v>
      </c>
      <c r="E1489" s="451">
        <v>1250000</v>
      </c>
      <c r="F1489" s="304" t="s">
        <v>2292</v>
      </c>
      <c r="G1489" s="275" t="s">
        <v>2741</v>
      </c>
      <c r="H1489" s="531" t="s">
        <v>1955</v>
      </c>
      <c r="I1489" s="383" t="s">
        <v>1625</v>
      </c>
      <c r="J1489" s="383">
        <v>1</v>
      </c>
      <c r="K1489" s="381" t="s">
        <v>2998</v>
      </c>
    </row>
    <row r="1490" spans="1:11" ht="15.75">
      <c r="A1490" s="479" t="s">
        <v>3304</v>
      </c>
      <c r="B1490" s="612" t="s">
        <v>2182</v>
      </c>
      <c r="C1490" s="381" t="s">
        <v>3305</v>
      </c>
      <c r="D1490" s="381" t="s">
        <v>2845</v>
      </c>
      <c r="E1490" s="451">
        <v>1700000</v>
      </c>
      <c r="F1490" s="304" t="s">
        <v>2292</v>
      </c>
      <c r="G1490" s="275" t="s">
        <v>2605</v>
      </c>
      <c r="H1490" s="531" t="s">
        <v>1625</v>
      </c>
      <c r="I1490" s="383" t="s">
        <v>1625</v>
      </c>
      <c r="J1490" s="383">
        <v>1</v>
      </c>
      <c r="K1490" s="381" t="s">
        <v>1171</v>
      </c>
    </row>
    <row r="1491" spans="1:11" ht="15.75">
      <c r="A1491" s="479" t="s">
        <v>3306</v>
      </c>
      <c r="B1491" s="612" t="s">
        <v>2182</v>
      </c>
      <c r="C1491" s="381" t="s">
        <v>3307</v>
      </c>
      <c r="D1491" s="381" t="s">
        <v>2394</v>
      </c>
      <c r="E1491" s="451">
        <v>1000000</v>
      </c>
      <c r="F1491" s="304" t="s">
        <v>2292</v>
      </c>
      <c r="G1491" s="275" t="s">
        <v>2741</v>
      </c>
      <c r="H1491" s="531" t="s">
        <v>1955</v>
      </c>
      <c r="I1491" s="383" t="s">
        <v>1625</v>
      </c>
      <c r="J1491" s="383">
        <v>1</v>
      </c>
      <c r="K1491" s="381" t="s">
        <v>2998</v>
      </c>
    </row>
    <row r="1492" spans="1:11" ht="15.75">
      <c r="A1492" s="479" t="s">
        <v>3308</v>
      </c>
      <c r="B1492" s="612" t="s">
        <v>2182</v>
      </c>
      <c r="C1492" s="381" t="s">
        <v>732</v>
      </c>
      <c r="D1492" s="381" t="s">
        <v>2326</v>
      </c>
      <c r="E1492" s="451">
        <v>800000</v>
      </c>
      <c r="F1492" s="304" t="s">
        <v>2292</v>
      </c>
      <c r="G1492" s="275" t="s">
        <v>2741</v>
      </c>
      <c r="H1492" s="531" t="s">
        <v>1955</v>
      </c>
      <c r="I1492" s="383" t="s">
        <v>1625</v>
      </c>
      <c r="J1492" s="383">
        <v>1</v>
      </c>
      <c r="K1492" s="381" t="s">
        <v>1245</v>
      </c>
    </row>
    <row r="1493" spans="1:11" ht="15.75">
      <c r="A1493" s="393" t="s">
        <v>3285</v>
      </c>
      <c r="B1493" s="381" t="s">
        <v>2182</v>
      </c>
      <c r="C1493" s="381" t="s">
        <v>3309</v>
      </c>
      <c r="D1493" s="381" t="s">
        <v>2394</v>
      </c>
      <c r="E1493" s="451">
        <v>1100000</v>
      </c>
      <c r="F1493" s="381" t="s">
        <v>2292</v>
      </c>
      <c r="G1493" s="381" t="s">
        <v>30</v>
      </c>
      <c r="H1493" s="383" t="s">
        <v>1625</v>
      </c>
      <c r="I1493" s="383" t="s">
        <v>1625</v>
      </c>
      <c r="J1493" s="383">
        <v>1</v>
      </c>
      <c r="K1493" s="381" t="s">
        <v>2998</v>
      </c>
    </row>
    <row r="1494" spans="1:11" ht="15.75">
      <c r="A1494" s="412" t="s">
        <v>3285</v>
      </c>
      <c r="B1494" s="411" t="s">
        <v>2182</v>
      </c>
      <c r="C1494" s="381" t="s">
        <v>3310</v>
      </c>
      <c r="D1494" s="381" t="s">
        <v>3296</v>
      </c>
      <c r="E1494" s="451">
        <v>320000</v>
      </c>
      <c r="F1494" s="304" t="s">
        <v>1968</v>
      </c>
      <c r="G1494" s="275" t="s">
        <v>30</v>
      </c>
      <c r="H1494" s="531" t="s">
        <v>1625</v>
      </c>
      <c r="I1494" s="383" t="s">
        <v>1625</v>
      </c>
      <c r="J1494" s="383">
        <v>1</v>
      </c>
      <c r="K1494" s="381" t="s">
        <v>1171</v>
      </c>
    </row>
    <row r="1495" spans="1:11" ht="15.75">
      <c r="A1495" s="405" t="s">
        <v>3285</v>
      </c>
      <c r="B1495" s="406" t="s">
        <v>2182</v>
      </c>
      <c r="C1495" s="406" t="s">
        <v>3286</v>
      </c>
      <c r="D1495" s="406" t="s">
        <v>2394</v>
      </c>
      <c r="E1495" s="490">
        <v>1100000</v>
      </c>
      <c r="F1495" s="491" t="s">
        <v>2292</v>
      </c>
      <c r="G1495" s="491" t="s">
        <v>2741</v>
      </c>
      <c r="H1495" s="408" t="s">
        <v>1955</v>
      </c>
      <c r="I1495" s="408" t="s">
        <v>1625</v>
      </c>
      <c r="J1495" s="408">
        <v>1</v>
      </c>
      <c r="K1495" s="406" t="s">
        <v>1245</v>
      </c>
    </row>
    <row r="1496" spans="1:11" ht="15.75">
      <c r="A1496" s="405" t="s">
        <v>3311</v>
      </c>
      <c r="B1496" s="406" t="s">
        <v>2182</v>
      </c>
      <c r="C1496" s="406" t="s">
        <v>727</v>
      </c>
      <c r="D1496" s="406" t="s">
        <v>3312</v>
      </c>
      <c r="E1496" s="490">
        <v>1500000</v>
      </c>
      <c r="F1496" s="491" t="s">
        <v>2292</v>
      </c>
      <c r="G1496" s="491" t="s">
        <v>2741</v>
      </c>
      <c r="H1496" s="408" t="s">
        <v>1625</v>
      </c>
      <c r="I1496" s="408" t="s">
        <v>1625</v>
      </c>
      <c r="J1496" s="408">
        <v>1</v>
      </c>
      <c r="K1496" s="406" t="s">
        <v>2998</v>
      </c>
    </row>
    <row r="1497" spans="1:11" ht="15.75">
      <c r="A1497" s="405" t="s">
        <v>3311</v>
      </c>
      <c r="B1497" s="406" t="s">
        <v>2182</v>
      </c>
      <c r="C1497" s="406" t="s">
        <v>726</v>
      </c>
      <c r="D1497" s="406" t="s">
        <v>75</v>
      </c>
      <c r="E1497" s="490">
        <v>1250000</v>
      </c>
      <c r="F1497" s="491" t="s">
        <v>2292</v>
      </c>
      <c r="G1497" s="491" t="s">
        <v>2741</v>
      </c>
      <c r="H1497" s="408" t="s">
        <v>1955</v>
      </c>
      <c r="I1497" s="408" t="s">
        <v>1625</v>
      </c>
      <c r="J1497" s="408">
        <v>1</v>
      </c>
      <c r="K1497" s="406" t="s">
        <v>1171</v>
      </c>
    </row>
    <row r="1498" spans="1:11" ht="15.75">
      <c r="A1498" s="405" t="s">
        <v>3311</v>
      </c>
      <c r="B1498" s="406" t="s">
        <v>2182</v>
      </c>
      <c r="C1498" s="406" t="s">
        <v>3313</v>
      </c>
      <c r="D1498" s="406" t="s">
        <v>2711</v>
      </c>
      <c r="E1498" s="490">
        <v>1300000</v>
      </c>
      <c r="F1498" s="491" t="s">
        <v>2292</v>
      </c>
      <c r="G1498" s="491" t="s">
        <v>2593</v>
      </c>
      <c r="H1498" s="408" t="s">
        <v>1625</v>
      </c>
      <c r="I1498" s="408" t="s">
        <v>1625</v>
      </c>
      <c r="J1498" s="408">
        <v>1</v>
      </c>
      <c r="K1498" s="406" t="s">
        <v>2998</v>
      </c>
    </row>
    <row r="1499" spans="1:11" ht="15.75">
      <c r="A1499" s="405"/>
      <c r="B1499" s="406"/>
      <c r="C1499" s="406"/>
      <c r="D1499" s="406"/>
      <c r="E1499" s="490"/>
      <c r="F1499" s="491"/>
      <c r="G1499" s="491"/>
      <c r="H1499" s="408"/>
      <c r="I1499" s="408"/>
      <c r="J1499" s="408"/>
      <c r="K1499" s="406"/>
    </row>
    <row r="1500" spans="1:11" ht="15.75">
      <c r="A1500" s="419"/>
      <c r="B1500" s="420"/>
      <c r="C1500" s="420"/>
      <c r="D1500" s="420"/>
      <c r="E1500" s="463"/>
      <c r="F1500" s="466"/>
      <c r="G1500" s="466"/>
      <c r="H1500" s="422"/>
      <c r="I1500" s="422"/>
      <c r="J1500" s="492">
        <f>SUM(J1471:J1499)</f>
        <v>28</v>
      </c>
      <c r="K1500" s="420"/>
    </row>
    <row r="1501" spans="1:11" ht="15.75">
      <c r="A1501" s="394"/>
      <c r="B1501" s="395"/>
      <c r="C1501" s="395"/>
      <c r="D1501" s="395"/>
      <c r="E1501" s="706"/>
      <c r="F1501" s="707"/>
      <c r="G1501" s="707"/>
      <c r="H1501" s="397"/>
      <c r="I1501" s="397"/>
      <c r="J1501" s="397"/>
      <c r="K1501" s="395"/>
    </row>
    <row r="1502" spans="1:11" ht="15.75">
      <c r="A1502" s="394"/>
      <c r="B1502" s="395"/>
      <c r="C1502" s="395"/>
      <c r="D1502" s="395"/>
      <c r="E1502" s="706"/>
      <c r="F1502" s="707"/>
      <c r="G1502" s="707"/>
      <c r="H1502" s="397"/>
      <c r="I1502" s="397"/>
      <c r="J1502" s="397"/>
      <c r="K1502" s="395"/>
    </row>
    <row r="1503" spans="1:11" ht="15.75">
      <c r="A1503" s="394"/>
      <c r="B1503" s="395"/>
      <c r="C1503" s="395"/>
      <c r="D1503" s="395"/>
      <c r="E1503" s="396"/>
      <c r="F1503" s="397"/>
      <c r="G1503" s="397"/>
      <c r="H1503" s="397"/>
      <c r="I1503" s="395"/>
      <c r="J1503" s="395"/>
      <c r="K1503" s="395"/>
    </row>
    <row r="1504" spans="1:11" ht="26.25">
      <c r="A1504" s="1667" t="s">
        <v>3314</v>
      </c>
      <c r="B1504" s="1667"/>
      <c r="C1504" s="1667"/>
      <c r="D1504" s="1667"/>
      <c r="E1504" s="1667"/>
      <c r="F1504" s="1667"/>
      <c r="G1504" s="1667"/>
      <c r="H1504" s="1667"/>
      <c r="I1504" s="1667"/>
      <c r="J1504" s="1667"/>
      <c r="K1504" s="1667"/>
    </row>
    <row r="1505" spans="1:11" ht="31.5">
      <c r="A1505" s="375" t="s">
        <v>1941</v>
      </c>
      <c r="B1505" s="378" t="s">
        <v>1942</v>
      </c>
      <c r="C1505" s="378" t="s">
        <v>1943</v>
      </c>
      <c r="D1505" s="378" t="s">
        <v>1944</v>
      </c>
      <c r="E1505" s="452" t="s">
        <v>1945</v>
      </c>
      <c r="F1505" s="378" t="s">
        <v>1946</v>
      </c>
      <c r="G1505" s="378" t="s">
        <v>2590</v>
      </c>
      <c r="H1505" s="378" t="s">
        <v>1947</v>
      </c>
      <c r="I1505" s="378" t="s">
        <v>1948</v>
      </c>
      <c r="J1505" s="453" t="s">
        <v>1949</v>
      </c>
      <c r="K1505" s="378" t="s">
        <v>1950</v>
      </c>
    </row>
    <row r="1506" spans="1:11" ht="15.75">
      <c r="A1506" s="474" t="s">
        <v>3315</v>
      </c>
      <c r="B1506" s="472" t="s">
        <v>2182</v>
      </c>
      <c r="C1506" s="472" t="s">
        <v>3316</v>
      </c>
      <c r="D1506" s="472" t="s">
        <v>75</v>
      </c>
      <c r="E1506" s="475">
        <v>320000000</v>
      </c>
      <c r="F1506" s="472" t="s">
        <v>1968</v>
      </c>
      <c r="G1506" s="472" t="s">
        <v>2741</v>
      </c>
      <c r="H1506" s="473" t="s">
        <v>1955</v>
      </c>
      <c r="I1506" s="473" t="s">
        <v>1625</v>
      </c>
      <c r="J1506" s="473">
        <v>1</v>
      </c>
      <c r="K1506" s="472" t="s">
        <v>2629</v>
      </c>
    </row>
    <row r="1507" spans="1:11" ht="15.75">
      <c r="A1507" s="474" t="s">
        <v>3308</v>
      </c>
      <c r="B1507" s="472" t="s">
        <v>2182</v>
      </c>
      <c r="C1507" s="472" t="s">
        <v>3317</v>
      </c>
      <c r="D1507" s="472" t="s">
        <v>75</v>
      </c>
      <c r="E1507" s="475">
        <v>335000000</v>
      </c>
      <c r="F1507" s="472" t="s">
        <v>1968</v>
      </c>
      <c r="G1507" s="472" t="s">
        <v>2741</v>
      </c>
      <c r="H1507" s="473" t="s">
        <v>1955</v>
      </c>
      <c r="I1507" s="473" t="s">
        <v>1625</v>
      </c>
      <c r="J1507" s="473">
        <v>1</v>
      </c>
      <c r="K1507" s="472" t="s">
        <v>2629</v>
      </c>
    </row>
    <row r="1508" spans="1:11" ht="15.75">
      <c r="A1508" s="507" t="s">
        <v>3311</v>
      </c>
      <c r="B1508" s="459" t="s">
        <v>2623</v>
      </c>
      <c r="C1508" s="455" t="s">
        <v>3318</v>
      </c>
      <c r="D1508" s="455" t="s">
        <v>3179</v>
      </c>
      <c r="E1508" s="461">
        <v>6794917000</v>
      </c>
      <c r="F1508" s="455" t="s">
        <v>1968</v>
      </c>
      <c r="G1508" s="455" t="s">
        <v>2741</v>
      </c>
      <c r="H1508" s="460" t="s">
        <v>1955</v>
      </c>
      <c r="I1508" s="460" t="s">
        <v>1625</v>
      </c>
      <c r="J1508" s="460">
        <v>1</v>
      </c>
      <c r="K1508" s="455" t="s">
        <v>2629</v>
      </c>
    </row>
    <row r="1509" spans="1:11" ht="15.75">
      <c r="A1509" s="412" t="s">
        <v>3319</v>
      </c>
      <c r="B1509" s="426" t="s">
        <v>1952</v>
      </c>
      <c r="C1509" s="385" t="s">
        <v>3320</v>
      </c>
      <c r="D1509" s="385" t="s">
        <v>75</v>
      </c>
      <c r="E1509" s="462">
        <v>1400000</v>
      </c>
      <c r="F1509" s="385" t="s">
        <v>2292</v>
      </c>
      <c r="G1509" s="385" t="s">
        <v>2593</v>
      </c>
      <c r="H1509" s="387" t="s">
        <v>1955</v>
      </c>
      <c r="I1509" s="387" t="s">
        <v>1625</v>
      </c>
      <c r="J1509" s="387">
        <v>1</v>
      </c>
      <c r="K1509" s="385" t="s">
        <v>1171</v>
      </c>
    </row>
    <row r="1510" spans="1:11" ht="15.75">
      <c r="A1510" s="479" t="s">
        <v>3319</v>
      </c>
      <c r="B1510" s="426" t="s">
        <v>2060</v>
      </c>
      <c r="C1510" s="385" t="s">
        <v>3321</v>
      </c>
      <c r="D1510" s="385" t="s">
        <v>3059</v>
      </c>
      <c r="E1510" s="462">
        <v>12000000</v>
      </c>
      <c r="F1510" s="385" t="s">
        <v>1968</v>
      </c>
      <c r="G1510" s="385" t="s">
        <v>2593</v>
      </c>
      <c r="H1510" s="387" t="s">
        <v>1955</v>
      </c>
      <c r="I1510" s="387" t="s">
        <v>1625</v>
      </c>
      <c r="J1510" s="387">
        <v>1</v>
      </c>
      <c r="K1510" s="385" t="s">
        <v>2998</v>
      </c>
    </row>
    <row r="1511" spans="1:11" ht="15.75">
      <c r="A1511" s="479">
        <v>44208</v>
      </c>
      <c r="B1511" s="426" t="s">
        <v>1952</v>
      </c>
      <c r="C1511" s="385" t="s">
        <v>698</v>
      </c>
      <c r="D1511" s="385" t="s">
        <v>3059</v>
      </c>
      <c r="E1511" s="462">
        <v>1600000</v>
      </c>
      <c r="F1511" s="385" t="s">
        <v>2292</v>
      </c>
      <c r="G1511" s="385" t="s">
        <v>2605</v>
      </c>
      <c r="H1511" s="387" t="s">
        <v>1625</v>
      </c>
      <c r="I1511" s="387" t="s">
        <v>1625</v>
      </c>
      <c r="J1511" s="387">
        <v>1</v>
      </c>
      <c r="K1511" s="385" t="s">
        <v>1245</v>
      </c>
    </row>
    <row r="1512" spans="1:11" ht="15.75">
      <c r="A1512" s="479">
        <v>44359</v>
      </c>
      <c r="B1512" s="381" t="s">
        <v>2182</v>
      </c>
      <c r="C1512" s="381" t="s">
        <v>3322</v>
      </c>
      <c r="D1512" s="381" t="s">
        <v>75</v>
      </c>
      <c r="E1512" s="451">
        <v>1600000</v>
      </c>
      <c r="F1512" s="381" t="s">
        <v>2292</v>
      </c>
      <c r="G1512" s="381" t="s">
        <v>2605</v>
      </c>
      <c r="H1512" s="383" t="s">
        <v>1625</v>
      </c>
      <c r="I1512" s="383" t="s">
        <v>1625</v>
      </c>
      <c r="J1512" s="383">
        <v>1</v>
      </c>
      <c r="K1512" s="381" t="s">
        <v>1171</v>
      </c>
    </row>
    <row r="1513" spans="1:11" ht="15.75">
      <c r="A1513" s="481">
        <v>44359</v>
      </c>
      <c r="B1513" s="482" t="s">
        <v>2182</v>
      </c>
      <c r="C1513" s="482" t="s">
        <v>3323</v>
      </c>
      <c r="D1513" s="482" t="s">
        <v>3059</v>
      </c>
      <c r="E1513" s="483">
        <v>1350000</v>
      </c>
      <c r="F1513" s="482" t="s">
        <v>2292</v>
      </c>
      <c r="G1513" s="482" t="s">
        <v>2605</v>
      </c>
      <c r="H1513" s="484" t="s">
        <v>1955</v>
      </c>
      <c r="I1513" s="484" t="s">
        <v>1625</v>
      </c>
      <c r="J1513" s="484">
        <v>1</v>
      </c>
      <c r="K1513" s="482" t="s">
        <v>2998</v>
      </c>
    </row>
    <row r="1514" spans="1:11" ht="15.75">
      <c r="A1514" s="443">
        <v>44451</v>
      </c>
      <c r="B1514" s="381" t="s">
        <v>2182</v>
      </c>
      <c r="C1514" s="381" t="s">
        <v>3324</v>
      </c>
      <c r="D1514" s="381" t="s">
        <v>75</v>
      </c>
      <c r="E1514" s="451">
        <v>1650000</v>
      </c>
      <c r="F1514" s="381" t="s">
        <v>1968</v>
      </c>
      <c r="G1514" s="381" t="s">
        <v>2593</v>
      </c>
      <c r="H1514" s="383" t="s">
        <v>1955</v>
      </c>
      <c r="I1514" s="383" t="s">
        <v>1625</v>
      </c>
      <c r="J1514" s="383">
        <v>1</v>
      </c>
      <c r="K1514" s="381" t="s">
        <v>1171</v>
      </c>
    </row>
    <row r="1515" spans="1:11" ht="15.75">
      <c r="A1515" s="412">
        <v>44451</v>
      </c>
      <c r="B1515" s="411" t="s">
        <v>2182</v>
      </c>
      <c r="C1515" s="381" t="s">
        <v>3325</v>
      </c>
      <c r="D1515" s="381" t="s">
        <v>2711</v>
      </c>
      <c r="E1515" s="451">
        <v>1280000</v>
      </c>
      <c r="F1515" s="381" t="s">
        <v>2292</v>
      </c>
      <c r="G1515" s="381" t="s">
        <v>2605</v>
      </c>
      <c r="H1515" s="383" t="s">
        <v>1955</v>
      </c>
      <c r="I1515" s="383" t="s">
        <v>1625</v>
      </c>
      <c r="J1515" s="383">
        <v>1</v>
      </c>
      <c r="K1515" s="381" t="s">
        <v>2998</v>
      </c>
    </row>
    <row r="1516" spans="1:11" ht="15.75">
      <c r="A1516" s="412">
        <v>44481</v>
      </c>
      <c r="B1516" s="411" t="s">
        <v>2182</v>
      </c>
      <c r="C1516" s="381" t="s">
        <v>3326</v>
      </c>
      <c r="D1516" s="381" t="s">
        <v>3327</v>
      </c>
      <c r="E1516" s="451">
        <v>1550000</v>
      </c>
      <c r="F1516" s="381" t="s">
        <v>1968</v>
      </c>
      <c r="G1516" s="381" t="s">
        <v>2593</v>
      </c>
      <c r="H1516" s="383" t="s">
        <v>1625</v>
      </c>
      <c r="I1516" s="383" t="s">
        <v>1625</v>
      </c>
      <c r="J1516" s="383">
        <v>1</v>
      </c>
      <c r="K1516" s="381" t="s">
        <v>1245</v>
      </c>
    </row>
    <row r="1517" spans="1:11" ht="15.75">
      <c r="A1517" s="412" t="s">
        <v>3302</v>
      </c>
      <c r="B1517" s="411" t="s">
        <v>2182</v>
      </c>
      <c r="C1517" s="381" t="s">
        <v>755</v>
      </c>
      <c r="D1517" s="381" t="s">
        <v>3059</v>
      </c>
      <c r="E1517" s="451">
        <v>1300000</v>
      </c>
      <c r="F1517" s="381" t="s">
        <v>2290</v>
      </c>
      <c r="G1517" s="381" t="s">
        <v>2605</v>
      </c>
      <c r="H1517" s="383" t="s">
        <v>1625</v>
      </c>
      <c r="I1517" s="383" t="s">
        <v>1625</v>
      </c>
      <c r="J1517" s="383">
        <v>1</v>
      </c>
      <c r="K1517" s="381" t="s">
        <v>1171</v>
      </c>
    </row>
    <row r="1518" spans="1:11" ht="15.75">
      <c r="A1518" s="393" t="s">
        <v>3302</v>
      </c>
      <c r="B1518" s="381" t="s">
        <v>2182</v>
      </c>
      <c r="C1518" s="381" t="s">
        <v>3328</v>
      </c>
      <c r="D1518" s="381" t="s">
        <v>3329</v>
      </c>
      <c r="E1518" s="451">
        <v>1900000</v>
      </c>
      <c r="F1518" s="381" t="s">
        <v>1968</v>
      </c>
      <c r="G1518" s="381" t="s">
        <v>30</v>
      </c>
      <c r="H1518" s="383" t="s">
        <v>1625</v>
      </c>
      <c r="I1518" s="383" t="s">
        <v>1625</v>
      </c>
      <c r="J1518" s="383">
        <v>1</v>
      </c>
      <c r="K1518" s="381" t="s">
        <v>2998</v>
      </c>
    </row>
    <row r="1519" spans="1:11" ht="15.75">
      <c r="A1519" s="393" t="s">
        <v>3304</v>
      </c>
      <c r="B1519" s="381" t="s">
        <v>1952</v>
      </c>
      <c r="C1519" s="381" t="s">
        <v>3330</v>
      </c>
      <c r="D1519" s="381" t="s">
        <v>3059</v>
      </c>
      <c r="E1519" s="451">
        <v>1200000</v>
      </c>
      <c r="F1519" s="381" t="s">
        <v>2292</v>
      </c>
      <c r="G1519" s="381" t="s">
        <v>2605</v>
      </c>
      <c r="H1519" s="383" t="s">
        <v>1625</v>
      </c>
      <c r="I1519" s="383" t="s">
        <v>1625</v>
      </c>
      <c r="J1519" s="383">
        <v>1</v>
      </c>
      <c r="K1519" s="381" t="s">
        <v>1245</v>
      </c>
    </row>
    <row r="1520" spans="1:11" ht="15.75">
      <c r="A1520" s="393" t="s">
        <v>3304</v>
      </c>
      <c r="B1520" s="381" t="s">
        <v>2060</v>
      </c>
      <c r="C1520" s="381" t="s">
        <v>3331</v>
      </c>
      <c r="D1520" s="381" t="s">
        <v>3332</v>
      </c>
      <c r="E1520" s="451">
        <v>1500000</v>
      </c>
      <c r="F1520" s="381" t="s">
        <v>1968</v>
      </c>
      <c r="G1520" s="381" t="s">
        <v>2741</v>
      </c>
      <c r="H1520" s="383" t="s">
        <v>1625</v>
      </c>
      <c r="I1520" s="383" t="s">
        <v>1625</v>
      </c>
      <c r="J1520" s="383">
        <v>1</v>
      </c>
      <c r="K1520" s="381" t="s">
        <v>1171</v>
      </c>
    </row>
    <row r="1521" spans="1:11" ht="15.75">
      <c r="A1521" s="393" t="s">
        <v>3304</v>
      </c>
      <c r="B1521" s="381" t="s">
        <v>2182</v>
      </c>
      <c r="C1521" s="381" t="s">
        <v>733</v>
      </c>
      <c r="D1521" s="381" t="s">
        <v>3059</v>
      </c>
      <c r="E1521" s="451">
        <v>1300000</v>
      </c>
      <c r="F1521" s="381" t="s">
        <v>1968</v>
      </c>
      <c r="G1521" s="381" t="s">
        <v>2605</v>
      </c>
      <c r="H1521" s="383" t="s">
        <v>1625</v>
      </c>
      <c r="I1521" s="383" t="s">
        <v>1625</v>
      </c>
      <c r="J1521" s="383">
        <v>1</v>
      </c>
      <c r="K1521" s="381" t="s">
        <v>2998</v>
      </c>
    </row>
    <row r="1522" spans="1:11" ht="15.75">
      <c r="A1522" s="393" t="s">
        <v>3333</v>
      </c>
      <c r="B1522" s="381" t="s">
        <v>2182</v>
      </c>
      <c r="C1522" s="381" t="s">
        <v>3334</v>
      </c>
      <c r="D1522" s="381" t="s">
        <v>2661</v>
      </c>
      <c r="E1522" s="451">
        <v>850000</v>
      </c>
      <c r="F1522" s="381" t="s">
        <v>1968</v>
      </c>
      <c r="G1522" s="381" t="s">
        <v>30</v>
      </c>
      <c r="H1522" s="383" t="s">
        <v>1625</v>
      </c>
      <c r="I1522" s="383" t="s">
        <v>1625</v>
      </c>
      <c r="J1522" s="383">
        <v>1</v>
      </c>
      <c r="K1522" s="381" t="s">
        <v>1245</v>
      </c>
    </row>
    <row r="1523" spans="1:11" ht="15.75">
      <c r="A1523" s="393" t="s">
        <v>3308</v>
      </c>
      <c r="B1523" s="381" t="s">
        <v>2182</v>
      </c>
      <c r="C1523" s="381" t="s">
        <v>3335</v>
      </c>
      <c r="D1523" s="381" t="s">
        <v>3336</v>
      </c>
      <c r="E1523" s="451">
        <v>2400000</v>
      </c>
      <c r="F1523" s="381" t="s">
        <v>1968</v>
      </c>
      <c r="G1523" s="381" t="s">
        <v>2605</v>
      </c>
      <c r="H1523" s="383" t="s">
        <v>1955</v>
      </c>
      <c r="I1523" s="383" t="s">
        <v>1625</v>
      </c>
      <c r="J1523" s="383">
        <v>1</v>
      </c>
      <c r="K1523" s="381" t="s">
        <v>1171</v>
      </c>
    </row>
    <row r="1524" spans="1:11" ht="15.75">
      <c r="A1524" s="393" t="s">
        <v>3285</v>
      </c>
      <c r="B1524" s="381" t="s">
        <v>2182</v>
      </c>
      <c r="C1524" s="381" t="s">
        <v>689</v>
      </c>
      <c r="D1524" s="381" t="s">
        <v>2347</v>
      </c>
      <c r="E1524" s="451">
        <v>1000000</v>
      </c>
      <c r="F1524" s="381" t="s">
        <v>2292</v>
      </c>
      <c r="G1524" s="381" t="s">
        <v>2605</v>
      </c>
      <c r="H1524" s="383" t="s">
        <v>1625</v>
      </c>
      <c r="I1524" s="383" t="s">
        <v>1625</v>
      </c>
      <c r="J1524" s="383">
        <v>1</v>
      </c>
      <c r="K1524" s="381" t="s">
        <v>1171</v>
      </c>
    </row>
    <row r="1525" spans="1:11" ht="15.75">
      <c r="A1525" s="393" t="s">
        <v>3285</v>
      </c>
      <c r="B1525" s="381" t="s">
        <v>1966</v>
      </c>
      <c r="C1525" s="381" t="s">
        <v>3337</v>
      </c>
      <c r="D1525" s="381" t="s">
        <v>3169</v>
      </c>
      <c r="E1525" s="451">
        <v>1400000</v>
      </c>
      <c r="F1525" s="381" t="s">
        <v>1968</v>
      </c>
      <c r="G1525" s="381" t="s">
        <v>30</v>
      </c>
      <c r="H1525" s="383" t="s">
        <v>1625</v>
      </c>
      <c r="I1525" s="383" t="s">
        <v>1625</v>
      </c>
      <c r="J1525" s="383">
        <v>1</v>
      </c>
      <c r="K1525" s="381" t="s">
        <v>2998</v>
      </c>
    </row>
    <row r="1526" spans="1:11" ht="15.75">
      <c r="A1526" s="393" t="s">
        <v>3285</v>
      </c>
      <c r="B1526" s="381" t="s">
        <v>2182</v>
      </c>
      <c r="C1526" s="381" t="s">
        <v>3338</v>
      </c>
      <c r="D1526" s="381" t="s">
        <v>75</v>
      </c>
      <c r="E1526" s="451">
        <v>1500000</v>
      </c>
      <c r="F1526" s="381" t="s">
        <v>2292</v>
      </c>
      <c r="G1526" s="381" t="s">
        <v>2605</v>
      </c>
      <c r="H1526" s="383" t="s">
        <v>1625</v>
      </c>
      <c r="I1526" s="383" t="s">
        <v>1625</v>
      </c>
      <c r="J1526" s="383">
        <v>1</v>
      </c>
      <c r="K1526" s="381" t="s">
        <v>1245</v>
      </c>
    </row>
    <row r="1527" spans="1:11" ht="15.75">
      <c r="A1527" s="393" t="s">
        <v>3311</v>
      </c>
      <c r="B1527" s="381" t="s">
        <v>2060</v>
      </c>
      <c r="C1527" s="381" t="s">
        <v>3339</v>
      </c>
      <c r="D1527" s="381" t="s">
        <v>2700</v>
      </c>
      <c r="E1527" s="451">
        <v>280000</v>
      </c>
      <c r="F1527" s="381" t="s">
        <v>1968</v>
      </c>
      <c r="G1527" s="381" t="s">
        <v>2593</v>
      </c>
      <c r="H1527" s="383" t="s">
        <v>1625</v>
      </c>
      <c r="I1527" s="383" t="s">
        <v>1625</v>
      </c>
      <c r="J1527" s="383">
        <v>1</v>
      </c>
      <c r="K1527" s="381" t="s">
        <v>1171</v>
      </c>
    </row>
    <row r="1528" spans="1:11" ht="15.75">
      <c r="A1528" s="393" t="s">
        <v>3311</v>
      </c>
      <c r="B1528" s="381" t="s">
        <v>2060</v>
      </c>
      <c r="C1528" s="381" t="s">
        <v>3340</v>
      </c>
      <c r="D1528" s="381" t="s">
        <v>2700</v>
      </c>
      <c r="E1528" s="451">
        <v>280000</v>
      </c>
      <c r="F1528" s="381" t="s">
        <v>1968</v>
      </c>
      <c r="G1528" s="381" t="s">
        <v>2593</v>
      </c>
      <c r="H1528" s="383" t="s">
        <v>1625</v>
      </c>
      <c r="I1528" s="383" t="s">
        <v>1625</v>
      </c>
      <c r="J1528" s="383">
        <v>1</v>
      </c>
      <c r="K1528" s="381" t="s">
        <v>2998</v>
      </c>
    </row>
    <row r="1529" spans="1:11" ht="15.75">
      <c r="A1529" s="393" t="s">
        <v>3311</v>
      </c>
      <c r="B1529" s="381" t="s">
        <v>2060</v>
      </c>
      <c r="C1529" s="381" t="s">
        <v>3341</v>
      </c>
      <c r="D1529" s="381" t="s">
        <v>2700</v>
      </c>
      <c r="E1529" s="451">
        <v>550000</v>
      </c>
      <c r="F1529" s="381" t="s">
        <v>1968</v>
      </c>
      <c r="G1529" s="381" t="s">
        <v>2593</v>
      </c>
      <c r="H1529" s="383" t="s">
        <v>1625</v>
      </c>
      <c r="I1529" s="383" t="s">
        <v>1625</v>
      </c>
      <c r="J1529" s="383">
        <v>1</v>
      </c>
      <c r="K1529" s="381" t="s">
        <v>1245</v>
      </c>
    </row>
    <row r="1530" spans="1:11" ht="15.75">
      <c r="A1530" s="393" t="s">
        <v>3311</v>
      </c>
      <c r="B1530" s="381" t="s">
        <v>2060</v>
      </c>
      <c r="C1530" s="381" t="s">
        <v>3342</v>
      </c>
      <c r="D1530" s="381" t="s">
        <v>2700</v>
      </c>
      <c r="E1530" s="451">
        <v>500000</v>
      </c>
      <c r="F1530" s="381" t="s">
        <v>1968</v>
      </c>
      <c r="G1530" s="381" t="s">
        <v>2593</v>
      </c>
      <c r="H1530" s="383" t="s">
        <v>1625</v>
      </c>
      <c r="I1530" s="383" t="s">
        <v>1625</v>
      </c>
      <c r="J1530" s="383">
        <v>1</v>
      </c>
      <c r="K1530" s="381" t="s">
        <v>1171</v>
      </c>
    </row>
    <row r="1531" spans="1:11" ht="15.75">
      <c r="A1531" s="393" t="s">
        <v>3311</v>
      </c>
      <c r="B1531" s="381" t="s">
        <v>2060</v>
      </c>
      <c r="C1531" s="381" t="s">
        <v>3343</v>
      </c>
      <c r="D1531" s="381" t="s">
        <v>2700</v>
      </c>
      <c r="E1531" s="451">
        <v>750000</v>
      </c>
      <c r="F1531" s="381" t="s">
        <v>1968</v>
      </c>
      <c r="G1531" s="381" t="s">
        <v>2593</v>
      </c>
      <c r="H1531" s="383" t="s">
        <v>1625</v>
      </c>
      <c r="I1531" s="383" t="s">
        <v>1625</v>
      </c>
      <c r="J1531" s="383">
        <v>1</v>
      </c>
      <c r="K1531" s="381" t="s">
        <v>2998</v>
      </c>
    </row>
    <row r="1532" spans="1:11" ht="15.75">
      <c r="A1532" s="393" t="s">
        <v>3311</v>
      </c>
      <c r="B1532" s="381" t="s">
        <v>2060</v>
      </c>
      <c r="C1532" s="381" t="s">
        <v>3344</v>
      </c>
      <c r="D1532" s="381" t="s">
        <v>2700</v>
      </c>
      <c r="E1532" s="451">
        <v>850000</v>
      </c>
      <c r="F1532" s="381" t="s">
        <v>1968</v>
      </c>
      <c r="G1532" s="381" t="s">
        <v>2593</v>
      </c>
      <c r="H1532" s="383" t="s">
        <v>1625</v>
      </c>
      <c r="I1532" s="383" t="s">
        <v>1625</v>
      </c>
      <c r="J1532" s="383">
        <v>1</v>
      </c>
      <c r="K1532" s="381" t="s">
        <v>1245</v>
      </c>
    </row>
    <row r="1533" spans="1:11" ht="15.75">
      <c r="A1533" s="393" t="s">
        <v>3311</v>
      </c>
      <c r="B1533" s="381" t="s">
        <v>2182</v>
      </c>
      <c r="C1533" s="381" t="s">
        <v>3345</v>
      </c>
      <c r="D1533" s="381" t="s">
        <v>75</v>
      </c>
      <c r="E1533" s="451">
        <v>1400000</v>
      </c>
      <c r="F1533" s="381" t="s">
        <v>2292</v>
      </c>
      <c r="G1533" s="381" t="s">
        <v>2741</v>
      </c>
      <c r="H1533" s="383" t="s">
        <v>1625</v>
      </c>
      <c r="I1533" s="383" t="s">
        <v>1625</v>
      </c>
      <c r="J1533" s="383">
        <v>1</v>
      </c>
      <c r="K1533" s="381" t="s">
        <v>1171</v>
      </c>
    </row>
    <row r="1534" spans="1:11" ht="15.75">
      <c r="A1534" s="393"/>
      <c r="B1534" s="381"/>
      <c r="C1534" s="381"/>
      <c r="D1534" s="381"/>
      <c r="E1534" s="451"/>
      <c r="F1534" s="381"/>
      <c r="G1534" s="381"/>
      <c r="H1534" s="383"/>
      <c r="I1534" s="383"/>
      <c r="J1534" s="383"/>
      <c r="K1534" s="381"/>
    </row>
    <row r="1535" spans="1:11" ht="15.75">
      <c r="A1535" s="456"/>
      <c r="B1535" s="457"/>
      <c r="C1535" s="457"/>
      <c r="D1535" s="457"/>
      <c r="E1535" s="476"/>
      <c r="F1535" s="457"/>
      <c r="G1535" s="457"/>
      <c r="H1535" s="153"/>
      <c r="I1535" s="153"/>
      <c r="J1535" s="493">
        <f>SUM(J1506:J1534)</f>
        <v>28</v>
      </c>
      <c r="K1535" s="457"/>
    </row>
    <row r="1536" spans="1:11" ht="26.25">
      <c r="A1536" s="1667" t="s">
        <v>3346</v>
      </c>
      <c r="B1536" s="1667"/>
      <c r="C1536" s="1667"/>
      <c r="D1536" s="1667"/>
      <c r="E1536" s="1667"/>
      <c r="F1536" s="1667"/>
      <c r="G1536" s="1667"/>
      <c r="H1536" s="1667"/>
      <c r="I1536" s="1667"/>
      <c r="J1536" s="1667"/>
      <c r="K1536" s="1667"/>
    </row>
    <row r="1537" spans="1:11" ht="31.5">
      <c r="A1537" s="375" t="s">
        <v>1941</v>
      </c>
      <c r="B1537" s="378" t="s">
        <v>1942</v>
      </c>
      <c r="C1537" s="378" t="s">
        <v>1943</v>
      </c>
      <c r="D1537" s="378" t="s">
        <v>1944</v>
      </c>
      <c r="E1537" s="452" t="s">
        <v>1945</v>
      </c>
      <c r="F1537" s="378" t="s">
        <v>1946</v>
      </c>
      <c r="G1537" s="378" t="s">
        <v>2590</v>
      </c>
      <c r="H1537" s="378" t="s">
        <v>1947</v>
      </c>
      <c r="I1537" s="378" t="s">
        <v>1948</v>
      </c>
      <c r="J1537" s="453" t="s">
        <v>1949</v>
      </c>
      <c r="K1537" s="378" t="s">
        <v>1950</v>
      </c>
    </row>
    <row r="1538" spans="1:11" ht="15.75">
      <c r="A1538" s="922"/>
      <c r="B1538" s="618"/>
      <c r="C1538" s="472"/>
      <c r="D1538" s="472"/>
      <c r="E1538" s="475"/>
      <c r="F1538" s="472"/>
      <c r="G1538" s="472"/>
      <c r="H1538" s="473"/>
      <c r="I1538" s="473"/>
      <c r="J1538" s="473"/>
      <c r="K1538" s="472"/>
    </row>
    <row r="1539" spans="1:11" ht="15.75">
      <c r="A1539" s="454"/>
      <c r="B1539" s="455"/>
      <c r="C1539" s="459"/>
      <c r="D1539" s="455"/>
      <c r="E1539" s="461"/>
      <c r="F1539" s="654"/>
      <c r="G1539" s="464"/>
      <c r="H1539" s="655"/>
      <c r="I1539" s="460"/>
      <c r="J1539" s="460"/>
      <c r="K1539" s="455"/>
    </row>
    <row r="1540" spans="1:11" ht="15.75">
      <c r="A1540" s="611"/>
      <c r="B1540" s="472"/>
      <c r="C1540" s="472"/>
      <c r="D1540" s="472"/>
      <c r="E1540" s="475"/>
      <c r="F1540" s="472"/>
      <c r="G1540" s="472"/>
      <c r="H1540" s="473"/>
      <c r="I1540" s="473"/>
      <c r="J1540" s="473"/>
      <c r="K1540" s="472"/>
    </row>
    <row r="1541" spans="1:11" ht="15.75">
      <c r="A1541" s="579" t="s">
        <v>3293</v>
      </c>
      <c r="B1541" s="381" t="s">
        <v>1952</v>
      </c>
      <c r="C1541" s="381" t="s">
        <v>3347</v>
      </c>
      <c r="D1541" s="381" t="s">
        <v>2347</v>
      </c>
      <c r="E1541" s="451">
        <v>1200000</v>
      </c>
      <c r="F1541" s="381" t="s">
        <v>2292</v>
      </c>
      <c r="G1541" s="381" t="s">
        <v>2605</v>
      </c>
      <c r="H1541" s="383" t="s">
        <v>1625</v>
      </c>
      <c r="I1541" s="383" t="s">
        <v>1625</v>
      </c>
      <c r="J1541" s="383">
        <v>1</v>
      </c>
      <c r="K1541" s="381" t="s">
        <v>2998</v>
      </c>
    </row>
    <row r="1542" spans="1:11" ht="15.75">
      <c r="A1542" s="579">
        <v>44239</v>
      </c>
      <c r="B1542" s="381" t="s">
        <v>1952</v>
      </c>
      <c r="C1542" s="381" t="s">
        <v>3348</v>
      </c>
      <c r="D1542" s="381" t="s">
        <v>2966</v>
      </c>
      <c r="E1542" s="451">
        <v>1250000</v>
      </c>
      <c r="F1542" s="381" t="s">
        <v>2292</v>
      </c>
      <c r="G1542" s="381" t="s">
        <v>2605</v>
      </c>
      <c r="H1542" s="383" t="s">
        <v>1625</v>
      </c>
      <c r="I1542" s="383" t="s">
        <v>1625</v>
      </c>
      <c r="J1542" s="383">
        <v>1</v>
      </c>
      <c r="K1542" s="381" t="s">
        <v>1245</v>
      </c>
    </row>
    <row r="1543" spans="1:11" ht="15.75">
      <c r="A1543" s="579" t="s">
        <v>3283</v>
      </c>
      <c r="B1543" s="381" t="s">
        <v>2182</v>
      </c>
      <c r="C1543" s="381" t="s">
        <v>702</v>
      </c>
      <c r="D1543" s="381" t="s">
        <v>2347</v>
      </c>
      <c r="E1543" s="451">
        <v>1400000</v>
      </c>
      <c r="F1543" s="381" t="s">
        <v>2292</v>
      </c>
      <c r="G1543" s="381" t="s">
        <v>30</v>
      </c>
      <c r="H1543" s="383" t="s">
        <v>1625</v>
      </c>
      <c r="I1543" s="383" t="s">
        <v>1625</v>
      </c>
      <c r="J1543" s="383">
        <v>1</v>
      </c>
      <c r="K1543" s="381" t="s">
        <v>1171</v>
      </c>
    </row>
    <row r="1544" spans="1:11" ht="15.75">
      <c r="A1544" s="579"/>
      <c r="B1544" s="381"/>
      <c r="C1544" s="381"/>
      <c r="D1544" s="381"/>
      <c r="E1544" s="451"/>
      <c r="F1544" s="381"/>
      <c r="G1544" s="381"/>
      <c r="H1544" s="383"/>
      <c r="I1544" s="383"/>
      <c r="J1544" s="383"/>
      <c r="K1544" s="381"/>
    </row>
    <row r="1545" spans="1:11" ht="15.75">
      <c r="A1545" s="744"/>
      <c r="B1545" s="381"/>
      <c r="C1545" s="381"/>
      <c r="D1545" s="381"/>
      <c r="E1545" s="451"/>
      <c r="F1545" s="381"/>
      <c r="G1545" s="381"/>
      <c r="H1545" s="383"/>
      <c r="I1545" s="383"/>
      <c r="J1545" s="383"/>
      <c r="K1545" s="381"/>
    </row>
    <row r="1546" spans="1:11" ht="15.75">
      <c r="A1546" s="393"/>
      <c r="B1546" s="610"/>
      <c r="C1546" s="482"/>
      <c r="D1546" s="482"/>
      <c r="E1546" s="483"/>
      <c r="F1546" s="482"/>
      <c r="G1546" s="482"/>
      <c r="H1546" s="484"/>
      <c r="I1546" s="484"/>
      <c r="J1546" s="484"/>
      <c r="K1546" s="482"/>
    </row>
    <row r="1547" spans="1:11" ht="15.75">
      <c r="A1547" s="412"/>
      <c r="B1547" s="411"/>
      <c r="C1547" s="381"/>
      <c r="D1547" s="381"/>
      <c r="E1547" s="451"/>
      <c r="F1547" s="381"/>
      <c r="G1547" s="381"/>
      <c r="H1547" s="383"/>
      <c r="I1547" s="383"/>
      <c r="J1547" s="383"/>
      <c r="K1547" s="381"/>
    </row>
    <row r="1548" spans="1:11" ht="15.75">
      <c r="A1548" s="928"/>
      <c r="B1548" s="420"/>
      <c r="C1548" s="743"/>
      <c r="D1548" s="633"/>
      <c r="E1548" s="644"/>
      <c r="F1548" s="633"/>
      <c r="G1548" s="633"/>
      <c r="H1548" s="635"/>
      <c r="I1548" s="635"/>
      <c r="J1548" s="387"/>
      <c r="K1548" s="385"/>
    </row>
    <row r="1549" spans="1:11" ht="15.75">
      <c r="A1549" s="393"/>
      <c r="B1549" s="381"/>
      <c r="C1549" s="381"/>
      <c r="D1549" s="381"/>
      <c r="E1549" s="451"/>
      <c r="F1549" s="381"/>
      <c r="G1549" s="381"/>
      <c r="H1549" s="383"/>
      <c r="I1549" s="383"/>
      <c r="J1549" s="383"/>
      <c r="K1549" s="381"/>
    </row>
    <row r="1550" spans="1:11" ht="15.75">
      <c r="A1550" s="456"/>
      <c r="B1550" s="457"/>
      <c r="C1550" s="457"/>
      <c r="D1550" s="457"/>
      <c r="E1550" s="476"/>
      <c r="F1550" s="457"/>
      <c r="G1550" s="457"/>
      <c r="H1550" s="153"/>
      <c r="I1550" s="153"/>
      <c r="J1550" s="493">
        <f>SUM(J1538:J1549)</f>
        <v>3</v>
      </c>
      <c r="K1550" s="457"/>
    </row>
    <row r="1551" spans="1:11" ht="15.75">
      <c r="A1551" s="394"/>
      <c r="B1551" s="395"/>
      <c r="C1551" s="395"/>
      <c r="D1551" s="395"/>
      <c r="E1551" s="396"/>
      <c r="F1551" s="397"/>
      <c r="G1551" s="397"/>
      <c r="H1551" s="395"/>
      <c r="I1551" s="395"/>
      <c r="J1551" s="395"/>
      <c r="K1551" s="395"/>
    </row>
    <row r="1552" spans="1:11" ht="15.75">
      <c r="A1552" s="394"/>
      <c r="B1552" s="395"/>
      <c r="C1552" s="395"/>
      <c r="D1552" s="395"/>
      <c r="E1552" s="396"/>
      <c r="F1552" s="397"/>
      <c r="G1552" s="397"/>
      <c r="H1552" s="395"/>
      <c r="I1552" s="395"/>
      <c r="J1552" s="395"/>
      <c r="K1552" s="395"/>
    </row>
    <row r="1554" spans="1:11" ht="26.25">
      <c r="A1554" s="1668" t="s">
        <v>3349</v>
      </c>
      <c r="B1554" s="1669"/>
      <c r="C1554" s="1669"/>
      <c r="D1554" s="1669"/>
      <c r="E1554" s="1669"/>
      <c r="F1554" s="1669"/>
      <c r="G1554" s="1669"/>
      <c r="H1554" s="1669"/>
      <c r="I1554" s="1669"/>
      <c r="J1554" s="1669"/>
      <c r="K1554" s="1670"/>
    </row>
    <row r="1555" spans="1:11" ht="31.5">
      <c r="A1555" s="375" t="s">
        <v>1941</v>
      </c>
      <c r="B1555" s="378" t="s">
        <v>1942</v>
      </c>
      <c r="C1555" s="378" t="s">
        <v>1943</v>
      </c>
      <c r="D1555" s="378" t="s">
        <v>1944</v>
      </c>
      <c r="E1555" s="452" t="s">
        <v>1945</v>
      </c>
      <c r="F1555" s="378" t="s">
        <v>1946</v>
      </c>
      <c r="G1555" s="378" t="s">
        <v>2590</v>
      </c>
      <c r="H1555" s="378" t="s">
        <v>1947</v>
      </c>
      <c r="I1555" s="378" t="s">
        <v>1948</v>
      </c>
      <c r="J1555" s="453" t="s">
        <v>1949</v>
      </c>
      <c r="K1555" s="378" t="s">
        <v>1950</v>
      </c>
    </row>
    <row r="1556" spans="1:11" ht="15.75">
      <c r="A1556" s="922" t="s">
        <v>3333</v>
      </c>
      <c r="B1556" s="618" t="s">
        <v>1952</v>
      </c>
      <c r="C1556" s="472" t="s">
        <v>3350</v>
      </c>
      <c r="D1556" s="472" t="s">
        <v>2326</v>
      </c>
      <c r="E1556" s="475">
        <v>160000000</v>
      </c>
      <c r="F1556" s="472" t="s">
        <v>1968</v>
      </c>
      <c r="G1556" s="472" t="s">
        <v>3351</v>
      </c>
      <c r="H1556" s="473" t="s">
        <v>1955</v>
      </c>
      <c r="I1556" s="473" t="s">
        <v>1625</v>
      </c>
      <c r="J1556" s="473">
        <v>1</v>
      </c>
      <c r="K1556" s="472" t="s">
        <v>2629</v>
      </c>
    </row>
    <row r="1557" spans="1:11" ht="15.75">
      <c r="A1557" s="922" t="s">
        <v>3283</v>
      </c>
      <c r="B1557" s="618" t="s">
        <v>2182</v>
      </c>
      <c r="C1557" s="578" t="s">
        <v>3352</v>
      </c>
      <c r="D1557" s="472" t="s">
        <v>2711</v>
      </c>
      <c r="E1557" s="475">
        <v>330000000</v>
      </c>
      <c r="F1557" s="472" t="s">
        <v>1968</v>
      </c>
      <c r="G1557" s="472" t="s">
        <v>2605</v>
      </c>
      <c r="H1557" s="473" t="s">
        <v>1955</v>
      </c>
      <c r="I1557" s="473" t="s">
        <v>1625</v>
      </c>
      <c r="J1557" s="473">
        <v>1</v>
      </c>
      <c r="K1557" s="472" t="s">
        <v>2629</v>
      </c>
    </row>
    <row r="1558" spans="1:11" ht="15.75">
      <c r="A1558" s="932" t="s">
        <v>3285</v>
      </c>
      <c r="B1558" s="821" t="s">
        <v>2182</v>
      </c>
      <c r="C1558" s="820" t="s">
        <v>769</v>
      </c>
      <c r="D1558" s="472" t="s">
        <v>3353</v>
      </c>
      <c r="E1558" s="475">
        <v>190000000</v>
      </c>
      <c r="F1558" s="472" t="s">
        <v>2292</v>
      </c>
      <c r="G1558" s="472" t="s">
        <v>2605</v>
      </c>
      <c r="H1558" s="473" t="s">
        <v>1955</v>
      </c>
      <c r="I1558" s="473" t="s">
        <v>1625</v>
      </c>
      <c r="J1558" s="473">
        <v>1</v>
      </c>
      <c r="K1558" s="472" t="s">
        <v>2629</v>
      </c>
    </row>
    <row r="1559" spans="1:11" ht="15.75">
      <c r="A1559" s="384" t="s">
        <v>3288</v>
      </c>
      <c r="B1559" s="577" t="s">
        <v>1952</v>
      </c>
      <c r="C1559" s="385" t="s">
        <v>3354</v>
      </c>
      <c r="D1559" s="385" t="s">
        <v>75</v>
      </c>
      <c r="E1559" s="462">
        <v>1650000</v>
      </c>
      <c r="F1559" s="385" t="s">
        <v>2290</v>
      </c>
      <c r="G1559" s="385" t="s">
        <v>2605</v>
      </c>
      <c r="H1559" s="387" t="s">
        <v>1625</v>
      </c>
      <c r="I1559" s="387" t="s">
        <v>1625</v>
      </c>
      <c r="J1559" s="387">
        <v>1</v>
      </c>
      <c r="K1559" s="385" t="s">
        <v>2998</v>
      </c>
    </row>
    <row r="1560" spans="1:11" ht="15.75">
      <c r="A1560" s="384" t="s">
        <v>3288</v>
      </c>
      <c r="B1560" s="577" t="s">
        <v>1966</v>
      </c>
      <c r="C1560" s="426" t="s">
        <v>3355</v>
      </c>
      <c r="D1560" s="385" t="s">
        <v>2845</v>
      </c>
      <c r="E1560" s="462">
        <v>3000000</v>
      </c>
      <c r="F1560" s="385" t="s">
        <v>2292</v>
      </c>
      <c r="G1560" s="385" t="s">
        <v>2605</v>
      </c>
      <c r="H1560" s="387" t="s">
        <v>1955</v>
      </c>
      <c r="I1560" s="387" t="s">
        <v>1625</v>
      </c>
      <c r="J1560" s="387">
        <v>1</v>
      </c>
      <c r="K1560" s="385" t="s">
        <v>1245</v>
      </c>
    </row>
    <row r="1561" spans="1:11" ht="15.75">
      <c r="A1561" s="384" t="s">
        <v>3293</v>
      </c>
      <c r="B1561" s="577" t="s">
        <v>1952</v>
      </c>
      <c r="C1561" s="426" t="s">
        <v>3356</v>
      </c>
      <c r="D1561" s="385" t="s">
        <v>75</v>
      </c>
      <c r="E1561" s="462">
        <v>1600000</v>
      </c>
      <c r="F1561" s="385" t="s">
        <v>1968</v>
      </c>
      <c r="G1561" s="385" t="s">
        <v>2605</v>
      </c>
      <c r="H1561" s="387" t="s">
        <v>1625</v>
      </c>
      <c r="I1561" s="387" t="s">
        <v>1625</v>
      </c>
      <c r="J1561" s="387">
        <v>1</v>
      </c>
      <c r="K1561" s="385" t="s">
        <v>1171</v>
      </c>
    </row>
    <row r="1562" spans="1:11" ht="15.75">
      <c r="A1562" s="393" t="s">
        <v>3293</v>
      </c>
      <c r="B1562" s="381" t="s">
        <v>2060</v>
      </c>
      <c r="C1562" s="411" t="s">
        <v>3357</v>
      </c>
      <c r="D1562" s="381" t="s">
        <v>75</v>
      </c>
      <c r="E1562" s="451">
        <v>1500000</v>
      </c>
      <c r="F1562" s="381" t="s">
        <v>1968</v>
      </c>
      <c r="G1562" s="381" t="s">
        <v>3150</v>
      </c>
      <c r="H1562" s="383" t="s">
        <v>1625</v>
      </c>
      <c r="I1562" s="383" t="s">
        <v>1625</v>
      </c>
      <c r="J1562" s="383">
        <v>1</v>
      </c>
      <c r="K1562" s="381" t="s">
        <v>2998</v>
      </c>
    </row>
    <row r="1563" spans="1:11" ht="15.75">
      <c r="A1563" s="925" t="s">
        <v>3293</v>
      </c>
      <c r="B1563" s="610" t="s">
        <v>2060</v>
      </c>
      <c r="C1563" s="381" t="s">
        <v>3358</v>
      </c>
      <c r="D1563" s="381" t="s">
        <v>75</v>
      </c>
      <c r="E1563" s="451">
        <v>1500000</v>
      </c>
      <c r="F1563" s="381" t="s">
        <v>1968</v>
      </c>
      <c r="G1563" s="381" t="s">
        <v>3150</v>
      </c>
      <c r="H1563" s="383" t="s">
        <v>1625</v>
      </c>
      <c r="I1563" s="383" t="s">
        <v>1625</v>
      </c>
      <c r="J1563" s="383">
        <v>1</v>
      </c>
      <c r="K1563" s="381" t="s">
        <v>1245</v>
      </c>
    </row>
    <row r="1564" spans="1:11" ht="15.75">
      <c r="A1564" s="412" t="s">
        <v>3293</v>
      </c>
      <c r="B1564" s="381" t="s">
        <v>2060</v>
      </c>
      <c r="C1564" s="426" t="s">
        <v>3359</v>
      </c>
      <c r="D1564" s="385" t="s">
        <v>75</v>
      </c>
      <c r="E1564" s="462">
        <v>1500000</v>
      </c>
      <c r="F1564" s="385" t="s">
        <v>1968</v>
      </c>
      <c r="G1564" s="385" t="s">
        <v>3150</v>
      </c>
      <c r="H1564" s="387" t="s">
        <v>1625</v>
      </c>
      <c r="I1564" s="387" t="s">
        <v>1625</v>
      </c>
      <c r="J1564" s="387">
        <v>1</v>
      </c>
      <c r="K1564" s="385" t="s">
        <v>1171</v>
      </c>
    </row>
    <row r="1565" spans="1:11" ht="15.75">
      <c r="A1565" s="412">
        <v>44239</v>
      </c>
      <c r="B1565" s="381" t="s">
        <v>1952</v>
      </c>
      <c r="C1565" s="426" t="s">
        <v>713</v>
      </c>
      <c r="D1565" s="385" t="s">
        <v>2347</v>
      </c>
      <c r="E1565" s="462">
        <v>1400000</v>
      </c>
      <c r="F1565" s="385" t="s">
        <v>2292</v>
      </c>
      <c r="G1565" s="385" t="s">
        <v>2593</v>
      </c>
      <c r="H1565" s="387" t="s">
        <v>1955</v>
      </c>
      <c r="I1565" s="387" t="s">
        <v>1625</v>
      </c>
      <c r="J1565" s="387">
        <v>1</v>
      </c>
      <c r="K1565" s="385" t="s">
        <v>2998</v>
      </c>
    </row>
    <row r="1566" spans="1:11" ht="15.75">
      <c r="A1566" s="412">
        <v>44267</v>
      </c>
      <c r="B1566" s="381" t="s">
        <v>1966</v>
      </c>
      <c r="C1566" s="426" t="s">
        <v>3360</v>
      </c>
      <c r="D1566" s="385" t="s">
        <v>75</v>
      </c>
      <c r="E1566" s="462">
        <v>3000000</v>
      </c>
      <c r="F1566" s="385" t="s">
        <v>1968</v>
      </c>
      <c r="G1566" s="385" t="s">
        <v>2593</v>
      </c>
      <c r="H1566" s="387" t="s">
        <v>1955</v>
      </c>
      <c r="I1566" s="387" t="s">
        <v>1625</v>
      </c>
      <c r="J1566" s="387">
        <v>1</v>
      </c>
      <c r="K1566" s="385" t="s">
        <v>1245</v>
      </c>
    </row>
    <row r="1567" spans="1:11" ht="15.75">
      <c r="A1567" s="928">
        <v>44481</v>
      </c>
      <c r="B1567" s="420" t="s">
        <v>1966</v>
      </c>
      <c r="C1567" s="743" t="s">
        <v>3361</v>
      </c>
      <c r="D1567" s="633" t="s">
        <v>75</v>
      </c>
      <c r="E1567" s="644">
        <v>2700000</v>
      </c>
      <c r="F1567" s="633" t="s">
        <v>2292</v>
      </c>
      <c r="G1567" s="633" t="s">
        <v>2593</v>
      </c>
      <c r="H1567" s="635" t="s">
        <v>1955</v>
      </c>
      <c r="I1567" s="635" t="s">
        <v>1625</v>
      </c>
      <c r="J1567" s="387">
        <v>1</v>
      </c>
      <c r="K1567" s="385" t="s">
        <v>1171</v>
      </c>
    </row>
    <row r="1568" spans="1:11" ht="15.75">
      <c r="A1568" s="928" t="s">
        <v>3304</v>
      </c>
      <c r="B1568" s="420" t="s">
        <v>1952</v>
      </c>
      <c r="C1568" s="743" t="s">
        <v>700</v>
      </c>
      <c r="D1568" s="633" t="s">
        <v>2711</v>
      </c>
      <c r="E1568" s="644">
        <v>1300000</v>
      </c>
      <c r="F1568" s="633" t="s">
        <v>2292</v>
      </c>
      <c r="G1568" s="633" t="s">
        <v>2593</v>
      </c>
      <c r="H1568" s="635" t="s">
        <v>1625</v>
      </c>
      <c r="I1568" s="635" t="s">
        <v>1625</v>
      </c>
      <c r="J1568" s="387">
        <v>1</v>
      </c>
      <c r="K1568" s="385" t="s">
        <v>2998</v>
      </c>
    </row>
    <row r="1569" spans="1:11" ht="15.75">
      <c r="A1569" s="928" t="s">
        <v>3304</v>
      </c>
      <c r="B1569" s="420" t="s">
        <v>1952</v>
      </c>
      <c r="C1569" s="743" t="s">
        <v>3362</v>
      </c>
      <c r="D1569" s="633" t="s">
        <v>2711</v>
      </c>
      <c r="E1569" s="644">
        <v>1200000</v>
      </c>
      <c r="F1569" s="633" t="s">
        <v>2292</v>
      </c>
      <c r="G1569" s="633" t="s">
        <v>3363</v>
      </c>
      <c r="H1569" s="635" t="s">
        <v>1625</v>
      </c>
      <c r="I1569" s="635" t="s">
        <v>1625</v>
      </c>
      <c r="J1569" s="387">
        <v>1</v>
      </c>
      <c r="K1569" s="385" t="s">
        <v>1245</v>
      </c>
    </row>
    <row r="1570" spans="1:11" ht="15.75">
      <c r="A1570" s="928" t="s">
        <v>3306</v>
      </c>
      <c r="B1570" s="420" t="s">
        <v>1952</v>
      </c>
      <c r="C1570" s="743" t="s">
        <v>3364</v>
      </c>
      <c r="D1570" s="633" t="s">
        <v>3353</v>
      </c>
      <c r="E1570" s="644">
        <v>1100000</v>
      </c>
      <c r="F1570" s="633" t="s">
        <v>2292</v>
      </c>
      <c r="G1570" s="633" t="s">
        <v>2605</v>
      </c>
      <c r="H1570" s="635" t="s">
        <v>1955</v>
      </c>
      <c r="I1570" s="635" t="s">
        <v>1625</v>
      </c>
      <c r="J1570" s="387">
        <v>1</v>
      </c>
      <c r="K1570" s="385" t="s">
        <v>1171</v>
      </c>
    </row>
    <row r="1571" spans="1:11" ht="15.75">
      <c r="A1571" s="412" t="s">
        <v>3285</v>
      </c>
      <c r="B1571" s="411" t="s">
        <v>2182</v>
      </c>
      <c r="C1571" s="381" t="s">
        <v>2899</v>
      </c>
      <c r="D1571" s="381" t="s">
        <v>2711</v>
      </c>
      <c r="E1571" s="451">
        <v>1000000</v>
      </c>
      <c r="F1571" s="381" t="s">
        <v>2292</v>
      </c>
      <c r="G1571" s="381" t="s">
        <v>2741</v>
      </c>
      <c r="H1571" s="383" t="s">
        <v>1625</v>
      </c>
      <c r="I1571" s="383" t="s">
        <v>1625</v>
      </c>
      <c r="J1571" s="383">
        <v>1</v>
      </c>
      <c r="K1571" s="381" t="s">
        <v>1245</v>
      </c>
    </row>
    <row r="1572" spans="1:11" ht="15.75">
      <c r="A1572" s="928" t="s">
        <v>3285</v>
      </c>
      <c r="B1572" s="420" t="s">
        <v>2182</v>
      </c>
      <c r="C1572" s="743" t="s">
        <v>837</v>
      </c>
      <c r="D1572" s="633" t="s">
        <v>3059</v>
      </c>
      <c r="E1572" s="644">
        <v>1650000</v>
      </c>
      <c r="F1572" s="633" t="s">
        <v>2292</v>
      </c>
      <c r="G1572" s="633" t="s">
        <v>2741</v>
      </c>
      <c r="H1572" s="635" t="s">
        <v>1955</v>
      </c>
      <c r="I1572" s="635" t="s">
        <v>1625</v>
      </c>
      <c r="J1572" s="387">
        <v>1</v>
      </c>
      <c r="K1572" s="385" t="s">
        <v>1171</v>
      </c>
    </row>
    <row r="1573" spans="1:11" ht="15.75">
      <c r="A1573" s="928" t="s">
        <v>3285</v>
      </c>
      <c r="B1573" s="420" t="s">
        <v>2182</v>
      </c>
      <c r="C1573" s="743" t="s">
        <v>754</v>
      </c>
      <c r="D1573" s="633" t="s">
        <v>75</v>
      </c>
      <c r="E1573" s="644">
        <v>1450000</v>
      </c>
      <c r="F1573" s="633" t="s">
        <v>2292</v>
      </c>
      <c r="G1573" s="633" t="s">
        <v>2741</v>
      </c>
      <c r="H1573" s="635" t="s">
        <v>1955</v>
      </c>
      <c r="I1573" s="635" t="s">
        <v>1625</v>
      </c>
      <c r="J1573" s="387">
        <v>1</v>
      </c>
      <c r="K1573" s="385" t="s">
        <v>2998</v>
      </c>
    </row>
    <row r="1574" spans="1:11" ht="15.75">
      <c r="A1574" s="928" t="s">
        <v>3285</v>
      </c>
      <c r="B1574" s="420" t="s">
        <v>2182</v>
      </c>
      <c r="C1574" s="743" t="s">
        <v>3365</v>
      </c>
      <c r="D1574" s="633" t="s">
        <v>3128</v>
      </c>
      <c r="E1574" s="644">
        <v>800000</v>
      </c>
      <c r="F1574" s="633" t="s">
        <v>2292</v>
      </c>
      <c r="G1574" s="633" t="s">
        <v>2605</v>
      </c>
      <c r="H1574" s="635" t="s">
        <v>1625</v>
      </c>
      <c r="I1574" s="635" t="s">
        <v>1625</v>
      </c>
      <c r="J1574" s="387">
        <v>1</v>
      </c>
      <c r="K1574" s="385" t="s">
        <v>1245</v>
      </c>
    </row>
    <row r="1575" spans="1:11" ht="15.75">
      <c r="A1575" s="928" t="s">
        <v>3285</v>
      </c>
      <c r="B1575" s="420" t="s">
        <v>2060</v>
      </c>
      <c r="C1575" s="743" t="s">
        <v>3366</v>
      </c>
      <c r="D1575" s="633" t="s">
        <v>3128</v>
      </c>
      <c r="E1575" s="644">
        <v>900000</v>
      </c>
      <c r="F1575" s="633" t="s">
        <v>1968</v>
      </c>
      <c r="G1575" s="633" t="s">
        <v>2741</v>
      </c>
      <c r="H1575" s="635" t="s">
        <v>1625</v>
      </c>
      <c r="I1575" s="635" t="s">
        <v>1625</v>
      </c>
      <c r="J1575" s="387">
        <v>1</v>
      </c>
      <c r="K1575" s="385" t="s">
        <v>1171</v>
      </c>
    </row>
    <row r="1576" spans="1:11" ht="15.75">
      <c r="A1576" s="928" t="s">
        <v>3285</v>
      </c>
      <c r="B1576" s="420" t="s">
        <v>2060</v>
      </c>
      <c r="C1576" s="743" t="s">
        <v>3367</v>
      </c>
      <c r="D1576" s="633" t="s">
        <v>3128</v>
      </c>
      <c r="E1576" s="644">
        <v>900000</v>
      </c>
      <c r="F1576" s="633" t="s">
        <v>1968</v>
      </c>
      <c r="G1576" s="633" t="s">
        <v>2741</v>
      </c>
      <c r="H1576" s="635" t="s">
        <v>1625</v>
      </c>
      <c r="I1576" s="635" t="s">
        <v>1625</v>
      </c>
      <c r="J1576" s="387">
        <v>1</v>
      </c>
      <c r="K1576" s="385" t="s">
        <v>2998</v>
      </c>
    </row>
    <row r="1577" spans="1:11" ht="15.75">
      <c r="A1577" s="928" t="s">
        <v>3285</v>
      </c>
      <c r="B1577" s="420" t="s">
        <v>2060</v>
      </c>
      <c r="C1577" s="743" t="s">
        <v>3368</v>
      </c>
      <c r="D1577" s="633" t="s">
        <v>3128</v>
      </c>
      <c r="E1577" s="644">
        <v>900000</v>
      </c>
      <c r="F1577" s="633" t="s">
        <v>1968</v>
      </c>
      <c r="G1577" s="633" t="s">
        <v>2741</v>
      </c>
      <c r="H1577" s="635" t="s">
        <v>1625</v>
      </c>
      <c r="I1577" s="635" t="s">
        <v>1625</v>
      </c>
      <c r="J1577" s="387">
        <v>1</v>
      </c>
      <c r="K1577" s="385" t="s">
        <v>1245</v>
      </c>
    </row>
    <row r="1578" spans="1:11" ht="15.75">
      <c r="A1578" s="928" t="s">
        <v>3285</v>
      </c>
      <c r="B1578" s="420" t="s">
        <v>2060</v>
      </c>
      <c r="C1578" s="743" t="s">
        <v>3369</v>
      </c>
      <c r="D1578" s="633" t="s">
        <v>3128</v>
      </c>
      <c r="E1578" s="644">
        <v>900000</v>
      </c>
      <c r="F1578" s="633" t="s">
        <v>1968</v>
      </c>
      <c r="G1578" s="633" t="s">
        <v>2741</v>
      </c>
      <c r="H1578" s="635" t="s">
        <v>1625</v>
      </c>
      <c r="I1578" s="635" t="s">
        <v>1625</v>
      </c>
      <c r="J1578" s="387">
        <v>1</v>
      </c>
      <c r="K1578" s="385" t="s">
        <v>1171</v>
      </c>
    </row>
    <row r="1579" spans="1:11" ht="15.75">
      <c r="A1579" s="928" t="s">
        <v>3285</v>
      </c>
      <c r="B1579" s="420" t="s">
        <v>2060</v>
      </c>
      <c r="C1579" s="743" t="s">
        <v>3370</v>
      </c>
      <c r="D1579" s="633" t="s">
        <v>3128</v>
      </c>
      <c r="E1579" s="644">
        <v>900000</v>
      </c>
      <c r="F1579" s="633" t="s">
        <v>1968</v>
      </c>
      <c r="G1579" s="633" t="s">
        <v>2741</v>
      </c>
      <c r="H1579" s="635" t="s">
        <v>1625</v>
      </c>
      <c r="I1579" s="635" t="s">
        <v>1625</v>
      </c>
      <c r="J1579" s="387">
        <v>1</v>
      </c>
      <c r="K1579" s="385" t="s">
        <v>2998</v>
      </c>
    </row>
    <row r="1580" spans="1:11" ht="15.75">
      <c r="A1580" s="928" t="s">
        <v>3285</v>
      </c>
      <c r="B1580" s="420" t="s">
        <v>2060</v>
      </c>
      <c r="C1580" s="743" t="s">
        <v>3371</v>
      </c>
      <c r="D1580" s="633" t="s">
        <v>3017</v>
      </c>
      <c r="E1580" s="644">
        <v>550000</v>
      </c>
      <c r="F1580" s="633" t="s">
        <v>2292</v>
      </c>
      <c r="G1580" s="633" t="s">
        <v>2605</v>
      </c>
      <c r="H1580" s="635" t="s">
        <v>1625</v>
      </c>
      <c r="I1580" s="635" t="s">
        <v>1625</v>
      </c>
      <c r="J1580" s="387">
        <v>1</v>
      </c>
      <c r="K1580" s="385" t="s">
        <v>1245</v>
      </c>
    </row>
    <row r="1581" spans="1:11" ht="15.75">
      <c r="A1581" s="928" t="s">
        <v>3311</v>
      </c>
      <c r="B1581" s="420" t="s">
        <v>2060</v>
      </c>
      <c r="C1581" s="743" t="s">
        <v>3372</v>
      </c>
      <c r="D1581" s="633" t="s">
        <v>3296</v>
      </c>
      <c r="E1581" s="644">
        <v>800000</v>
      </c>
      <c r="F1581" s="633" t="s">
        <v>1968</v>
      </c>
      <c r="G1581" s="633" t="s">
        <v>2741</v>
      </c>
      <c r="H1581" s="635" t="s">
        <v>1625</v>
      </c>
      <c r="I1581" s="635" t="s">
        <v>1625</v>
      </c>
      <c r="J1581" s="387">
        <v>1</v>
      </c>
      <c r="K1581" s="385" t="s">
        <v>1171</v>
      </c>
    </row>
    <row r="1582" spans="1:11" ht="15.75">
      <c r="A1582" s="928" t="s">
        <v>3311</v>
      </c>
      <c r="B1582" s="420" t="s">
        <v>2060</v>
      </c>
      <c r="C1582" s="743" t="s">
        <v>3373</v>
      </c>
      <c r="D1582" s="633" t="s">
        <v>3296</v>
      </c>
      <c r="E1582" s="644">
        <v>700000</v>
      </c>
      <c r="F1582" s="633" t="s">
        <v>1968</v>
      </c>
      <c r="G1582" s="633" t="s">
        <v>2060</v>
      </c>
      <c r="H1582" s="635" t="s">
        <v>1625</v>
      </c>
      <c r="I1582" s="635" t="s">
        <v>1625</v>
      </c>
      <c r="J1582" s="387">
        <v>1</v>
      </c>
      <c r="K1582" s="385" t="s">
        <v>2998</v>
      </c>
    </row>
    <row r="1583" spans="1:11" ht="15.75">
      <c r="A1583" s="928" t="s">
        <v>3311</v>
      </c>
      <c r="B1583" s="420" t="s">
        <v>2060</v>
      </c>
      <c r="C1583" s="743" t="s">
        <v>3374</v>
      </c>
      <c r="D1583" s="633" t="s">
        <v>3296</v>
      </c>
      <c r="E1583" s="644">
        <v>500000</v>
      </c>
      <c r="F1583" s="633" t="s">
        <v>1968</v>
      </c>
      <c r="G1583" s="633" t="s">
        <v>2060</v>
      </c>
      <c r="H1583" s="635" t="s">
        <v>1625</v>
      </c>
      <c r="I1583" s="635" t="s">
        <v>1625</v>
      </c>
      <c r="J1583" s="387">
        <v>1</v>
      </c>
      <c r="K1583" s="385" t="s">
        <v>1245</v>
      </c>
    </row>
    <row r="1584" spans="1:11" ht="15.75">
      <c r="A1584" s="419"/>
      <c r="B1584" s="420"/>
      <c r="C1584" s="457"/>
      <c r="D1584" s="457"/>
      <c r="E1584" s="458"/>
      <c r="F1584" s="457"/>
      <c r="G1584" s="457"/>
      <c r="H1584" s="457"/>
      <c r="I1584" s="457"/>
      <c r="J1584" s="493">
        <f>SUM(J1556:J1583)</f>
        <v>28</v>
      </c>
      <c r="K1584" s="457"/>
    </row>
    <row r="1585" spans="1:11" ht="15.75">
      <c r="A1585" s="394"/>
      <c r="B1585" s="395"/>
      <c r="C1585" s="395"/>
      <c r="D1585" s="395"/>
      <c r="E1585" s="396"/>
      <c r="F1585" s="395"/>
      <c r="G1585" s="395"/>
      <c r="H1585" s="395"/>
      <c r="I1585" s="395"/>
      <c r="J1585" s="397"/>
      <c r="K1585" s="395"/>
    </row>
    <row r="1586" spans="1:11" ht="15.75">
      <c r="A1586" s="394"/>
      <c r="B1586" s="395"/>
      <c r="C1586" s="395"/>
      <c r="D1586" s="395"/>
      <c r="E1586" s="396"/>
      <c r="F1586" s="395"/>
      <c r="G1586" s="395"/>
      <c r="H1586" s="395"/>
      <c r="I1586" s="395"/>
      <c r="J1586" s="397"/>
      <c r="K1586" s="395"/>
    </row>
    <row r="1588" spans="1:11" ht="26.25">
      <c r="A1588" s="1667" t="s">
        <v>3375</v>
      </c>
      <c r="B1588" s="1667"/>
      <c r="C1588" s="1667"/>
      <c r="D1588" s="1667"/>
      <c r="E1588" s="1667"/>
      <c r="F1588" s="1667"/>
      <c r="G1588" s="1667"/>
      <c r="H1588" s="1667"/>
      <c r="I1588" s="1667"/>
      <c r="J1588" s="1667"/>
      <c r="K1588" s="1667"/>
    </row>
    <row r="1589" spans="1:11" ht="31.5">
      <c r="A1589" s="375" t="s">
        <v>1941</v>
      </c>
      <c r="B1589" s="378" t="s">
        <v>1942</v>
      </c>
      <c r="C1589" s="378" t="s">
        <v>1943</v>
      </c>
      <c r="D1589" s="378" t="s">
        <v>1944</v>
      </c>
      <c r="E1589" s="452" t="s">
        <v>1945</v>
      </c>
      <c r="F1589" s="378" t="s">
        <v>1946</v>
      </c>
      <c r="G1589" s="378" t="s">
        <v>2590</v>
      </c>
      <c r="H1589" s="378" t="s">
        <v>1947</v>
      </c>
      <c r="I1589" s="378" t="s">
        <v>1948</v>
      </c>
      <c r="J1589" s="453" t="s">
        <v>1949</v>
      </c>
      <c r="K1589" s="378" t="s">
        <v>1950</v>
      </c>
    </row>
    <row r="1590" spans="1:11" ht="15.75">
      <c r="A1590" s="443">
        <v>44208</v>
      </c>
      <c r="B1590" s="653" t="s">
        <v>1952</v>
      </c>
      <c r="C1590" s="381" t="s">
        <v>3376</v>
      </c>
      <c r="D1590" s="426" t="s">
        <v>2326</v>
      </c>
      <c r="E1590" s="462">
        <v>750000</v>
      </c>
      <c r="F1590" s="385" t="s">
        <v>30</v>
      </c>
      <c r="G1590" s="385" t="s">
        <v>30</v>
      </c>
      <c r="H1590" s="387" t="s">
        <v>1625</v>
      </c>
      <c r="I1590" s="387" t="s">
        <v>1625</v>
      </c>
      <c r="J1590" s="387">
        <v>1</v>
      </c>
      <c r="K1590" s="385" t="s">
        <v>856</v>
      </c>
    </row>
    <row r="1591" spans="1:11" ht="15.75">
      <c r="A1591" s="443">
        <v>44267</v>
      </c>
      <c r="B1591" s="653" t="s">
        <v>1966</v>
      </c>
      <c r="C1591" s="381" t="s">
        <v>3377</v>
      </c>
      <c r="D1591" s="426" t="s">
        <v>2669</v>
      </c>
      <c r="E1591" s="462">
        <v>2000000</v>
      </c>
      <c r="F1591" s="385" t="s">
        <v>30</v>
      </c>
      <c r="G1591" s="385" t="s">
        <v>3378</v>
      </c>
      <c r="H1591" s="387" t="s">
        <v>1625</v>
      </c>
      <c r="I1591" s="387" t="s">
        <v>1625</v>
      </c>
      <c r="J1591" s="387">
        <v>1</v>
      </c>
      <c r="K1591" s="385" t="s">
        <v>856</v>
      </c>
    </row>
    <row r="1592" spans="1:11" ht="15.75">
      <c r="A1592" s="443">
        <v>44451</v>
      </c>
      <c r="B1592" s="653" t="s">
        <v>1952</v>
      </c>
      <c r="C1592" s="381" t="s">
        <v>3379</v>
      </c>
      <c r="D1592" s="426" t="s">
        <v>2711</v>
      </c>
      <c r="E1592" s="462">
        <v>1000000</v>
      </c>
      <c r="F1592" s="385" t="s">
        <v>30</v>
      </c>
      <c r="G1592" s="385" t="s">
        <v>30</v>
      </c>
      <c r="H1592" s="387" t="s">
        <v>1625</v>
      </c>
      <c r="I1592" s="387" t="s">
        <v>1625</v>
      </c>
      <c r="J1592" s="387">
        <v>1</v>
      </c>
      <c r="K1592" s="385" t="s">
        <v>856</v>
      </c>
    </row>
    <row r="1593" spans="1:11" ht="15.75">
      <c r="A1593" s="443" t="s">
        <v>3315</v>
      </c>
      <c r="B1593" s="381" t="s">
        <v>1952</v>
      </c>
      <c r="C1593" s="381" t="s">
        <v>3380</v>
      </c>
      <c r="D1593" s="426" t="s">
        <v>75</v>
      </c>
      <c r="E1593" s="451">
        <v>1200000</v>
      </c>
      <c r="F1593" s="381" t="s">
        <v>30</v>
      </c>
      <c r="G1593" s="381" t="s">
        <v>30</v>
      </c>
      <c r="H1593" s="383" t="s">
        <v>1955</v>
      </c>
      <c r="I1593" s="383" t="s">
        <v>1625</v>
      </c>
      <c r="J1593" s="383">
        <v>1</v>
      </c>
      <c r="K1593" s="381" t="s">
        <v>856</v>
      </c>
    </row>
    <row r="1594" spans="1:11" ht="15.75">
      <c r="A1594" s="393"/>
      <c r="B1594" s="406"/>
      <c r="C1594" s="406"/>
      <c r="D1594" s="381"/>
      <c r="E1594" s="712"/>
      <c r="F1594" s="381"/>
      <c r="G1594" s="381"/>
      <c r="H1594" s="383"/>
      <c r="I1594" s="383"/>
      <c r="J1594" s="383"/>
      <c r="K1594" s="381"/>
    </row>
    <row r="1595" spans="1:11" ht="15.75">
      <c r="A1595" s="393"/>
      <c r="B1595" s="381"/>
      <c r="C1595" s="381"/>
      <c r="D1595" s="381"/>
      <c r="E1595" s="712"/>
      <c r="F1595" s="381"/>
      <c r="G1595" s="381"/>
      <c r="H1595" s="383"/>
      <c r="I1595" s="383"/>
      <c r="J1595" s="383"/>
      <c r="K1595" s="381"/>
    </row>
    <row r="1596" spans="1:11" ht="15.75">
      <c r="A1596" s="419"/>
      <c r="B1596" s="420"/>
      <c r="C1596" s="420"/>
      <c r="D1596" s="420"/>
      <c r="E1596" s="458"/>
      <c r="F1596" s="153"/>
      <c r="G1596" s="153"/>
      <c r="H1596" s="457"/>
      <c r="I1596" s="457"/>
      <c r="J1596" s="493">
        <f>SUM(J1590:J1595)</f>
        <v>4</v>
      </c>
      <c r="K1596" s="457"/>
    </row>
    <row r="1598" spans="1:11" ht="26.25">
      <c r="A1598" s="1667" t="s">
        <v>3381</v>
      </c>
      <c r="B1598" s="1667"/>
      <c r="C1598" s="1667"/>
      <c r="D1598" s="1667"/>
      <c r="E1598" s="1667"/>
      <c r="F1598" s="1667"/>
      <c r="G1598" s="1667"/>
      <c r="H1598" s="1667"/>
      <c r="I1598" s="1667"/>
      <c r="J1598" s="1667"/>
      <c r="K1598" s="1667"/>
    </row>
    <row r="1599" spans="1:11" ht="31.5">
      <c r="A1599" s="375" t="s">
        <v>1941</v>
      </c>
      <c r="B1599" s="378" t="s">
        <v>1942</v>
      </c>
      <c r="C1599" s="378" t="s">
        <v>1943</v>
      </c>
      <c r="D1599" s="378" t="s">
        <v>1944</v>
      </c>
      <c r="E1599" s="452" t="s">
        <v>1945</v>
      </c>
      <c r="F1599" s="378" t="s">
        <v>1946</v>
      </c>
      <c r="G1599" s="378" t="s">
        <v>2590</v>
      </c>
      <c r="H1599" s="378" t="s">
        <v>1947</v>
      </c>
      <c r="I1599" s="378" t="s">
        <v>1948</v>
      </c>
      <c r="J1599" s="453" t="s">
        <v>1949</v>
      </c>
      <c r="K1599" s="378" t="s">
        <v>1950</v>
      </c>
    </row>
    <row r="1600" spans="1:11" ht="15.75">
      <c r="A1600" s="443" t="s">
        <v>3333</v>
      </c>
      <c r="B1600" s="577" t="s">
        <v>1952</v>
      </c>
      <c r="C1600" s="385" t="s">
        <v>3382</v>
      </c>
      <c r="D1600" s="426" t="s">
        <v>2573</v>
      </c>
      <c r="E1600" s="462">
        <v>1400000</v>
      </c>
      <c r="F1600" s="385" t="s">
        <v>2290</v>
      </c>
      <c r="G1600" s="385" t="s">
        <v>2605</v>
      </c>
      <c r="H1600" s="387" t="s">
        <v>1625</v>
      </c>
      <c r="I1600" s="387" t="s">
        <v>1625</v>
      </c>
      <c r="J1600" s="387">
        <v>1</v>
      </c>
      <c r="K1600" s="385" t="s">
        <v>1171</v>
      </c>
    </row>
    <row r="1601" spans="1:11" ht="15.75">
      <c r="A1601" s="393"/>
      <c r="B1601" s="653"/>
      <c r="C1601" s="381"/>
      <c r="D1601" s="381"/>
      <c r="E1601" s="451"/>
      <c r="F1601" s="381"/>
      <c r="G1601" s="381"/>
      <c r="H1601" s="383"/>
      <c r="I1601" s="383"/>
      <c r="J1601" s="383"/>
      <c r="K1601" s="381"/>
    </row>
    <row r="1602" spans="1:11" ht="15.75">
      <c r="A1602" s="393"/>
      <c r="B1602" s="653"/>
      <c r="C1602" s="381"/>
      <c r="D1602" s="381"/>
      <c r="E1602" s="451"/>
      <c r="F1602" s="381"/>
      <c r="G1602" s="381"/>
      <c r="H1602" s="383"/>
      <c r="I1602" s="383"/>
      <c r="J1602" s="890">
        <v>1</v>
      </c>
      <c r="K1602" s="381"/>
    </row>
    <row r="1606" spans="1:11">
      <c r="A1606" s="1665" t="s">
        <v>3383</v>
      </c>
      <c r="B1606" s="1665"/>
      <c r="C1606" s="1665"/>
      <c r="D1606" s="1665"/>
      <c r="E1606" s="1665"/>
      <c r="F1606" s="1665"/>
      <c r="G1606" s="1665"/>
      <c r="H1606" s="1665"/>
      <c r="I1606" s="1665"/>
      <c r="J1606" s="1665"/>
      <c r="K1606" s="1665"/>
    </row>
    <row r="1607" spans="1:11">
      <c r="A1607" s="1666"/>
      <c r="B1607" s="1666"/>
      <c r="C1607" s="1666"/>
      <c r="D1607" s="1666"/>
      <c r="E1607" s="1666"/>
      <c r="F1607" s="1666"/>
      <c r="G1607" s="1666"/>
      <c r="H1607" s="1666"/>
      <c r="I1607" s="1666"/>
      <c r="J1607" s="1666"/>
      <c r="K1607" s="1666"/>
    </row>
    <row r="1609" spans="1:11" ht="26.25">
      <c r="A1609" s="1667" t="s">
        <v>3384</v>
      </c>
      <c r="B1609" s="1667"/>
      <c r="C1609" s="1667"/>
      <c r="D1609" s="1667"/>
      <c r="E1609" s="1667"/>
      <c r="F1609" s="1667"/>
      <c r="G1609" s="1667"/>
      <c r="H1609" s="1667"/>
      <c r="I1609" s="1667"/>
      <c r="J1609" s="1667"/>
      <c r="K1609" s="1667"/>
    </row>
    <row r="1610" spans="1:11" ht="31.5">
      <c r="A1610" s="375" t="s">
        <v>1941</v>
      </c>
      <c r="B1610" s="378" t="s">
        <v>1942</v>
      </c>
      <c r="C1610" s="378" t="s">
        <v>1943</v>
      </c>
      <c r="D1610" s="378" t="s">
        <v>1944</v>
      </c>
      <c r="E1610" s="452" t="s">
        <v>1945</v>
      </c>
      <c r="F1610" s="378" t="s">
        <v>1946</v>
      </c>
      <c r="G1610" s="378" t="s">
        <v>2590</v>
      </c>
      <c r="H1610" s="378" t="s">
        <v>1947</v>
      </c>
      <c r="I1610" s="378" t="s">
        <v>1948</v>
      </c>
      <c r="J1610" s="453" t="s">
        <v>1949</v>
      </c>
      <c r="K1610" s="378" t="s">
        <v>10</v>
      </c>
    </row>
    <row r="1611" spans="1:11" ht="15.75">
      <c r="A1611" s="454" t="s">
        <v>3385</v>
      </c>
      <c r="B1611" s="455" t="s">
        <v>2182</v>
      </c>
      <c r="C1611" s="455" t="s">
        <v>3386</v>
      </c>
      <c r="D1611" s="455" t="s">
        <v>2845</v>
      </c>
      <c r="E1611" s="461">
        <v>345000000</v>
      </c>
      <c r="F1611" s="464" t="s">
        <v>2292</v>
      </c>
      <c r="G1611" s="464" t="s">
        <v>2593</v>
      </c>
      <c r="H1611" s="460" t="s">
        <v>1955</v>
      </c>
      <c r="I1611" s="460" t="s">
        <v>1625</v>
      </c>
      <c r="J1611" s="460">
        <v>1</v>
      </c>
      <c r="K1611" s="455" t="s">
        <v>2629</v>
      </c>
    </row>
    <row r="1612" spans="1:11" ht="15.75">
      <c r="A1612" s="454" t="s">
        <v>3385</v>
      </c>
      <c r="B1612" s="472" t="s">
        <v>2182</v>
      </c>
      <c r="C1612" s="455" t="s">
        <v>3387</v>
      </c>
      <c r="D1612" s="455" t="s">
        <v>2845</v>
      </c>
      <c r="E1612" s="461">
        <v>345000000</v>
      </c>
      <c r="F1612" s="464" t="s">
        <v>2292</v>
      </c>
      <c r="G1612" s="464" t="s">
        <v>2593</v>
      </c>
      <c r="H1612" s="460" t="s">
        <v>1955</v>
      </c>
      <c r="I1612" s="460" t="s">
        <v>1625</v>
      </c>
      <c r="J1612" s="460">
        <v>1</v>
      </c>
      <c r="K1612" s="455" t="s">
        <v>2629</v>
      </c>
    </row>
    <row r="1613" spans="1:11" ht="15.75">
      <c r="A1613" s="454" t="s">
        <v>3385</v>
      </c>
      <c r="B1613" s="472" t="s">
        <v>2182</v>
      </c>
      <c r="C1613" s="455" t="s">
        <v>3388</v>
      </c>
      <c r="D1613" s="455" t="s">
        <v>2845</v>
      </c>
      <c r="E1613" s="461">
        <v>345000000</v>
      </c>
      <c r="F1613" s="464" t="s">
        <v>2292</v>
      </c>
      <c r="G1613" s="464" t="s">
        <v>2593</v>
      </c>
      <c r="H1613" s="460" t="s">
        <v>1955</v>
      </c>
      <c r="I1613" s="460" t="s">
        <v>1625</v>
      </c>
      <c r="J1613" s="460">
        <v>1</v>
      </c>
      <c r="K1613" s="455" t="s">
        <v>2629</v>
      </c>
    </row>
    <row r="1614" spans="1:11" ht="15.75">
      <c r="A1614" s="454" t="s">
        <v>3385</v>
      </c>
      <c r="B1614" s="472" t="s">
        <v>2182</v>
      </c>
      <c r="C1614" s="455" t="s">
        <v>3389</v>
      </c>
      <c r="D1614" s="455" t="s">
        <v>2845</v>
      </c>
      <c r="E1614" s="461">
        <v>345000000</v>
      </c>
      <c r="F1614" s="464" t="s">
        <v>2292</v>
      </c>
      <c r="G1614" s="464" t="s">
        <v>2593</v>
      </c>
      <c r="H1614" s="460" t="s">
        <v>1955</v>
      </c>
      <c r="I1614" s="460" t="s">
        <v>1625</v>
      </c>
      <c r="J1614" s="460">
        <v>1</v>
      </c>
      <c r="K1614" s="455" t="s">
        <v>2629</v>
      </c>
    </row>
    <row r="1615" spans="1:11" ht="15.75">
      <c r="A1615" s="454" t="s">
        <v>3390</v>
      </c>
      <c r="B1615" s="455" t="s">
        <v>2182</v>
      </c>
      <c r="C1615" s="455" t="s">
        <v>3391</v>
      </c>
      <c r="D1615" s="455" t="s">
        <v>2845</v>
      </c>
      <c r="E1615" s="461">
        <v>345000000</v>
      </c>
      <c r="F1615" s="464" t="s">
        <v>2292</v>
      </c>
      <c r="G1615" s="464" t="s">
        <v>2593</v>
      </c>
      <c r="H1615" s="655" t="s">
        <v>1955</v>
      </c>
      <c r="I1615" s="460" t="s">
        <v>1625</v>
      </c>
      <c r="J1615" s="460">
        <v>1</v>
      </c>
      <c r="K1615" s="455" t="s">
        <v>2629</v>
      </c>
    </row>
    <row r="1616" spans="1:11" ht="15.75">
      <c r="A1616" s="649">
        <v>44866</v>
      </c>
      <c r="B1616" s="650" t="s">
        <v>2182</v>
      </c>
      <c r="C1616" s="459" t="s">
        <v>3392</v>
      </c>
      <c r="D1616" s="455" t="s">
        <v>75</v>
      </c>
      <c r="E1616" s="461">
        <v>350000000</v>
      </c>
      <c r="F1616" s="654" t="s">
        <v>2292</v>
      </c>
      <c r="G1616" s="464" t="s">
        <v>2741</v>
      </c>
      <c r="H1616" s="655" t="s">
        <v>1955</v>
      </c>
      <c r="I1616" s="460" t="s">
        <v>1625</v>
      </c>
      <c r="J1616" s="460">
        <v>1</v>
      </c>
      <c r="K1616" s="455" t="s">
        <v>2629</v>
      </c>
    </row>
    <row r="1617" spans="1:11" ht="15.75">
      <c r="A1617" s="479" t="s">
        <v>3393</v>
      </c>
      <c r="B1617" s="612" t="s">
        <v>2182</v>
      </c>
      <c r="C1617" s="411" t="s">
        <v>742</v>
      </c>
      <c r="D1617" s="381" t="s">
        <v>2845</v>
      </c>
      <c r="E1617" s="451">
        <v>1650000</v>
      </c>
      <c r="F1617" s="304" t="s">
        <v>2292</v>
      </c>
      <c r="G1617" s="275" t="s">
        <v>30</v>
      </c>
      <c r="H1617" s="531" t="s">
        <v>1625</v>
      </c>
      <c r="I1617" s="383" t="s">
        <v>1625</v>
      </c>
      <c r="J1617" s="383">
        <v>1</v>
      </c>
      <c r="K1617" s="381" t="s">
        <v>2998</v>
      </c>
    </row>
    <row r="1618" spans="1:11" ht="15.75">
      <c r="A1618" s="479" t="s">
        <v>3393</v>
      </c>
      <c r="B1618" s="612" t="s">
        <v>2182</v>
      </c>
      <c r="C1618" s="381" t="s">
        <v>731</v>
      </c>
      <c r="D1618" s="381" t="s">
        <v>2167</v>
      </c>
      <c r="E1618" s="451">
        <v>1500000</v>
      </c>
      <c r="F1618" s="304" t="s">
        <v>2292</v>
      </c>
      <c r="G1618" s="275" t="s">
        <v>2873</v>
      </c>
      <c r="H1618" s="531" t="s">
        <v>1625</v>
      </c>
      <c r="I1618" s="383" t="s">
        <v>1625</v>
      </c>
      <c r="J1618" s="383">
        <v>1</v>
      </c>
      <c r="K1618" s="381" t="s">
        <v>1171</v>
      </c>
    </row>
    <row r="1619" spans="1:11" ht="15.75">
      <c r="A1619" s="479" t="s">
        <v>3385</v>
      </c>
      <c r="B1619" s="612" t="s">
        <v>2182</v>
      </c>
      <c r="C1619" s="381" t="s">
        <v>2810</v>
      </c>
      <c r="D1619" s="381" t="s">
        <v>75</v>
      </c>
      <c r="E1619" s="451">
        <v>1600000</v>
      </c>
      <c r="F1619" s="304" t="s">
        <v>2292</v>
      </c>
      <c r="G1619" s="275" t="s">
        <v>2605</v>
      </c>
      <c r="H1619" s="531" t="s">
        <v>1625</v>
      </c>
      <c r="I1619" s="383" t="s">
        <v>1625</v>
      </c>
      <c r="J1619" s="383">
        <v>1</v>
      </c>
      <c r="K1619" s="381" t="s">
        <v>1245</v>
      </c>
    </row>
    <row r="1620" spans="1:11" ht="15.75">
      <c r="A1620" s="479">
        <v>44621</v>
      </c>
      <c r="B1620" s="612" t="s">
        <v>2182</v>
      </c>
      <c r="C1620" s="381" t="s">
        <v>3394</v>
      </c>
      <c r="D1620" s="381" t="s">
        <v>3395</v>
      </c>
      <c r="E1620" s="451">
        <v>4500000</v>
      </c>
      <c r="F1620" s="304" t="s">
        <v>1968</v>
      </c>
      <c r="G1620" s="275" t="s">
        <v>2593</v>
      </c>
      <c r="H1620" s="531" t="s">
        <v>1955</v>
      </c>
      <c r="I1620" s="383" t="s">
        <v>1625</v>
      </c>
      <c r="J1620" s="383">
        <v>1</v>
      </c>
      <c r="K1620" s="381" t="s">
        <v>2998</v>
      </c>
    </row>
    <row r="1621" spans="1:11" ht="15.75">
      <c r="A1621" s="479">
        <v>44621</v>
      </c>
      <c r="B1621" s="612" t="s">
        <v>2182</v>
      </c>
      <c r="C1621" s="381" t="s">
        <v>3396</v>
      </c>
      <c r="D1621" s="381" t="s">
        <v>2253</v>
      </c>
      <c r="E1621" s="451">
        <v>800000</v>
      </c>
      <c r="F1621" s="304" t="s">
        <v>2292</v>
      </c>
      <c r="G1621" s="275" t="s">
        <v>2593</v>
      </c>
      <c r="H1621" s="531" t="s">
        <v>1955</v>
      </c>
      <c r="I1621" s="383" t="s">
        <v>1625</v>
      </c>
      <c r="J1621" s="383">
        <v>1</v>
      </c>
      <c r="K1621" s="381" t="s">
        <v>1171</v>
      </c>
    </row>
    <row r="1622" spans="1:11" ht="15.75">
      <c r="A1622" s="479">
        <v>44682</v>
      </c>
      <c r="B1622" s="612" t="s">
        <v>2182</v>
      </c>
      <c r="C1622" s="381" t="s">
        <v>730</v>
      </c>
      <c r="D1622" s="381" t="s">
        <v>75</v>
      </c>
      <c r="E1622" s="451">
        <v>1150000</v>
      </c>
      <c r="F1622" s="304" t="s">
        <v>1968</v>
      </c>
      <c r="G1622" s="275" t="s">
        <v>2741</v>
      </c>
      <c r="H1622" s="531" t="s">
        <v>1955</v>
      </c>
      <c r="I1622" s="383" t="s">
        <v>1625</v>
      </c>
      <c r="J1622" s="383">
        <v>1</v>
      </c>
      <c r="K1622" s="381" t="s">
        <v>1245</v>
      </c>
    </row>
    <row r="1623" spans="1:11" ht="15.75">
      <c r="A1623" s="479">
        <v>44501</v>
      </c>
      <c r="B1623" s="612" t="s">
        <v>2182</v>
      </c>
      <c r="C1623" s="381" t="s">
        <v>3397</v>
      </c>
      <c r="D1623" s="381" t="s">
        <v>3398</v>
      </c>
      <c r="E1623" s="451">
        <v>1400000</v>
      </c>
      <c r="F1623" s="304" t="s">
        <v>1968</v>
      </c>
      <c r="G1623" s="275" t="s">
        <v>2605</v>
      </c>
      <c r="H1623" s="531" t="s">
        <v>1955</v>
      </c>
      <c r="I1623" s="383" t="s">
        <v>1625</v>
      </c>
      <c r="J1623" s="383">
        <v>1</v>
      </c>
      <c r="K1623" s="381" t="s">
        <v>2998</v>
      </c>
    </row>
    <row r="1624" spans="1:11" ht="15.75">
      <c r="A1624" s="479">
        <v>44531</v>
      </c>
      <c r="B1624" s="612" t="s">
        <v>2182</v>
      </c>
      <c r="C1624" s="381" t="s">
        <v>1663</v>
      </c>
      <c r="D1624" s="381" t="s">
        <v>2347</v>
      </c>
      <c r="E1624" s="451">
        <v>14000000</v>
      </c>
      <c r="F1624" s="304" t="s">
        <v>2292</v>
      </c>
      <c r="G1624" s="275" t="s">
        <v>30</v>
      </c>
      <c r="H1624" s="531" t="s">
        <v>1625</v>
      </c>
      <c r="I1624" s="383" t="s">
        <v>1625</v>
      </c>
      <c r="J1624" s="383">
        <v>1</v>
      </c>
      <c r="K1624" s="381" t="s">
        <v>1171</v>
      </c>
    </row>
    <row r="1625" spans="1:11" ht="15.75">
      <c r="A1625" s="479" t="s">
        <v>1973</v>
      </c>
      <c r="B1625" s="612" t="s">
        <v>2182</v>
      </c>
      <c r="C1625" s="381" t="s">
        <v>3399</v>
      </c>
      <c r="D1625" s="381" t="s">
        <v>2711</v>
      </c>
      <c r="E1625" s="451">
        <v>1250000</v>
      </c>
      <c r="F1625" s="304" t="s">
        <v>2292</v>
      </c>
      <c r="G1625" s="275" t="s">
        <v>2741</v>
      </c>
      <c r="H1625" s="531" t="s">
        <v>1625</v>
      </c>
      <c r="I1625" s="383" t="s">
        <v>1625</v>
      </c>
      <c r="J1625" s="383">
        <v>1</v>
      </c>
      <c r="K1625" s="381" t="s">
        <v>1245</v>
      </c>
    </row>
    <row r="1626" spans="1:11" ht="15.75">
      <c r="A1626" s="479" t="s">
        <v>3400</v>
      </c>
      <c r="B1626" s="612" t="s">
        <v>2060</v>
      </c>
      <c r="C1626" s="381" t="s">
        <v>3401</v>
      </c>
      <c r="D1626" s="381" t="s">
        <v>1590</v>
      </c>
      <c r="E1626" s="451">
        <v>9200000</v>
      </c>
      <c r="F1626" s="304" t="s">
        <v>1968</v>
      </c>
      <c r="G1626" s="275" t="s">
        <v>2741</v>
      </c>
      <c r="H1626" s="531" t="s">
        <v>1955</v>
      </c>
      <c r="I1626" s="383" t="s">
        <v>1625</v>
      </c>
      <c r="J1626" s="383">
        <v>1</v>
      </c>
      <c r="K1626" s="381" t="s">
        <v>2998</v>
      </c>
    </row>
    <row r="1627" spans="1:11" ht="15.75">
      <c r="A1627" s="479" t="s">
        <v>3400</v>
      </c>
      <c r="B1627" s="612" t="s">
        <v>2060</v>
      </c>
      <c r="C1627" s="381" t="s">
        <v>3402</v>
      </c>
      <c r="D1627" s="381" t="s">
        <v>1590</v>
      </c>
      <c r="E1627" s="451">
        <v>9200000</v>
      </c>
      <c r="F1627" s="304" t="s">
        <v>1968</v>
      </c>
      <c r="G1627" s="275" t="s">
        <v>2741</v>
      </c>
      <c r="H1627" s="531" t="s">
        <v>1955</v>
      </c>
      <c r="I1627" s="383" t="s">
        <v>1625</v>
      </c>
      <c r="J1627" s="383">
        <v>1</v>
      </c>
      <c r="K1627" s="381" t="s">
        <v>1171</v>
      </c>
    </row>
    <row r="1628" spans="1:11" ht="15.75">
      <c r="A1628" s="479" t="s">
        <v>3400</v>
      </c>
      <c r="B1628" s="612" t="s">
        <v>3403</v>
      </c>
      <c r="C1628" s="381" t="s">
        <v>3404</v>
      </c>
      <c r="D1628" s="381" t="s">
        <v>2666</v>
      </c>
      <c r="E1628" s="451">
        <v>5000000</v>
      </c>
      <c r="F1628" s="304" t="s">
        <v>1968</v>
      </c>
      <c r="G1628" s="275" t="s">
        <v>2741</v>
      </c>
      <c r="H1628" s="531" t="s">
        <v>1625</v>
      </c>
      <c r="I1628" s="383" t="s">
        <v>1625</v>
      </c>
      <c r="J1628" s="383">
        <v>1</v>
      </c>
      <c r="K1628" s="381" t="s">
        <v>1245</v>
      </c>
    </row>
    <row r="1629" spans="1:11" ht="15.75">
      <c r="A1629" s="479" t="s">
        <v>3400</v>
      </c>
      <c r="B1629" s="612" t="s">
        <v>2182</v>
      </c>
      <c r="C1629" s="381" t="s">
        <v>739</v>
      </c>
      <c r="D1629" s="381" t="s">
        <v>2167</v>
      </c>
      <c r="E1629" s="451">
        <v>1300000</v>
      </c>
      <c r="F1629" s="304" t="s">
        <v>2292</v>
      </c>
      <c r="G1629" s="275" t="s">
        <v>2873</v>
      </c>
      <c r="H1629" s="531" t="s">
        <v>1625</v>
      </c>
      <c r="I1629" s="383" t="s">
        <v>1625</v>
      </c>
      <c r="J1629" s="383">
        <v>1</v>
      </c>
      <c r="K1629" s="381" t="s">
        <v>2998</v>
      </c>
    </row>
    <row r="1630" spans="1:11" ht="15.75">
      <c r="A1630" s="479" t="s">
        <v>3405</v>
      </c>
      <c r="B1630" s="612" t="s">
        <v>2182</v>
      </c>
      <c r="C1630" s="381" t="s">
        <v>729</v>
      </c>
      <c r="D1630" s="381" t="s">
        <v>2394</v>
      </c>
      <c r="E1630" s="451">
        <v>1100000</v>
      </c>
      <c r="F1630" s="304" t="s">
        <v>2290</v>
      </c>
      <c r="G1630" s="275" t="s">
        <v>30</v>
      </c>
      <c r="H1630" s="531" t="s">
        <v>1625</v>
      </c>
      <c r="I1630" s="383" t="s">
        <v>1625</v>
      </c>
      <c r="J1630" s="383">
        <v>1</v>
      </c>
      <c r="K1630" s="381" t="s">
        <v>1171</v>
      </c>
    </row>
    <row r="1631" spans="1:11" ht="15.75">
      <c r="A1631" s="479" t="s">
        <v>3406</v>
      </c>
      <c r="B1631" s="612" t="s">
        <v>2182</v>
      </c>
      <c r="C1631" s="381" t="s">
        <v>744</v>
      </c>
      <c r="D1631" s="381" t="s">
        <v>3089</v>
      </c>
      <c r="E1631" s="451">
        <v>1000000</v>
      </c>
      <c r="F1631" s="304" t="s">
        <v>1968</v>
      </c>
      <c r="G1631" s="275" t="s">
        <v>2605</v>
      </c>
      <c r="H1631" s="531" t="s">
        <v>1625</v>
      </c>
      <c r="I1631" s="383" t="s">
        <v>1625</v>
      </c>
      <c r="J1631" s="383">
        <v>1</v>
      </c>
      <c r="K1631" s="381" t="s">
        <v>1245</v>
      </c>
    </row>
    <row r="1632" spans="1:11" ht="15.75">
      <c r="A1632" s="479" t="s">
        <v>3406</v>
      </c>
      <c r="B1632" s="612" t="s">
        <v>2060</v>
      </c>
      <c r="C1632" s="381" t="s">
        <v>3407</v>
      </c>
      <c r="D1632" s="381" t="s">
        <v>75</v>
      </c>
      <c r="E1632" s="451">
        <v>1744600</v>
      </c>
      <c r="F1632" s="304" t="s">
        <v>2292</v>
      </c>
      <c r="G1632" s="275" t="s">
        <v>2873</v>
      </c>
      <c r="H1632" s="531" t="s">
        <v>1955</v>
      </c>
      <c r="I1632" s="383" t="s">
        <v>1625</v>
      </c>
      <c r="J1632" s="383">
        <v>1</v>
      </c>
      <c r="K1632" s="381" t="s">
        <v>1171</v>
      </c>
    </row>
    <row r="1633" spans="1:11" ht="15.75">
      <c r="A1633" s="479" t="s">
        <v>3406</v>
      </c>
      <c r="B1633" s="612" t="s">
        <v>2060</v>
      </c>
      <c r="C1633" s="381" t="s">
        <v>3408</v>
      </c>
      <c r="D1633" s="381" t="s">
        <v>75</v>
      </c>
      <c r="E1633" s="451">
        <v>1760460</v>
      </c>
      <c r="F1633" s="304" t="s">
        <v>2292</v>
      </c>
      <c r="G1633" s="275" t="s">
        <v>2873</v>
      </c>
      <c r="H1633" s="531" t="s">
        <v>1955</v>
      </c>
      <c r="I1633" s="383" t="s">
        <v>1625</v>
      </c>
      <c r="J1633" s="383">
        <v>1</v>
      </c>
      <c r="K1633" s="381" t="s">
        <v>2998</v>
      </c>
    </row>
    <row r="1634" spans="1:11" ht="15.75">
      <c r="A1634" s="479" t="s">
        <v>3406</v>
      </c>
      <c r="B1634" s="612" t="s">
        <v>2060</v>
      </c>
      <c r="C1634" s="381" t="s">
        <v>3409</v>
      </c>
      <c r="D1634" s="381" t="s">
        <v>75</v>
      </c>
      <c r="E1634" s="451">
        <v>2531500</v>
      </c>
      <c r="F1634" s="304" t="s">
        <v>2292</v>
      </c>
      <c r="G1634" s="275" t="s">
        <v>2873</v>
      </c>
      <c r="H1634" s="531" t="s">
        <v>1955</v>
      </c>
      <c r="I1634" s="383" t="s">
        <v>1625</v>
      </c>
      <c r="J1634" s="383">
        <v>1</v>
      </c>
      <c r="K1634" s="381" t="s">
        <v>1245</v>
      </c>
    </row>
    <row r="1635" spans="1:11" ht="15.75">
      <c r="A1635" s="479" t="s">
        <v>3406</v>
      </c>
      <c r="B1635" s="612" t="s">
        <v>2060</v>
      </c>
      <c r="C1635" s="381" t="s">
        <v>3410</v>
      </c>
      <c r="D1635" s="381" t="s">
        <v>75</v>
      </c>
      <c r="E1635" s="451">
        <v>2281000</v>
      </c>
      <c r="F1635" s="304" t="s">
        <v>2292</v>
      </c>
      <c r="G1635" s="275" t="s">
        <v>2873</v>
      </c>
      <c r="H1635" s="531" t="s">
        <v>1955</v>
      </c>
      <c r="I1635" s="383" t="s">
        <v>1625</v>
      </c>
      <c r="J1635" s="383">
        <v>1</v>
      </c>
      <c r="K1635" s="381" t="s">
        <v>1171</v>
      </c>
    </row>
    <row r="1636" spans="1:11" ht="15.75">
      <c r="A1636" s="393" t="s">
        <v>3411</v>
      </c>
      <c r="B1636" s="381" t="s">
        <v>2182</v>
      </c>
      <c r="C1636" s="381" t="s">
        <v>3412</v>
      </c>
      <c r="D1636" s="381" t="s">
        <v>75</v>
      </c>
      <c r="E1636" s="451">
        <v>730000</v>
      </c>
      <c r="F1636" s="381" t="s">
        <v>2292</v>
      </c>
      <c r="G1636" s="381" t="s">
        <v>2741</v>
      </c>
      <c r="H1636" s="383" t="s">
        <v>1955</v>
      </c>
      <c r="I1636" s="383" t="s">
        <v>1625</v>
      </c>
      <c r="J1636" s="383">
        <v>1</v>
      </c>
      <c r="K1636" s="381" t="s">
        <v>2998</v>
      </c>
    </row>
    <row r="1637" spans="1:11" ht="15.75">
      <c r="A1637" s="412"/>
      <c r="B1637" s="411"/>
      <c r="C1637" s="381"/>
      <c r="D1637" s="381"/>
      <c r="E1637" s="451"/>
      <c r="F1637" s="304"/>
      <c r="G1637" s="275"/>
      <c r="H1637" s="531"/>
      <c r="I1637" s="383"/>
      <c r="J1637" s="383"/>
      <c r="K1637" s="381"/>
    </row>
    <row r="1638" spans="1:11" ht="15.75">
      <c r="A1638" s="419"/>
      <c r="B1638" s="420"/>
      <c r="C1638" s="420"/>
      <c r="D1638" s="420"/>
      <c r="E1638" s="463"/>
      <c r="F1638" s="466"/>
      <c r="G1638" s="466"/>
      <c r="H1638" s="422"/>
      <c r="I1638" s="422"/>
      <c r="J1638" s="492">
        <f>SUM(J1611:J1637)</f>
        <v>26</v>
      </c>
      <c r="K1638" s="420"/>
    </row>
    <row r="1639" spans="1:11" ht="15.75">
      <c r="A1639" s="394"/>
      <c r="B1639" s="395"/>
      <c r="C1639" s="395"/>
      <c r="D1639" s="395"/>
      <c r="E1639" s="706"/>
      <c r="F1639" s="707"/>
      <c r="G1639" s="707"/>
      <c r="H1639" s="397"/>
      <c r="I1639" s="397"/>
      <c r="J1639" s="397"/>
      <c r="K1639" s="395"/>
    </row>
    <row r="1640" spans="1:11" ht="15.75">
      <c r="A1640" s="394"/>
      <c r="B1640" s="395"/>
      <c r="C1640" s="395"/>
      <c r="D1640" s="395"/>
      <c r="E1640" s="706"/>
      <c r="F1640" s="707"/>
      <c r="G1640" s="707"/>
      <c r="H1640" s="397"/>
      <c r="I1640" s="397"/>
      <c r="J1640" s="397"/>
      <c r="K1640" s="395"/>
    </row>
    <row r="1641" spans="1:11" ht="15.75">
      <c r="A1641" s="394"/>
      <c r="B1641" s="395"/>
      <c r="C1641" s="395"/>
      <c r="D1641" s="395"/>
      <c r="E1641" s="396"/>
      <c r="F1641" s="397"/>
      <c r="G1641" s="397"/>
      <c r="H1641" s="397"/>
      <c r="I1641" s="395"/>
      <c r="J1641" s="395"/>
      <c r="K1641" s="395"/>
    </row>
    <row r="1642" spans="1:11" ht="26.25">
      <c r="A1642" s="1667" t="s">
        <v>3413</v>
      </c>
      <c r="B1642" s="1667"/>
      <c r="C1642" s="1667"/>
      <c r="D1642" s="1667"/>
      <c r="E1642" s="1667"/>
      <c r="F1642" s="1667"/>
      <c r="G1642" s="1667"/>
      <c r="H1642" s="1667"/>
      <c r="I1642" s="1667"/>
      <c r="J1642" s="1667"/>
      <c r="K1642" s="1667"/>
    </row>
    <row r="1643" spans="1:11" ht="31.5">
      <c r="A1643" s="375" t="s">
        <v>1941</v>
      </c>
      <c r="B1643" s="378" t="s">
        <v>1942</v>
      </c>
      <c r="C1643" s="378" t="s">
        <v>1943</v>
      </c>
      <c r="D1643" s="378" t="s">
        <v>1944</v>
      </c>
      <c r="E1643" s="452" t="s">
        <v>1945</v>
      </c>
      <c r="F1643" s="378" t="s">
        <v>1946</v>
      </c>
      <c r="G1643" s="378" t="s">
        <v>2590</v>
      </c>
      <c r="H1643" s="378" t="s">
        <v>1947</v>
      </c>
      <c r="I1643" s="378" t="s">
        <v>1948</v>
      </c>
      <c r="J1643" s="453" t="s">
        <v>1949</v>
      </c>
      <c r="K1643" s="378" t="s">
        <v>1950</v>
      </c>
    </row>
    <row r="1644" spans="1:11" ht="15.75">
      <c r="A1644" s="474"/>
      <c r="B1644" s="472"/>
      <c r="C1644" s="472"/>
      <c r="D1644" s="472"/>
      <c r="E1644" s="475"/>
      <c r="F1644" s="472"/>
      <c r="G1644" s="472"/>
      <c r="H1644" s="473"/>
      <c r="I1644" s="473"/>
      <c r="J1644" s="473"/>
      <c r="K1644" s="472"/>
    </row>
    <row r="1645" spans="1:11" ht="15.75">
      <c r="A1645" s="474"/>
      <c r="B1645" s="472"/>
      <c r="C1645" s="472"/>
      <c r="D1645" s="472"/>
      <c r="E1645" s="475"/>
      <c r="F1645" s="472"/>
      <c r="G1645" s="472"/>
      <c r="H1645" s="473"/>
      <c r="I1645" s="473"/>
      <c r="J1645" s="473"/>
      <c r="K1645" s="472"/>
    </row>
    <row r="1646" spans="1:11" ht="15.75">
      <c r="A1646" s="507"/>
      <c r="B1646" s="459"/>
      <c r="C1646" s="455"/>
      <c r="D1646" s="455"/>
      <c r="E1646" s="461"/>
      <c r="F1646" s="455"/>
      <c r="G1646" s="455"/>
      <c r="H1646" s="460"/>
      <c r="I1646" s="460"/>
      <c r="J1646" s="460"/>
      <c r="K1646" s="455"/>
    </row>
    <row r="1647" spans="1:11" ht="15.75">
      <c r="A1647" s="412" t="s">
        <v>3414</v>
      </c>
      <c r="B1647" s="426" t="s">
        <v>2182</v>
      </c>
      <c r="C1647" s="385" t="s">
        <v>3415</v>
      </c>
      <c r="D1647" s="385" t="s">
        <v>2167</v>
      </c>
      <c r="E1647" s="462">
        <v>1450000</v>
      </c>
      <c r="F1647" s="385" t="s">
        <v>2292</v>
      </c>
      <c r="G1647" s="385" t="s">
        <v>2605</v>
      </c>
      <c r="H1647" s="387" t="s">
        <v>1625</v>
      </c>
      <c r="I1647" s="387" t="s">
        <v>1625</v>
      </c>
      <c r="J1647" s="387">
        <v>1</v>
      </c>
      <c r="K1647" s="385" t="s">
        <v>1171</v>
      </c>
    </row>
    <row r="1648" spans="1:11" ht="15.75">
      <c r="A1648" s="479" t="s">
        <v>3416</v>
      </c>
      <c r="B1648" s="426" t="s">
        <v>2182</v>
      </c>
      <c r="C1648" s="385" t="s">
        <v>3417</v>
      </c>
      <c r="D1648" s="385" t="s">
        <v>2711</v>
      </c>
      <c r="E1648" s="462">
        <v>750000</v>
      </c>
      <c r="F1648" s="385" t="s">
        <v>1968</v>
      </c>
      <c r="G1648" s="385" t="s">
        <v>30</v>
      </c>
      <c r="H1648" s="387" t="s">
        <v>1625</v>
      </c>
      <c r="I1648" s="387" t="s">
        <v>1625</v>
      </c>
      <c r="J1648" s="387">
        <v>1</v>
      </c>
      <c r="K1648" s="385" t="s">
        <v>2998</v>
      </c>
    </row>
    <row r="1649" spans="1:11" ht="15.75">
      <c r="A1649" s="479" t="s">
        <v>3405</v>
      </c>
      <c r="B1649" s="426" t="s">
        <v>2182</v>
      </c>
      <c r="C1649" s="385" t="s">
        <v>1657</v>
      </c>
      <c r="D1649" s="385" t="s">
        <v>2167</v>
      </c>
      <c r="E1649" s="462">
        <v>1300000</v>
      </c>
      <c r="F1649" s="385" t="s">
        <v>2292</v>
      </c>
      <c r="G1649" s="385" t="s">
        <v>30</v>
      </c>
      <c r="H1649" s="387" t="s">
        <v>1625</v>
      </c>
      <c r="I1649" s="387" t="s">
        <v>1625</v>
      </c>
      <c r="J1649" s="387">
        <v>1</v>
      </c>
      <c r="K1649" s="385" t="s">
        <v>1245</v>
      </c>
    </row>
    <row r="1650" spans="1:11" ht="15.75">
      <c r="A1650" s="479" t="s">
        <v>3418</v>
      </c>
      <c r="B1650" s="381" t="s">
        <v>2182</v>
      </c>
      <c r="C1650" s="381" t="s">
        <v>3419</v>
      </c>
      <c r="D1650" s="381" t="s">
        <v>75</v>
      </c>
      <c r="E1650" s="451">
        <v>2800000</v>
      </c>
      <c r="F1650" s="381" t="s">
        <v>2292</v>
      </c>
      <c r="G1650" s="381" t="s">
        <v>2605</v>
      </c>
      <c r="H1650" s="383" t="s">
        <v>1955</v>
      </c>
      <c r="I1650" s="383" t="s">
        <v>1625</v>
      </c>
      <c r="J1650" s="383">
        <v>1</v>
      </c>
      <c r="K1650" s="381" t="s">
        <v>1245</v>
      </c>
    </row>
    <row r="1651" spans="1:11" ht="15.75">
      <c r="A1651" s="481" t="s">
        <v>3418</v>
      </c>
      <c r="B1651" s="482" t="s">
        <v>2182</v>
      </c>
      <c r="C1651" s="482" t="s">
        <v>3420</v>
      </c>
      <c r="D1651" s="482" t="s">
        <v>3059</v>
      </c>
      <c r="E1651" s="483">
        <v>1450000</v>
      </c>
      <c r="F1651" s="482" t="s">
        <v>2290</v>
      </c>
      <c r="G1651" s="482" t="s">
        <v>3351</v>
      </c>
      <c r="H1651" s="484" t="s">
        <v>1955</v>
      </c>
      <c r="I1651" s="484" t="s">
        <v>1625</v>
      </c>
      <c r="J1651" s="484">
        <v>1</v>
      </c>
      <c r="K1651" s="482" t="s">
        <v>2998</v>
      </c>
    </row>
    <row r="1652" spans="1:11" ht="15.75">
      <c r="A1652" s="443"/>
      <c r="B1652" s="381"/>
      <c r="C1652" s="381"/>
      <c r="D1652" s="381"/>
      <c r="E1652" s="451"/>
      <c r="F1652" s="381"/>
      <c r="G1652" s="381"/>
      <c r="H1652" s="383"/>
      <c r="I1652" s="383"/>
      <c r="J1652" s="383"/>
      <c r="K1652" s="381"/>
    </row>
    <row r="1653" spans="1:11" ht="15.75">
      <c r="A1653" s="412"/>
      <c r="B1653" s="411"/>
      <c r="C1653" s="381"/>
      <c r="D1653" s="381"/>
      <c r="E1653" s="451"/>
      <c r="F1653" s="381"/>
      <c r="G1653" s="381"/>
      <c r="H1653" s="383"/>
      <c r="I1653" s="383"/>
      <c r="J1653" s="383"/>
      <c r="K1653" s="381"/>
    </row>
    <row r="1654" spans="1:11" ht="15.75">
      <c r="A1654" s="456"/>
      <c r="B1654" s="457"/>
      <c r="C1654" s="457"/>
      <c r="D1654" s="457"/>
      <c r="E1654" s="476"/>
      <c r="F1654" s="457"/>
      <c r="G1654" s="457"/>
      <c r="H1654" s="153"/>
      <c r="I1654" s="153"/>
      <c r="J1654" s="493">
        <f>SUM(J1644:J1653)</f>
        <v>5</v>
      </c>
      <c r="K1654" s="457"/>
    </row>
    <row r="1655" spans="1:11" ht="26.25">
      <c r="A1655" s="1667" t="s">
        <v>3421</v>
      </c>
      <c r="B1655" s="1667"/>
      <c r="C1655" s="1667"/>
      <c r="D1655" s="1667"/>
      <c r="E1655" s="1667"/>
      <c r="F1655" s="1667"/>
      <c r="G1655" s="1667"/>
      <c r="H1655" s="1667"/>
      <c r="I1655" s="1667"/>
      <c r="J1655" s="1667"/>
      <c r="K1655" s="1667"/>
    </row>
    <row r="1656" spans="1:11" ht="31.5">
      <c r="A1656" s="375" t="s">
        <v>1941</v>
      </c>
      <c r="B1656" s="378" t="s">
        <v>1942</v>
      </c>
      <c r="C1656" s="378" t="s">
        <v>1943</v>
      </c>
      <c r="D1656" s="378" t="s">
        <v>1944</v>
      </c>
      <c r="E1656" s="452" t="s">
        <v>1945</v>
      </c>
      <c r="F1656" s="378" t="s">
        <v>1946</v>
      </c>
      <c r="G1656" s="378" t="s">
        <v>2590</v>
      </c>
      <c r="H1656" s="378" t="s">
        <v>1947</v>
      </c>
      <c r="I1656" s="378" t="s">
        <v>1948</v>
      </c>
      <c r="J1656" s="453" t="s">
        <v>1949</v>
      </c>
      <c r="K1656" s="378" t="s">
        <v>1950</v>
      </c>
    </row>
    <row r="1657" spans="1:11" ht="15.75">
      <c r="A1657" s="922" t="s">
        <v>3393</v>
      </c>
      <c r="B1657" s="618" t="s">
        <v>1952</v>
      </c>
      <c r="C1657" s="472" t="s">
        <v>3422</v>
      </c>
      <c r="D1657" s="472" t="s">
        <v>3059</v>
      </c>
      <c r="E1657" s="475">
        <v>280000000</v>
      </c>
      <c r="F1657" s="472" t="s">
        <v>2292</v>
      </c>
      <c r="G1657" s="472" t="s">
        <v>2593</v>
      </c>
      <c r="H1657" s="473" t="s">
        <v>1625</v>
      </c>
      <c r="I1657" s="473" t="s">
        <v>1625</v>
      </c>
      <c r="J1657" s="473">
        <v>1</v>
      </c>
      <c r="K1657" s="472" t="s">
        <v>2629</v>
      </c>
    </row>
    <row r="1658" spans="1:11" ht="15.75">
      <c r="A1658" s="454">
        <v>44256</v>
      </c>
      <c r="B1658" s="455" t="s">
        <v>2182</v>
      </c>
      <c r="C1658" s="459" t="s">
        <v>3423</v>
      </c>
      <c r="D1658" s="455" t="s">
        <v>75</v>
      </c>
      <c r="E1658" s="461">
        <v>395000000</v>
      </c>
      <c r="F1658" s="654" t="s">
        <v>2292</v>
      </c>
      <c r="G1658" s="464" t="s">
        <v>2593</v>
      </c>
      <c r="H1658" s="655" t="s">
        <v>1955</v>
      </c>
      <c r="I1658" s="460" t="s">
        <v>1625</v>
      </c>
      <c r="J1658" s="460">
        <v>1</v>
      </c>
      <c r="K1658" s="455" t="s">
        <v>2629</v>
      </c>
    </row>
    <row r="1659" spans="1:11" ht="15.75">
      <c r="A1659" s="611">
        <v>44713</v>
      </c>
      <c r="B1659" s="472" t="s">
        <v>2182</v>
      </c>
      <c r="C1659" s="472" t="s">
        <v>947</v>
      </c>
      <c r="D1659" s="472" t="s">
        <v>2573</v>
      </c>
      <c r="E1659" s="475">
        <v>280000000</v>
      </c>
      <c r="F1659" s="472" t="s">
        <v>2292</v>
      </c>
      <c r="G1659" s="472" t="s">
        <v>2593</v>
      </c>
      <c r="H1659" s="473" t="s">
        <v>1625</v>
      </c>
      <c r="I1659" s="473" t="s">
        <v>1625</v>
      </c>
      <c r="J1659" s="473">
        <v>1</v>
      </c>
      <c r="K1659" s="472" t="s">
        <v>2629</v>
      </c>
    </row>
    <row r="1660" spans="1:11" ht="15.75">
      <c r="A1660" s="937">
        <v>44743</v>
      </c>
      <c r="B1660" s="472" t="s">
        <v>2182</v>
      </c>
      <c r="C1660" s="472" t="s">
        <v>766</v>
      </c>
      <c r="D1660" s="472" t="s">
        <v>2347</v>
      </c>
      <c r="E1660" s="475">
        <v>300000000</v>
      </c>
      <c r="F1660" s="472" t="s">
        <v>2292</v>
      </c>
      <c r="G1660" s="472" t="s">
        <v>30</v>
      </c>
      <c r="H1660" s="473" t="s">
        <v>1625</v>
      </c>
      <c r="I1660" s="473" t="s">
        <v>1625</v>
      </c>
      <c r="J1660" s="473">
        <v>1</v>
      </c>
      <c r="K1660" s="472" t="s">
        <v>2629</v>
      </c>
    </row>
    <row r="1661" spans="1:11" ht="15.75">
      <c r="A1661" s="579" t="s">
        <v>3393</v>
      </c>
      <c r="B1661" s="381" t="s">
        <v>1952</v>
      </c>
      <c r="C1661" s="381" t="s">
        <v>765</v>
      </c>
      <c r="D1661" s="381" t="s">
        <v>2573</v>
      </c>
      <c r="E1661" s="451">
        <v>1400000</v>
      </c>
      <c r="F1661" s="381" t="s">
        <v>2290</v>
      </c>
      <c r="G1661" s="381" t="s">
        <v>30</v>
      </c>
      <c r="H1661" s="383" t="s">
        <v>1625</v>
      </c>
      <c r="I1661" s="383" t="s">
        <v>1625</v>
      </c>
      <c r="J1661" s="383">
        <v>1</v>
      </c>
      <c r="K1661" s="381" t="s">
        <v>1245</v>
      </c>
    </row>
    <row r="1662" spans="1:11" ht="15.75">
      <c r="A1662" s="579" t="s">
        <v>3319</v>
      </c>
      <c r="B1662" s="381" t="s">
        <v>1966</v>
      </c>
      <c r="C1662" s="381" t="s">
        <v>3424</v>
      </c>
      <c r="D1662" s="381" t="s">
        <v>3169</v>
      </c>
      <c r="E1662" s="451">
        <v>1400000</v>
      </c>
      <c r="F1662" s="381" t="s">
        <v>2292</v>
      </c>
      <c r="G1662" s="381" t="s">
        <v>2593</v>
      </c>
      <c r="H1662" s="383" t="s">
        <v>1625</v>
      </c>
      <c r="I1662" s="383" t="s">
        <v>1625</v>
      </c>
      <c r="J1662" s="383">
        <v>1</v>
      </c>
      <c r="K1662" s="381" t="s">
        <v>2998</v>
      </c>
    </row>
    <row r="1663" spans="1:11" ht="15.75">
      <c r="A1663" s="579">
        <v>44621</v>
      </c>
      <c r="B1663" s="381" t="s">
        <v>2182</v>
      </c>
      <c r="C1663" s="381" t="s">
        <v>3423</v>
      </c>
      <c r="D1663" s="381" t="s">
        <v>75</v>
      </c>
      <c r="E1663" s="451">
        <v>1950000</v>
      </c>
      <c r="F1663" s="381" t="s">
        <v>2292</v>
      </c>
      <c r="G1663" s="381" t="s">
        <v>2593</v>
      </c>
      <c r="H1663" s="383" t="s">
        <v>1955</v>
      </c>
      <c r="I1663" s="383" t="s">
        <v>1625</v>
      </c>
      <c r="J1663" s="383">
        <v>1</v>
      </c>
      <c r="K1663" s="381" t="s">
        <v>1171</v>
      </c>
    </row>
    <row r="1664" spans="1:11" ht="15.75">
      <c r="A1664" s="579">
        <v>44621</v>
      </c>
      <c r="B1664" s="381" t="s">
        <v>2182</v>
      </c>
      <c r="C1664" s="381" t="s">
        <v>768</v>
      </c>
      <c r="D1664" s="381" t="s">
        <v>3425</v>
      </c>
      <c r="E1664" s="451">
        <v>2400000</v>
      </c>
      <c r="F1664" s="381" t="s">
        <v>1968</v>
      </c>
      <c r="G1664" s="381" t="s">
        <v>2593</v>
      </c>
      <c r="H1664" s="383" t="s">
        <v>1955</v>
      </c>
      <c r="I1664" s="383" t="s">
        <v>1625</v>
      </c>
      <c r="J1664" s="383">
        <v>1</v>
      </c>
      <c r="K1664" s="381" t="s">
        <v>1245</v>
      </c>
    </row>
    <row r="1665" spans="1:11" ht="15.75">
      <c r="A1665" s="579">
        <v>44652</v>
      </c>
      <c r="B1665" s="381" t="s">
        <v>2182</v>
      </c>
      <c r="C1665" s="381" t="s">
        <v>767</v>
      </c>
      <c r="D1665" s="381" t="s">
        <v>2966</v>
      </c>
      <c r="E1665" s="451">
        <v>1300000</v>
      </c>
      <c r="F1665" s="381" t="s">
        <v>2292</v>
      </c>
      <c r="G1665" s="381" t="s">
        <v>3426</v>
      </c>
      <c r="H1665" s="383" t="s">
        <v>1625</v>
      </c>
      <c r="I1665" s="383" t="s">
        <v>1625</v>
      </c>
      <c r="J1665" s="383">
        <v>1</v>
      </c>
      <c r="K1665" s="381" t="s">
        <v>2998</v>
      </c>
    </row>
    <row r="1666" spans="1:11" ht="15.75">
      <c r="A1666" s="579">
        <v>44682</v>
      </c>
      <c r="B1666" s="381" t="s">
        <v>2182</v>
      </c>
      <c r="C1666" s="381" t="s">
        <v>3427</v>
      </c>
      <c r="D1666" s="381" t="s">
        <v>2347</v>
      </c>
      <c r="E1666" s="451">
        <v>1400000</v>
      </c>
      <c r="F1666" s="381" t="s">
        <v>2292</v>
      </c>
      <c r="G1666" s="381" t="s">
        <v>30</v>
      </c>
      <c r="H1666" s="383" t="s">
        <v>1625</v>
      </c>
      <c r="I1666" s="383" t="s">
        <v>1625</v>
      </c>
      <c r="J1666" s="383">
        <v>1</v>
      </c>
      <c r="K1666" s="381" t="s">
        <v>1171</v>
      </c>
    </row>
    <row r="1667" spans="1:11" ht="15.75">
      <c r="A1667" s="579">
        <v>44378</v>
      </c>
      <c r="B1667" s="381" t="s">
        <v>2182</v>
      </c>
      <c r="C1667" s="381" t="s">
        <v>766</v>
      </c>
      <c r="D1667" s="381" t="s">
        <v>2347</v>
      </c>
      <c r="E1667" s="451">
        <v>1400000</v>
      </c>
      <c r="F1667" s="381" t="s">
        <v>2292</v>
      </c>
      <c r="G1667" s="381" t="s">
        <v>30</v>
      </c>
      <c r="H1667" s="383" t="s">
        <v>1625</v>
      </c>
      <c r="I1667" s="383" t="s">
        <v>1625</v>
      </c>
      <c r="J1667" s="383">
        <v>1</v>
      </c>
      <c r="K1667" s="381" t="s">
        <v>1245</v>
      </c>
    </row>
    <row r="1668" spans="1:11" ht="15.75">
      <c r="A1668" s="579">
        <v>44866</v>
      </c>
      <c r="B1668" s="381" t="s">
        <v>2182</v>
      </c>
      <c r="C1668" s="381" t="s">
        <v>738</v>
      </c>
      <c r="D1668" s="381" t="s">
        <v>2347</v>
      </c>
      <c r="E1668" s="451">
        <v>1400000</v>
      </c>
      <c r="F1668" s="381" t="s">
        <v>2292</v>
      </c>
      <c r="G1668" s="381" t="s">
        <v>2605</v>
      </c>
      <c r="H1668" s="383" t="s">
        <v>1625</v>
      </c>
      <c r="I1668" s="383" t="s">
        <v>1625</v>
      </c>
      <c r="J1668" s="383">
        <v>1</v>
      </c>
      <c r="K1668" s="381" t="s">
        <v>2998</v>
      </c>
    </row>
    <row r="1669" spans="1:11" ht="15.75">
      <c r="A1669" s="579">
        <v>44866</v>
      </c>
      <c r="B1669" s="381" t="s">
        <v>2182</v>
      </c>
      <c r="C1669" s="381" t="s">
        <v>1110</v>
      </c>
      <c r="D1669" s="381" t="s">
        <v>2966</v>
      </c>
      <c r="E1669" s="451">
        <v>1100000</v>
      </c>
      <c r="F1669" s="381" t="s">
        <v>2292</v>
      </c>
      <c r="G1669" s="381" t="s">
        <v>2605</v>
      </c>
      <c r="H1669" s="383" t="s">
        <v>1625</v>
      </c>
      <c r="I1669" s="383" t="s">
        <v>1625</v>
      </c>
      <c r="J1669" s="383">
        <v>1</v>
      </c>
      <c r="K1669" s="381" t="s">
        <v>1171</v>
      </c>
    </row>
    <row r="1670" spans="1:11" ht="15.75">
      <c r="A1670" s="579">
        <v>44896</v>
      </c>
      <c r="B1670" s="381" t="s">
        <v>2182</v>
      </c>
      <c r="C1670" s="381" t="s">
        <v>3428</v>
      </c>
      <c r="D1670" s="381" t="s">
        <v>75</v>
      </c>
      <c r="E1670" s="451">
        <v>2600000</v>
      </c>
      <c r="F1670" s="381" t="s">
        <v>2292</v>
      </c>
      <c r="G1670" s="381" t="s">
        <v>2605</v>
      </c>
      <c r="H1670" s="383" t="s">
        <v>1625</v>
      </c>
      <c r="I1670" s="383" t="s">
        <v>1625</v>
      </c>
      <c r="J1670" s="383">
        <v>1</v>
      </c>
      <c r="K1670" s="381" t="s">
        <v>1245</v>
      </c>
    </row>
    <row r="1671" spans="1:11" ht="15.75">
      <c r="A1671" s="579">
        <v>44896</v>
      </c>
      <c r="B1671" s="381" t="s">
        <v>2182</v>
      </c>
      <c r="C1671" s="381" t="s">
        <v>3429</v>
      </c>
      <c r="D1671" s="381" t="s">
        <v>2347</v>
      </c>
      <c r="E1671" s="451">
        <v>1300000</v>
      </c>
      <c r="F1671" s="381" t="s">
        <v>2292</v>
      </c>
      <c r="G1671" s="381" t="s">
        <v>2605</v>
      </c>
      <c r="H1671" s="383" t="s">
        <v>1625</v>
      </c>
      <c r="I1671" s="383" t="s">
        <v>1625</v>
      </c>
      <c r="J1671" s="383">
        <v>1</v>
      </c>
      <c r="K1671" s="381" t="s">
        <v>2998</v>
      </c>
    </row>
    <row r="1672" spans="1:11" ht="15.75">
      <c r="A1672" s="579">
        <v>44896</v>
      </c>
      <c r="B1672" s="381" t="s">
        <v>2182</v>
      </c>
      <c r="C1672" s="381" t="s">
        <v>3430</v>
      </c>
      <c r="D1672" s="381" t="s">
        <v>2770</v>
      </c>
      <c r="E1672" s="451">
        <v>1200000</v>
      </c>
      <c r="F1672" s="381" t="s">
        <v>2292</v>
      </c>
      <c r="G1672" s="381" t="s">
        <v>2605</v>
      </c>
      <c r="H1672" s="383" t="s">
        <v>1625</v>
      </c>
      <c r="I1672" s="383" t="s">
        <v>1625</v>
      </c>
      <c r="J1672" s="383">
        <v>1</v>
      </c>
      <c r="K1672" s="381" t="s">
        <v>1171</v>
      </c>
    </row>
    <row r="1673" spans="1:11" ht="15.75">
      <c r="A1673" s="579" t="s">
        <v>3431</v>
      </c>
      <c r="B1673" s="381" t="s">
        <v>2182</v>
      </c>
      <c r="C1673" s="381" t="s">
        <v>3432</v>
      </c>
      <c r="D1673" s="381" t="s">
        <v>2661</v>
      </c>
      <c r="E1673" s="451">
        <v>1000000</v>
      </c>
      <c r="F1673" s="381" t="s">
        <v>2292</v>
      </c>
      <c r="G1673" s="381" t="s">
        <v>2605</v>
      </c>
      <c r="H1673" s="383" t="s">
        <v>1625</v>
      </c>
      <c r="I1673" s="383" t="s">
        <v>1625</v>
      </c>
      <c r="J1673" s="383">
        <v>1</v>
      </c>
      <c r="K1673" s="381" t="s">
        <v>1245</v>
      </c>
    </row>
    <row r="1674" spans="1:11" ht="15.75">
      <c r="A1674" s="579" t="s">
        <v>3433</v>
      </c>
      <c r="B1674" s="381" t="s">
        <v>2182</v>
      </c>
      <c r="C1674" s="381" t="s">
        <v>772</v>
      </c>
      <c r="D1674" s="381" t="s">
        <v>2347</v>
      </c>
      <c r="E1674" s="451">
        <v>1400000</v>
      </c>
      <c r="F1674" s="381" t="s">
        <v>2292</v>
      </c>
      <c r="G1674" s="381" t="s">
        <v>2605</v>
      </c>
      <c r="H1674" s="383" t="s">
        <v>1625</v>
      </c>
      <c r="I1674" s="383" t="s">
        <v>1625</v>
      </c>
      <c r="J1674" s="383">
        <v>1</v>
      </c>
      <c r="K1674" s="381" t="s">
        <v>2998</v>
      </c>
    </row>
    <row r="1675" spans="1:11" ht="15.75">
      <c r="A1675" s="579" t="s">
        <v>3434</v>
      </c>
      <c r="B1675" s="381" t="s">
        <v>2182</v>
      </c>
      <c r="C1675" s="381" t="s">
        <v>770</v>
      </c>
      <c r="D1675" s="381" t="s">
        <v>2661</v>
      </c>
      <c r="E1675" s="451">
        <v>800000</v>
      </c>
      <c r="F1675" s="381" t="s">
        <v>2292</v>
      </c>
      <c r="G1675" s="381" t="s">
        <v>2605</v>
      </c>
      <c r="H1675" s="383" t="s">
        <v>1625</v>
      </c>
      <c r="I1675" s="383" t="s">
        <v>1625</v>
      </c>
      <c r="J1675" s="383">
        <v>1</v>
      </c>
      <c r="K1675" s="381" t="s">
        <v>1171</v>
      </c>
    </row>
    <row r="1676" spans="1:11" ht="15.75">
      <c r="A1676" s="579" t="s">
        <v>3416</v>
      </c>
      <c r="B1676" s="381" t="s">
        <v>2182</v>
      </c>
      <c r="C1676" s="381" t="s">
        <v>771</v>
      </c>
      <c r="D1676" s="381" t="s">
        <v>2347</v>
      </c>
      <c r="E1676" s="451">
        <v>1400000</v>
      </c>
      <c r="F1676" s="381" t="s">
        <v>2292</v>
      </c>
      <c r="G1676" s="381" t="s">
        <v>30</v>
      </c>
      <c r="H1676" s="383" t="s">
        <v>1625</v>
      </c>
      <c r="I1676" s="383" t="s">
        <v>1625</v>
      </c>
      <c r="J1676" s="383">
        <v>1</v>
      </c>
      <c r="K1676" s="381" t="s">
        <v>1245</v>
      </c>
    </row>
    <row r="1677" spans="1:11" ht="15.75">
      <c r="A1677" s="744" t="s">
        <v>3416</v>
      </c>
      <c r="B1677" s="381" t="s">
        <v>2182</v>
      </c>
      <c r="C1677" s="381" t="s">
        <v>1670</v>
      </c>
      <c r="D1677" s="381" t="s">
        <v>2661</v>
      </c>
      <c r="E1677" s="451">
        <v>750000</v>
      </c>
      <c r="F1677" s="381" t="s">
        <v>2292</v>
      </c>
      <c r="G1677" s="381" t="s">
        <v>2605</v>
      </c>
      <c r="H1677" s="383" t="s">
        <v>1625</v>
      </c>
      <c r="I1677" s="383" t="s">
        <v>1625</v>
      </c>
      <c r="J1677" s="383">
        <v>1</v>
      </c>
      <c r="K1677" s="381" t="s">
        <v>2998</v>
      </c>
    </row>
    <row r="1678" spans="1:11" ht="15.75">
      <c r="A1678" s="393" t="s">
        <v>3418</v>
      </c>
      <c r="B1678" s="610" t="s">
        <v>2182</v>
      </c>
      <c r="C1678" s="482" t="s">
        <v>833</v>
      </c>
      <c r="D1678" s="482" t="s">
        <v>2347</v>
      </c>
      <c r="E1678" s="483">
        <v>1400000</v>
      </c>
      <c r="F1678" s="482" t="s">
        <v>2292</v>
      </c>
      <c r="G1678" s="482" t="s">
        <v>2593</v>
      </c>
      <c r="H1678" s="484" t="s">
        <v>1955</v>
      </c>
      <c r="I1678" s="484" t="s">
        <v>1625</v>
      </c>
      <c r="J1678" s="484">
        <v>1</v>
      </c>
      <c r="K1678" s="482" t="s">
        <v>1171</v>
      </c>
    </row>
    <row r="1679" spans="1:11" ht="15.75">
      <c r="A1679" s="412" t="s">
        <v>3406</v>
      </c>
      <c r="B1679" s="411" t="s">
        <v>2182</v>
      </c>
      <c r="C1679" s="381" t="s">
        <v>776</v>
      </c>
      <c r="D1679" s="381" t="s">
        <v>2253</v>
      </c>
      <c r="E1679" s="451">
        <v>780000</v>
      </c>
      <c r="F1679" s="381" t="s">
        <v>2292</v>
      </c>
      <c r="G1679" s="381" t="s">
        <v>30</v>
      </c>
      <c r="H1679" s="383" t="s">
        <v>1625</v>
      </c>
      <c r="I1679" s="383" t="s">
        <v>1625</v>
      </c>
      <c r="J1679" s="383">
        <v>1</v>
      </c>
      <c r="K1679" s="381" t="s">
        <v>1171</v>
      </c>
    </row>
    <row r="1680" spans="1:11" ht="15.75">
      <c r="A1680" s="928" t="s">
        <v>3406</v>
      </c>
      <c r="B1680" s="420" t="s">
        <v>3435</v>
      </c>
      <c r="C1680" s="743" t="s">
        <v>885</v>
      </c>
      <c r="D1680" s="633" t="s">
        <v>2394</v>
      </c>
      <c r="E1680" s="644">
        <v>1100000</v>
      </c>
      <c r="F1680" s="633" t="s">
        <v>1968</v>
      </c>
      <c r="G1680" s="633" t="s">
        <v>2593</v>
      </c>
      <c r="H1680" s="635" t="s">
        <v>1625</v>
      </c>
      <c r="I1680" s="635" t="s">
        <v>1625</v>
      </c>
      <c r="J1680" s="387">
        <v>1</v>
      </c>
      <c r="K1680" s="385" t="s">
        <v>2998</v>
      </c>
    </row>
    <row r="1681" spans="1:11" ht="15.75">
      <c r="A1681" s="393"/>
      <c r="B1681" s="381"/>
      <c r="C1681" s="381"/>
      <c r="D1681" s="381"/>
      <c r="E1681" s="451"/>
      <c r="F1681" s="381"/>
      <c r="G1681" s="381"/>
      <c r="H1681" s="383"/>
      <c r="I1681" s="383"/>
      <c r="J1681" s="383"/>
      <c r="K1681" s="381"/>
    </row>
    <row r="1682" spans="1:11" ht="15.75">
      <c r="A1682" s="456"/>
      <c r="B1682" s="457"/>
      <c r="C1682" s="457"/>
      <c r="D1682" s="457"/>
      <c r="E1682" s="476"/>
      <c r="F1682" s="457"/>
      <c r="G1682" s="457"/>
      <c r="H1682" s="153"/>
      <c r="I1682" s="153"/>
      <c r="J1682" s="493">
        <f>SUM(J1657:J1681)</f>
        <v>24</v>
      </c>
      <c r="K1682" s="457"/>
    </row>
    <row r="1683" spans="1:11" ht="15.75">
      <c r="A1683" s="394"/>
      <c r="B1683" s="395"/>
      <c r="C1683" s="395"/>
      <c r="D1683" s="395"/>
      <c r="E1683" s="396"/>
      <c r="F1683" s="397"/>
      <c r="G1683" s="397"/>
      <c r="H1683" s="395"/>
      <c r="I1683" s="395"/>
      <c r="J1683" s="395"/>
      <c r="K1683" s="395"/>
    </row>
    <row r="1684" spans="1:11" ht="15.75">
      <c r="A1684" s="394"/>
      <c r="B1684" s="395"/>
      <c r="C1684" s="395"/>
      <c r="D1684" s="395"/>
      <c r="E1684" s="396"/>
      <c r="F1684" s="397"/>
      <c r="G1684" s="397"/>
      <c r="H1684" s="395"/>
      <c r="I1684" s="395"/>
      <c r="J1684" s="395"/>
      <c r="K1684" s="395"/>
    </row>
    <row r="1686" spans="1:11" ht="26.25">
      <c r="A1686" s="1668" t="s">
        <v>3436</v>
      </c>
      <c r="B1686" s="1669"/>
      <c r="C1686" s="1669"/>
      <c r="D1686" s="1669"/>
      <c r="E1686" s="1669"/>
      <c r="F1686" s="1669"/>
      <c r="G1686" s="1669"/>
      <c r="H1686" s="1669"/>
      <c r="I1686" s="1669"/>
      <c r="J1686" s="1669"/>
      <c r="K1686" s="1670"/>
    </row>
    <row r="1687" spans="1:11" ht="31.5">
      <c r="A1687" s="378" t="s">
        <v>1941</v>
      </c>
      <c r="B1687" s="378" t="s">
        <v>1942</v>
      </c>
      <c r="C1687" s="378" t="s">
        <v>1943</v>
      </c>
      <c r="D1687" s="378" t="s">
        <v>1944</v>
      </c>
      <c r="E1687" s="452" t="s">
        <v>1945</v>
      </c>
      <c r="F1687" s="378" t="s">
        <v>1946</v>
      </c>
      <c r="G1687" s="378" t="s">
        <v>2590</v>
      </c>
      <c r="H1687" s="378" t="s">
        <v>1947</v>
      </c>
      <c r="I1687" s="378" t="s">
        <v>1948</v>
      </c>
      <c r="J1687" s="453" t="s">
        <v>1949</v>
      </c>
      <c r="K1687" s="378" t="s">
        <v>1950</v>
      </c>
    </row>
    <row r="1688" spans="1:11" ht="15.75">
      <c r="A1688" s="922" t="s">
        <v>3437</v>
      </c>
      <c r="B1688" s="618" t="s">
        <v>2182</v>
      </c>
      <c r="C1688" s="472" t="s">
        <v>3438</v>
      </c>
      <c r="D1688" s="472" t="s">
        <v>2711</v>
      </c>
      <c r="E1688" s="475">
        <v>260000000</v>
      </c>
      <c r="F1688" s="472" t="s">
        <v>2292</v>
      </c>
      <c r="G1688" s="472" t="s">
        <v>2593</v>
      </c>
      <c r="H1688" s="473" t="s">
        <v>1955</v>
      </c>
      <c r="I1688" s="473" t="s">
        <v>1625</v>
      </c>
      <c r="J1688" s="473">
        <v>1</v>
      </c>
      <c r="K1688" s="472" t="s">
        <v>2629</v>
      </c>
    </row>
    <row r="1689" spans="1:11" ht="15.75">
      <c r="A1689" s="922" t="s">
        <v>3418</v>
      </c>
      <c r="B1689" s="618" t="s">
        <v>2182</v>
      </c>
      <c r="C1689" s="578" t="s">
        <v>572</v>
      </c>
      <c r="D1689" s="472" t="s">
        <v>2347</v>
      </c>
      <c r="E1689" s="475">
        <v>320000000</v>
      </c>
      <c r="F1689" s="472" t="s">
        <v>2292</v>
      </c>
      <c r="G1689" s="472" t="s">
        <v>3439</v>
      </c>
      <c r="H1689" s="473" t="s">
        <v>1955</v>
      </c>
      <c r="I1689" s="473" t="s">
        <v>1625</v>
      </c>
      <c r="J1689" s="473">
        <v>1</v>
      </c>
      <c r="K1689" s="472" t="s">
        <v>2629</v>
      </c>
    </row>
    <row r="1690" spans="1:11" ht="15.75">
      <c r="A1690" s="932" t="s">
        <v>3406</v>
      </c>
      <c r="B1690" s="821" t="s">
        <v>2182</v>
      </c>
      <c r="C1690" s="820" t="s">
        <v>3440</v>
      </c>
      <c r="D1690" s="472" t="s">
        <v>2347</v>
      </c>
      <c r="E1690" s="475">
        <v>260000000</v>
      </c>
      <c r="F1690" s="472" t="s">
        <v>2292</v>
      </c>
      <c r="G1690" s="472" t="s">
        <v>2605</v>
      </c>
      <c r="H1690" s="473" t="s">
        <v>1955</v>
      </c>
      <c r="I1690" s="473" t="s">
        <v>1625</v>
      </c>
      <c r="J1690" s="473">
        <v>1</v>
      </c>
      <c r="K1690" s="472" t="s">
        <v>2629</v>
      </c>
    </row>
    <row r="1691" spans="1:11" ht="15.75">
      <c r="A1691" s="384" t="s">
        <v>3441</v>
      </c>
      <c r="B1691" s="577" t="s">
        <v>1952</v>
      </c>
      <c r="C1691" s="385" t="s">
        <v>3442</v>
      </c>
      <c r="D1691" s="385" t="s">
        <v>75</v>
      </c>
      <c r="E1691" s="462">
        <v>1650000</v>
      </c>
      <c r="F1691" s="385" t="s">
        <v>1968</v>
      </c>
      <c r="G1691" s="385" t="s">
        <v>2593</v>
      </c>
      <c r="H1691" s="387" t="s">
        <v>1625</v>
      </c>
      <c r="I1691" s="387" t="s">
        <v>1625</v>
      </c>
      <c r="J1691" s="387">
        <v>1</v>
      </c>
      <c r="K1691" s="385" t="s">
        <v>1171</v>
      </c>
    </row>
    <row r="1692" spans="1:11" ht="15.75">
      <c r="A1692" s="384">
        <v>44287</v>
      </c>
      <c r="B1692" s="577" t="s">
        <v>1952</v>
      </c>
      <c r="C1692" s="426" t="s">
        <v>3443</v>
      </c>
      <c r="D1692" s="385" t="s">
        <v>3089</v>
      </c>
      <c r="E1692" s="462">
        <v>900000</v>
      </c>
      <c r="F1692" s="385" t="s">
        <v>2290</v>
      </c>
      <c r="G1692" s="385" t="s">
        <v>2593</v>
      </c>
      <c r="H1692" s="387" t="s">
        <v>1955</v>
      </c>
      <c r="I1692" s="387" t="s">
        <v>1625</v>
      </c>
      <c r="J1692" s="387">
        <v>1</v>
      </c>
      <c r="K1692" s="385" t="s">
        <v>2998</v>
      </c>
    </row>
    <row r="1693" spans="1:11" ht="15.75">
      <c r="A1693" s="384">
        <v>44652</v>
      </c>
      <c r="B1693" s="577" t="s">
        <v>1952</v>
      </c>
      <c r="C1693" s="426" t="s">
        <v>2899</v>
      </c>
      <c r="D1693" s="385" t="s">
        <v>2711</v>
      </c>
      <c r="E1693" s="462">
        <v>980000</v>
      </c>
      <c r="F1693" s="385" t="s">
        <v>2292</v>
      </c>
      <c r="G1693" s="385" t="s">
        <v>2605</v>
      </c>
      <c r="H1693" s="387" t="s">
        <v>1955</v>
      </c>
      <c r="I1693" s="387" t="s">
        <v>1625</v>
      </c>
      <c r="J1693" s="387">
        <v>1</v>
      </c>
      <c r="K1693" s="385" t="s">
        <v>1245</v>
      </c>
    </row>
    <row r="1694" spans="1:11" ht="15.75">
      <c r="A1694" s="393">
        <v>44652</v>
      </c>
      <c r="B1694" s="381" t="s">
        <v>1952</v>
      </c>
      <c r="C1694" s="411" t="s">
        <v>3444</v>
      </c>
      <c r="D1694" s="381" t="s">
        <v>3445</v>
      </c>
      <c r="E1694" s="451">
        <v>1000000</v>
      </c>
      <c r="F1694" s="381" t="s">
        <v>1968</v>
      </c>
      <c r="G1694" s="381" t="s">
        <v>2605</v>
      </c>
      <c r="H1694" s="383" t="s">
        <v>1625</v>
      </c>
      <c r="I1694" s="383" t="s">
        <v>1625</v>
      </c>
      <c r="J1694" s="383">
        <v>1</v>
      </c>
      <c r="K1694" s="381" t="s">
        <v>1171</v>
      </c>
    </row>
    <row r="1695" spans="1:11" ht="15.75">
      <c r="A1695" s="925" t="s">
        <v>3414</v>
      </c>
      <c r="B1695" s="610" t="s">
        <v>2182</v>
      </c>
      <c r="C1695" s="381" t="s">
        <v>3446</v>
      </c>
      <c r="D1695" s="381" t="s">
        <v>2576</v>
      </c>
      <c r="E1695" s="451">
        <v>800000</v>
      </c>
      <c r="F1695" s="381" t="s">
        <v>1968</v>
      </c>
      <c r="G1695" s="381" t="s">
        <v>2605</v>
      </c>
      <c r="H1695" s="383" t="s">
        <v>1625</v>
      </c>
      <c r="I1695" s="383" t="s">
        <v>1625</v>
      </c>
      <c r="J1695" s="383">
        <v>1</v>
      </c>
      <c r="K1695" s="381" t="s">
        <v>2998</v>
      </c>
    </row>
    <row r="1696" spans="1:11" ht="15.75">
      <c r="A1696" s="412" t="s">
        <v>3416</v>
      </c>
      <c r="B1696" s="381" t="s">
        <v>1952</v>
      </c>
      <c r="C1696" s="426" t="s">
        <v>3447</v>
      </c>
      <c r="D1696" s="385" t="s">
        <v>75</v>
      </c>
      <c r="E1696" s="462">
        <v>1800000</v>
      </c>
      <c r="F1696" s="385" t="s">
        <v>2292</v>
      </c>
      <c r="G1696" s="385" t="s">
        <v>2593</v>
      </c>
      <c r="H1696" s="387" t="s">
        <v>3090</v>
      </c>
      <c r="I1696" s="387" t="s">
        <v>1625</v>
      </c>
      <c r="J1696" s="387">
        <v>1</v>
      </c>
      <c r="K1696" s="385" t="s">
        <v>2998</v>
      </c>
    </row>
    <row r="1697" spans="1:11" ht="15.75">
      <c r="A1697" s="412" t="s">
        <v>3414</v>
      </c>
      <c r="B1697" s="381" t="s">
        <v>2182</v>
      </c>
      <c r="C1697" s="426" t="s">
        <v>3448</v>
      </c>
      <c r="D1697" s="385" t="s">
        <v>3059</v>
      </c>
      <c r="E1697" s="462">
        <v>1750000</v>
      </c>
      <c r="F1697" s="385" t="s">
        <v>2292</v>
      </c>
      <c r="G1697" s="385" t="s">
        <v>2605</v>
      </c>
      <c r="H1697" s="387" t="s">
        <v>1625</v>
      </c>
      <c r="I1697" s="387" t="s">
        <v>1625</v>
      </c>
      <c r="J1697" s="387">
        <v>1</v>
      </c>
      <c r="K1697" s="385" t="s">
        <v>1171</v>
      </c>
    </row>
    <row r="1698" spans="1:11" ht="15.75">
      <c r="A1698" s="412" t="s">
        <v>3400</v>
      </c>
      <c r="B1698" s="381" t="s">
        <v>1966</v>
      </c>
      <c r="C1698" s="426" t="s">
        <v>3449</v>
      </c>
      <c r="D1698" s="385" t="s">
        <v>3189</v>
      </c>
      <c r="E1698" s="462">
        <v>1450000</v>
      </c>
      <c r="F1698" s="385" t="s">
        <v>1968</v>
      </c>
      <c r="G1698" s="385" t="s">
        <v>30</v>
      </c>
      <c r="H1698" s="387" t="s">
        <v>1625</v>
      </c>
      <c r="I1698" s="387" t="s">
        <v>1625</v>
      </c>
      <c r="J1698" s="387">
        <v>1</v>
      </c>
      <c r="K1698" s="385" t="s">
        <v>1245</v>
      </c>
    </row>
    <row r="1699" spans="1:11" ht="15.75">
      <c r="A1699" s="928" t="s">
        <v>3400</v>
      </c>
      <c r="B1699" s="420" t="s">
        <v>2182</v>
      </c>
      <c r="C1699" s="743" t="s">
        <v>3450</v>
      </c>
      <c r="D1699" s="633" t="s">
        <v>75</v>
      </c>
      <c r="E1699" s="644">
        <v>1800000</v>
      </c>
      <c r="F1699" s="633" t="s">
        <v>1968</v>
      </c>
      <c r="G1699" s="633" t="s">
        <v>2593</v>
      </c>
      <c r="H1699" s="635" t="s">
        <v>1955</v>
      </c>
      <c r="I1699" s="635" t="s">
        <v>1625</v>
      </c>
      <c r="J1699" s="387">
        <v>1</v>
      </c>
      <c r="K1699" s="385" t="s">
        <v>1171</v>
      </c>
    </row>
    <row r="1700" spans="1:11" ht="15.75">
      <c r="A1700" s="928" t="s">
        <v>3405</v>
      </c>
      <c r="B1700" s="420" t="s">
        <v>2060</v>
      </c>
      <c r="C1700" s="743" t="s">
        <v>3451</v>
      </c>
      <c r="D1700" s="633" t="s">
        <v>3452</v>
      </c>
      <c r="E1700" s="644">
        <v>800000</v>
      </c>
      <c r="F1700" s="633" t="s">
        <v>1968</v>
      </c>
      <c r="G1700" s="633" t="s">
        <v>3453</v>
      </c>
      <c r="H1700" s="635" t="s">
        <v>1625</v>
      </c>
      <c r="I1700" s="635" t="s">
        <v>1625</v>
      </c>
      <c r="J1700" s="387">
        <v>1</v>
      </c>
      <c r="K1700" s="385" t="s">
        <v>1245</v>
      </c>
    </row>
    <row r="1701" spans="1:11" ht="15.75">
      <c r="A1701" s="928" t="s">
        <v>3418</v>
      </c>
      <c r="B1701" s="420" t="s">
        <v>1966</v>
      </c>
      <c r="C1701" s="743" t="s">
        <v>3454</v>
      </c>
      <c r="D1701" s="633" t="s">
        <v>75</v>
      </c>
      <c r="E1701" s="644">
        <v>2100000</v>
      </c>
      <c r="F1701" s="633" t="s">
        <v>2292</v>
      </c>
      <c r="G1701" s="633" t="s">
        <v>2605</v>
      </c>
      <c r="H1701" s="635" t="s">
        <v>1625</v>
      </c>
      <c r="I1701" s="635" t="s">
        <v>1625</v>
      </c>
      <c r="J1701" s="387">
        <v>1</v>
      </c>
      <c r="K1701" s="385" t="s">
        <v>1171</v>
      </c>
    </row>
    <row r="1702" spans="1:11" ht="15.75">
      <c r="A1702" s="928" t="s">
        <v>3418</v>
      </c>
      <c r="B1702" s="420" t="s">
        <v>1966</v>
      </c>
      <c r="C1702" s="743" t="s">
        <v>3455</v>
      </c>
      <c r="D1702" s="633" t="s">
        <v>75</v>
      </c>
      <c r="E1702" s="644">
        <v>3500000</v>
      </c>
      <c r="F1702" s="633" t="s">
        <v>2605</v>
      </c>
      <c r="G1702" s="633" t="s">
        <v>2292</v>
      </c>
      <c r="H1702" s="635" t="s">
        <v>1625</v>
      </c>
      <c r="I1702" s="635" t="s">
        <v>1625</v>
      </c>
      <c r="J1702" s="387">
        <v>1</v>
      </c>
      <c r="K1702" s="385" t="s">
        <v>2998</v>
      </c>
    </row>
    <row r="1703" spans="1:11" ht="15.75">
      <c r="A1703" s="412" t="s">
        <v>3418</v>
      </c>
      <c r="B1703" s="411" t="s">
        <v>2694</v>
      </c>
      <c r="C1703" s="381" t="s">
        <v>3456</v>
      </c>
      <c r="D1703" s="381" t="s">
        <v>3059</v>
      </c>
      <c r="E1703" s="451">
        <v>1200000</v>
      </c>
      <c r="F1703" s="381" t="s">
        <v>2605</v>
      </c>
      <c r="G1703" s="381" t="s">
        <v>2292</v>
      </c>
      <c r="H1703" s="383" t="s">
        <v>1955</v>
      </c>
      <c r="I1703" s="383" t="s">
        <v>1625</v>
      </c>
      <c r="J1703" s="383">
        <v>1</v>
      </c>
      <c r="K1703" s="381" t="s">
        <v>1245</v>
      </c>
    </row>
    <row r="1704" spans="1:11" ht="15.75">
      <c r="A1704" s="928" t="s">
        <v>3418</v>
      </c>
      <c r="B1704" s="420" t="s">
        <v>2060</v>
      </c>
      <c r="C1704" s="743" t="s">
        <v>3457</v>
      </c>
      <c r="D1704" s="633" t="s">
        <v>2167</v>
      </c>
      <c r="E1704" s="644">
        <v>2400000</v>
      </c>
      <c r="F1704" s="633" t="s">
        <v>3351</v>
      </c>
      <c r="G1704" s="633" t="s">
        <v>1968</v>
      </c>
      <c r="H1704" s="635" t="s">
        <v>1955</v>
      </c>
      <c r="I1704" s="635" t="s">
        <v>1625</v>
      </c>
      <c r="J1704" s="387">
        <v>1</v>
      </c>
      <c r="K1704" s="385" t="s">
        <v>1171</v>
      </c>
    </row>
    <row r="1705" spans="1:11" ht="15.75">
      <c r="A1705" s="928" t="s">
        <v>3458</v>
      </c>
      <c r="B1705" s="420" t="s">
        <v>2060</v>
      </c>
      <c r="C1705" s="743" t="s">
        <v>3459</v>
      </c>
      <c r="D1705" s="633" t="s">
        <v>3460</v>
      </c>
      <c r="E1705" s="644">
        <v>5000000</v>
      </c>
      <c r="F1705" s="633" t="s">
        <v>30</v>
      </c>
      <c r="G1705" s="633" t="s">
        <v>2292</v>
      </c>
      <c r="H1705" s="635" t="s">
        <v>1625</v>
      </c>
      <c r="I1705" s="635" t="s">
        <v>1625</v>
      </c>
      <c r="J1705" s="387">
        <v>1</v>
      </c>
      <c r="K1705" s="385" t="s">
        <v>2998</v>
      </c>
    </row>
    <row r="1706" spans="1:11" ht="15.75">
      <c r="A1706" s="928" t="s">
        <v>1994</v>
      </c>
      <c r="B1706" s="420" t="s">
        <v>1966</v>
      </c>
      <c r="C1706" s="743" t="s">
        <v>3461</v>
      </c>
      <c r="D1706" s="633" t="s">
        <v>75</v>
      </c>
      <c r="E1706" s="644">
        <v>3100000</v>
      </c>
      <c r="F1706" s="633" t="s">
        <v>2593</v>
      </c>
      <c r="G1706" s="633" t="s">
        <v>1968</v>
      </c>
      <c r="H1706" s="635" t="s">
        <v>1955</v>
      </c>
      <c r="I1706" s="635" t="s">
        <v>1625</v>
      </c>
      <c r="J1706" s="387">
        <v>1</v>
      </c>
      <c r="K1706" s="385" t="s">
        <v>1171</v>
      </c>
    </row>
    <row r="1707" spans="1:11" ht="15.75">
      <c r="A1707" s="928" t="s">
        <v>3406</v>
      </c>
      <c r="B1707" s="420" t="s">
        <v>2060</v>
      </c>
      <c r="C1707" s="743" t="s">
        <v>3462</v>
      </c>
      <c r="D1707" s="633" t="s">
        <v>3463</v>
      </c>
      <c r="E1707" s="644">
        <v>750000</v>
      </c>
      <c r="F1707" s="633" t="s">
        <v>3453</v>
      </c>
      <c r="G1707" s="633" t="s">
        <v>1968</v>
      </c>
      <c r="H1707" s="635" t="s">
        <v>1625</v>
      </c>
      <c r="I1707" s="635" t="s">
        <v>1625</v>
      </c>
      <c r="J1707" s="387">
        <v>1</v>
      </c>
      <c r="K1707" s="385" t="s">
        <v>1245</v>
      </c>
    </row>
    <row r="1708" spans="1:11" ht="15.75">
      <c r="A1708" s="928" t="s">
        <v>3406</v>
      </c>
      <c r="B1708" s="420" t="s">
        <v>2060</v>
      </c>
      <c r="C1708" s="743" t="s">
        <v>3464</v>
      </c>
      <c r="D1708" s="633" t="s">
        <v>3463</v>
      </c>
      <c r="E1708" s="644">
        <v>750000</v>
      </c>
      <c r="F1708" s="633" t="s">
        <v>3453</v>
      </c>
      <c r="G1708" s="633" t="s">
        <v>1968</v>
      </c>
      <c r="H1708" s="635" t="s">
        <v>1625</v>
      </c>
      <c r="I1708" s="635" t="s">
        <v>1625</v>
      </c>
      <c r="J1708" s="387">
        <v>1</v>
      </c>
      <c r="K1708" s="385" t="s">
        <v>2998</v>
      </c>
    </row>
    <row r="1709" spans="1:11" ht="15.75">
      <c r="A1709" s="928" t="s">
        <v>3406</v>
      </c>
      <c r="B1709" s="420" t="s">
        <v>2060</v>
      </c>
      <c r="C1709" s="743" t="s">
        <v>3465</v>
      </c>
      <c r="D1709" s="633" t="s">
        <v>3463</v>
      </c>
      <c r="E1709" s="644">
        <v>750000</v>
      </c>
      <c r="F1709" s="633" t="s">
        <v>3453</v>
      </c>
      <c r="G1709" s="633" t="s">
        <v>1968</v>
      </c>
      <c r="H1709" s="635" t="s">
        <v>1625</v>
      </c>
      <c r="I1709" s="635" t="s">
        <v>1625</v>
      </c>
      <c r="J1709" s="387">
        <v>1</v>
      </c>
      <c r="K1709" s="385" t="s">
        <v>1171</v>
      </c>
    </row>
    <row r="1710" spans="1:11" ht="15.75">
      <c r="A1710" s="928" t="s">
        <v>3406</v>
      </c>
      <c r="B1710" s="420" t="s">
        <v>2060</v>
      </c>
      <c r="C1710" s="743" t="s">
        <v>3466</v>
      </c>
      <c r="D1710" s="633" t="s">
        <v>3463</v>
      </c>
      <c r="E1710" s="644">
        <v>750000</v>
      </c>
      <c r="F1710" s="633" t="s">
        <v>3453</v>
      </c>
      <c r="G1710" s="633" t="s">
        <v>1968</v>
      </c>
      <c r="H1710" s="635" t="s">
        <v>1625</v>
      </c>
      <c r="I1710" s="635" t="s">
        <v>1625</v>
      </c>
      <c r="J1710" s="387">
        <v>1</v>
      </c>
      <c r="K1710" s="385" t="s">
        <v>1245</v>
      </c>
    </row>
    <row r="1711" spans="1:11" ht="15.75">
      <c r="A1711" s="928"/>
      <c r="B1711" s="420"/>
      <c r="C1711" s="743"/>
      <c r="D1711" s="633"/>
      <c r="E1711" s="644"/>
      <c r="F1711" s="633"/>
      <c r="G1711" s="633"/>
      <c r="H1711" s="635"/>
      <c r="I1711" s="635"/>
      <c r="J1711" s="387"/>
      <c r="K1711" s="385"/>
    </row>
    <row r="1712" spans="1:11" ht="15.75">
      <c r="A1712" s="419"/>
      <c r="B1712" s="420"/>
      <c r="C1712" s="457"/>
      <c r="D1712" s="457"/>
      <c r="E1712" s="458"/>
      <c r="F1712" s="457"/>
      <c r="G1712" s="457"/>
      <c r="H1712" s="457"/>
      <c r="I1712" s="457"/>
      <c r="J1712" s="493">
        <f>SUM(J1688:J1711)</f>
        <v>23</v>
      </c>
      <c r="K1712" s="457"/>
    </row>
    <row r="1713" spans="1:11" ht="15.75">
      <c r="A1713" s="394"/>
      <c r="B1713" s="395"/>
      <c r="C1713" s="395"/>
      <c r="D1713" s="395"/>
      <c r="E1713" s="396"/>
      <c r="F1713" s="395"/>
      <c r="G1713" s="395"/>
      <c r="H1713" s="395"/>
      <c r="I1713" s="395"/>
      <c r="J1713" s="397"/>
      <c r="K1713" s="395"/>
    </row>
    <row r="1714" spans="1:11" ht="15.75">
      <c r="A1714" s="394"/>
      <c r="B1714" s="395"/>
      <c r="C1714" s="395"/>
      <c r="D1714" s="395"/>
      <c r="E1714" s="396"/>
      <c r="F1714" s="395"/>
      <c r="G1714" s="395"/>
      <c r="H1714" s="395"/>
      <c r="I1714" s="395"/>
      <c r="J1714" s="397"/>
      <c r="K1714" s="395"/>
    </row>
    <row r="1716" spans="1:11" ht="26.25">
      <c r="A1716" s="1668" t="s">
        <v>3467</v>
      </c>
      <c r="B1716" s="1669"/>
      <c r="C1716" s="1669"/>
      <c r="D1716" s="1669"/>
      <c r="E1716" s="1669"/>
      <c r="F1716" s="1669"/>
      <c r="G1716" s="1669"/>
      <c r="H1716" s="1669"/>
      <c r="I1716" s="1669"/>
      <c r="J1716" s="1669"/>
      <c r="K1716" s="1670"/>
    </row>
    <row r="1717" spans="1:11" ht="31.5">
      <c r="A1717" s="375" t="s">
        <v>1941</v>
      </c>
      <c r="B1717" s="378" t="s">
        <v>1942</v>
      </c>
      <c r="C1717" s="378" t="s">
        <v>1943</v>
      </c>
      <c r="D1717" s="378" t="s">
        <v>1944</v>
      </c>
      <c r="E1717" s="452" t="s">
        <v>1945</v>
      </c>
      <c r="F1717" s="378" t="s">
        <v>1946</v>
      </c>
      <c r="G1717" s="378" t="s">
        <v>2590</v>
      </c>
      <c r="H1717" s="378" t="s">
        <v>1947</v>
      </c>
      <c r="I1717" s="378" t="s">
        <v>1948</v>
      </c>
      <c r="J1717" s="453" t="s">
        <v>1949</v>
      </c>
      <c r="K1717" s="378" t="s">
        <v>1950</v>
      </c>
    </row>
    <row r="1718" spans="1:11" ht="15.75">
      <c r="A1718" s="443" t="s">
        <v>3441</v>
      </c>
      <c r="B1718" s="653" t="s">
        <v>1952</v>
      </c>
      <c r="C1718" s="381" t="s">
        <v>1643</v>
      </c>
      <c r="D1718" s="426" t="s">
        <v>2347</v>
      </c>
      <c r="E1718" s="462">
        <v>1250000</v>
      </c>
      <c r="F1718" s="385" t="s">
        <v>30</v>
      </c>
      <c r="G1718" s="385" t="s">
        <v>30</v>
      </c>
      <c r="H1718" s="387" t="s">
        <v>1625</v>
      </c>
      <c r="I1718" s="387" t="s">
        <v>1625</v>
      </c>
      <c r="J1718" s="387">
        <v>1</v>
      </c>
      <c r="K1718" s="385" t="s">
        <v>856</v>
      </c>
    </row>
    <row r="1719" spans="1:11" ht="15.75">
      <c r="A1719" s="443">
        <v>44713</v>
      </c>
      <c r="B1719" s="653" t="s">
        <v>1952</v>
      </c>
      <c r="C1719" s="381" t="s">
        <v>3468</v>
      </c>
      <c r="D1719" s="426" t="s">
        <v>2253</v>
      </c>
      <c r="E1719" s="462">
        <v>850000</v>
      </c>
      <c r="F1719" s="385" t="s">
        <v>30</v>
      </c>
      <c r="G1719" s="385" t="s">
        <v>30</v>
      </c>
      <c r="H1719" s="387" t="s">
        <v>1625</v>
      </c>
      <c r="I1719" s="387" t="s">
        <v>1625</v>
      </c>
      <c r="J1719" s="387">
        <v>1</v>
      </c>
      <c r="K1719" s="385" t="s">
        <v>856</v>
      </c>
    </row>
    <row r="1720" spans="1:11" ht="15.75">
      <c r="A1720" s="443" t="s">
        <v>3469</v>
      </c>
      <c r="B1720" s="653" t="s">
        <v>2182</v>
      </c>
      <c r="C1720" s="381" t="s">
        <v>3470</v>
      </c>
      <c r="D1720" s="426" t="s">
        <v>75</v>
      </c>
      <c r="E1720" s="462">
        <v>1600000</v>
      </c>
      <c r="F1720" s="385" t="s">
        <v>30</v>
      </c>
      <c r="G1720" s="385" t="s">
        <v>30</v>
      </c>
      <c r="H1720" s="387" t="s">
        <v>1625</v>
      </c>
      <c r="I1720" s="387" t="s">
        <v>1625</v>
      </c>
      <c r="J1720" s="387">
        <v>1</v>
      </c>
      <c r="K1720" s="385" t="s">
        <v>856</v>
      </c>
    </row>
    <row r="1721" spans="1:11" ht="15.75">
      <c r="A1721" s="443" t="s">
        <v>3411</v>
      </c>
      <c r="B1721" s="381" t="s">
        <v>2182</v>
      </c>
      <c r="C1721" s="381" t="s">
        <v>743</v>
      </c>
      <c r="D1721" s="426" t="s">
        <v>75</v>
      </c>
      <c r="E1721" s="451">
        <v>1650000</v>
      </c>
      <c r="F1721" s="381" t="s">
        <v>30</v>
      </c>
      <c r="G1721" s="381" t="s">
        <v>30</v>
      </c>
      <c r="H1721" s="383" t="s">
        <v>1625</v>
      </c>
      <c r="I1721" s="383" t="s">
        <v>1625</v>
      </c>
      <c r="J1721" s="383">
        <v>1</v>
      </c>
      <c r="K1721" s="381" t="s">
        <v>856</v>
      </c>
    </row>
    <row r="1722" spans="1:11" ht="15.75">
      <c r="A1722" s="393"/>
      <c r="B1722" s="406"/>
      <c r="C1722" s="406"/>
      <c r="D1722" s="381"/>
      <c r="E1722" s="712"/>
      <c r="F1722" s="381"/>
      <c r="G1722" s="381"/>
      <c r="H1722" s="383"/>
      <c r="I1722" s="383"/>
      <c r="J1722" s="383"/>
      <c r="K1722" s="381"/>
    </row>
    <row r="1723" spans="1:11" ht="15.75">
      <c r="A1723" s="393"/>
      <c r="B1723" s="381"/>
      <c r="C1723" s="381"/>
      <c r="D1723" s="381"/>
      <c r="E1723" s="712"/>
      <c r="F1723" s="381"/>
      <c r="G1723" s="381"/>
      <c r="H1723" s="383"/>
      <c r="I1723" s="383"/>
      <c r="J1723" s="383"/>
      <c r="K1723" s="381"/>
    </row>
    <row r="1724" spans="1:11" ht="15.75">
      <c r="A1724" s="419"/>
      <c r="B1724" s="420"/>
      <c r="C1724" s="420"/>
      <c r="D1724" s="420"/>
      <c r="E1724" s="458"/>
      <c r="F1724" s="153"/>
      <c r="G1724" s="153"/>
      <c r="H1724" s="457"/>
      <c r="I1724" s="457"/>
      <c r="J1724" s="493"/>
      <c r="K1724" s="457"/>
    </row>
    <row r="1726" spans="1:11" ht="26.25">
      <c r="A1726" s="1668" t="s">
        <v>3471</v>
      </c>
      <c r="B1726" s="1669"/>
      <c r="C1726" s="1669"/>
      <c r="D1726" s="1669"/>
      <c r="E1726" s="1669"/>
      <c r="F1726" s="1669"/>
      <c r="G1726" s="1669"/>
      <c r="H1726" s="1669"/>
      <c r="I1726" s="1669"/>
      <c r="J1726" s="1669"/>
      <c r="K1726" s="1670"/>
    </row>
    <row r="1727" spans="1:11" ht="31.5">
      <c r="A1727" s="378" t="s">
        <v>1941</v>
      </c>
      <c r="B1727" s="378" t="s">
        <v>1942</v>
      </c>
      <c r="C1727" s="378" t="s">
        <v>1943</v>
      </c>
      <c r="D1727" s="378" t="s">
        <v>1944</v>
      </c>
      <c r="E1727" s="452" t="s">
        <v>1945</v>
      </c>
      <c r="F1727" s="378" t="s">
        <v>1946</v>
      </c>
      <c r="G1727" s="378" t="s">
        <v>2590</v>
      </c>
      <c r="H1727" s="378" t="s">
        <v>1947</v>
      </c>
      <c r="I1727" s="378" t="s">
        <v>1948</v>
      </c>
      <c r="J1727" s="453" t="s">
        <v>1949</v>
      </c>
      <c r="K1727" s="378" t="s">
        <v>1950</v>
      </c>
    </row>
    <row r="1728" spans="1:11" ht="15.75">
      <c r="A1728" s="922">
        <v>44866</v>
      </c>
      <c r="B1728" s="618" t="s">
        <v>1952</v>
      </c>
      <c r="C1728" s="472" t="s">
        <v>3472</v>
      </c>
      <c r="D1728" s="472" t="s">
        <v>3067</v>
      </c>
      <c r="E1728" s="475">
        <v>320000000</v>
      </c>
      <c r="F1728" s="472" t="s">
        <v>1968</v>
      </c>
      <c r="G1728" s="472" t="s">
        <v>2593</v>
      </c>
      <c r="H1728" s="473" t="s">
        <v>1955</v>
      </c>
      <c r="I1728" s="473" t="s">
        <v>1625</v>
      </c>
      <c r="J1728" s="473">
        <v>1</v>
      </c>
      <c r="K1728" s="472" t="s">
        <v>2629</v>
      </c>
    </row>
    <row r="1729" spans="1:11" ht="15.75">
      <c r="A1729" s="922"/>
      <c r="B1729" s="618"/>
      <c r="C1729" s="578"/>
      <c r="D1729" s="472"/>
      <c r="E1729" s="475"/>
      <c r="F1729" s="472"/>
      <c r="G1729" s="472"/>
      <c r="H1729" s="473"/>
      <c r="I1729" s="473"/>
      <c r="J1729" s="473"/>
      <c r="K1729" s="472"/>
    </row>
    <row r="1730" spans="1:11" ht="15.75">
      <c r="A1730" s="932"/>
      <c r="B1730" s="821"/>
      <c r="C1730" s="820"/>
      <c r="D1730" s="472"/>
      <c r="E1730" s="475"/>
      <c r="F1730" s="472"/>
      <c r="G1730" s="472"/>
      <c r="H1730" s="473"/>
      <c r="I1730" s="473"/>
      <c r="J1730" s="473"/>
      <c r="K1730" s="472"/>
    </row>
    <row r="1733" spans="1:11">
      <c r="A1733" s="1665" t="s">
        <v>3473</v>
      </c>
      <c r="B1733" s="1665"/>
      <c r="C1733" s="1665"/>
      <c r="D1733" s="1665"/>
      <c r="E1733" s="1665"/>
      <c r="F1733" s="1665"/>
      <c r="G1733" s="1665"/>
      <c r="H1733" s="1665"/>
      <c r="I1733" s="1665"/>
      <c r="J1733" s="1665"/>
      <c r="K1733" s="1665"/>
    </row>
    <row r="1734" spans="1:11">
      <c r="A1734" s="1666"/>
      <c r="B1734" s="1666"/>
      <c r="C1734" s="1666"/>
      <c r="D1734" s="1666"/>
      <c r="E1734" s="1666"/>
      <c r="F1734" s="1666"/>
      <c r="G1734" s="1666"/>
      <c r="H1734" s="1666"/>
      <c r="I1734" s="1666"/>
      <c r="J1734" s="1666"/>
      <c r="K1734" s="1666"/>
    </row>
    <row r="1736" spans="1:11" ht="26.25">
      <c r="A1736" s="1667" t="s">
        <v>3474</v>
      </c>
      <c r="B1736" s="1667"/>
      <c r="C1736" s="1667"/>
      <c r="D1736" s="1667"/>
      <c r="E1736" s="1667"/>
      <c r="F1736" s="1667"/>
      <c r="G1736" s="1667"/>
      <c r="H1736" s="1667"/>
      <c r="I1736" s="1667"/>
      <c r="J1736" s="1667"/>
      <c r="K1736" s="1667"/>
    </row>
    <row r="1737" spans="1:11" ht="31.5">
      <c r="A1737" s="375" t="s">
        <v>1941</v>
      </c>
      <c r="B1737" s="378" t="s">
        <v>1942</v>
      </c>
      <c r="C1737" s="378" t="s">
        <v>1943</v>
      </c>
      <c r="D1737" s="378" t="s">
        <v>1944</v>
      </c>
      <c r="E1737" s="452" t="s">
        <v>1945</v>
      </c>
      <c r="F1737" s="378" t="s">
        <v>1946</v>
      </c>
      <c r="G1737" s="378" t="s">
        <v>2590</v>
      </c>
      <c r="H1737" s="378" t="s">
        <v>1947</v>
      </c>
      <c r="I1737" s="378" t="s">
        <v>1948</v>
      </c>
      <c r="J1737" s="453" t="s">
        <v>1949</v>
      </c>
      <c r="K1737" s="378" t="s">
        <v>10</v>
      </c>
    </row>
    <row r="1738" spans="1:11" ht="15.75">
      <c r="A1738" s="454" t="s">
        <v>3475</v>
      </c>
      <c r="B1738" s="472" t="s">
        <v>1952</v>
      </c>
      <c r="C1738" s="455" t="s">
        <v>3476</v>
      </c>
      <c r="D1738" s="455" t="s">
        <v>2711</v>
      </c>
      <c r="E1738" s="461">
        <v>320000000</v>
      </c>
      <c r="F1738" s="464" t="s">
        <v>2292</v>
      </c>
      <c r="G1738" s="464" t="s">
        <v>2593</v>
      </c>
      <c r="H1738" s="460" t="s">
        <v>1955</v>
      </c>
      <c r="I1738" s="460" t="s">
        <v>1625</v>
      </c>
      <c r="J1738" s="460">
        <v>1</v>
      </c>
      <c r="K1738" s="455" t="s">
        <v>2629</v>
      </c>
    </row>
    <row r="1739" spans="1:11" ht="15.75">
      <c r="A1739" s="454" t="s">
        <v>3477</v>
      </c>
      <c r="B1739" s="472" t="s">
        <v>2182</v>
      </c>
      <c r="C1739" s="455" t="s">
        <v>3478</v>
      </c>
      <c r="D1739" s="455" t="s">
        <v>3043</v>
      </c>
      <c r="E1739" s="461">
        <v>337000000</v>
      </c>
      <c r="F1739" s="464" t="s">
        <v>2292</v>
      </c>
      <c r="G1739" s="464" t="s">
        <v>2593</v>
      </c>
      <c r="H1739" s="460" t="s">
        <v>1955</v>
      </c>
      <c r="I1739" s="460" t="s">
        <v>1644</v>
      </c>
      <c r="J1739" s="460">
        <v>1</v>
      </c>
      <c r="K1739" s="455" t="s">
        <v>2629</v>
      </c>
    </row>
    <row r="1740" spans="1:11" ht="15.75">
      <c r="A1740" s="454" t="s">
        <v>3479</v>
      </c>
      <c r="B1740" s="472" t="s">
        <v>2182</v>
      </c>
      <c r="C1740" s="455" t="s">
        <v>885</v>
      </c>
      <c r="D1740" s="455" t="s">
        <v>2394</v>
      </c>
      <c r="E1740" s="461">
        <v>230000000</v>
      </c>
      <c r="F1740" s="464" t="s">
        <v>2292</v>
      </c>
      <c r="G1740" s="464" t="s">
        <v>2593</v>
      </c>
      <c r="H1740" s="460" t="s">
        <v>1955</v>
      </c>
      <c r="I1740" s="460" t="s">
        <v>1644</v>
      </c>
      <c r="J1740" s="460">
        <v>1</v>
      </c>
      <c r="K1740" s="455" t="s">
        <v>2629</v>
      </c>
    </row>
    <row r="1741" spans="1:11" ht="15.75">
      <c r="A1741" s="412" t="s">
        <v>3480</v>
      </c>
      <c r="B1741" s="381" t="s">
        <v>1952</v>
      </c>
      <c r="C1741" s="381" t="s">
        <v>803</v>
      </c>
      <c r="D1741" s="381" t="s">
        <v>2253</v>
      </c>
      <c r="E1741" s="451">
        <v>800000</v>
      </c>
      <c r="F1741" s="275" t="s">
        <v>2290</v>
      </c>
      <c r="G1741" s="275" t="s">
        <v>30</v>
      </c>
      <c r="H1741" s="383" t="s">
        <v>1625</v>
      </c>
      <c r="I1741" s="383" t="s">
        <v>1625</v>
      </c>
      <c r="J1741" s="383">
        <v>1</v>
      </c>
      <c r="K1741" s="381" t="s">
        <v>2998</v>
      </c>
    </row>
    <row r="1742" spans="1:11" ht="15.75">
      <c r="A1742" s="479" t="s">
        <v>3481</v>
      </c>
      <c r="B1742" s="612" t="s">
        <v>1952</v>
      </c>
      <c r="C1742" s="381" t="s">
        <v>3482</v>
      </c>
      <c r="D1742" s="381" t="s">
        <v>2394</v>
      </c>
      <c r="E1742" s="451">
        <v>1200000</v>
      </c>
      <c r="F1742" s="304" t="s">
        <v>2292</v>
      </c>
      <c r="G1742" s="275" t="s">
        <v>2593</v>
      </c>
      <c r="H1742" s="531" t="s">
        <v>1955</v>
      </c>
      <c r="I1742" s="383" t="s">
        <v>1625</v>
      </c>
      <c r="J1742" s="383">
        <v>1</v>
      </c>
      <c r="K1742" s="381" t="s">
        <v>1245</v>
      </c>
    </row>
    <row r="1743" spans="1:11" ht="15.75">
      <c r="A1743" s="479" t="s">
        <v>3481</v>
      </c>
      <c r="B1743" s="612" t="s">
        <v>1952</v>
      </c>
      <c r="C1743" s="381" t="s">
        <v>3483</v>
      </c>
      <c r="D1743" s="381" t="s">
        <v>2394</v>
      </c>
      <c r="E1743" s="451">
        <v>1200000</v>
      </c>
      <c r="F1743" s="304" t="s">
        <v>2292</v>
      </c>
      <c r="G1743" s="275" t="s">
        <v>2593</v>
      </c>
      <c r="H1743" s="531" t="s">
        <v>1955</v>
      </c>
      <c r="I1743" s="383" t="s">
        <v>1625</v>
      </c>
      <c r="J1743" s="383">
        <v>1</v>
      </c>
      <c r="K1743" s="381" t="s">
        <v>1171</v>
      </c>
    </row>
    <row r="1744" spans="1:11" ht="15.75">
      <c r="A1744" s="479" t="s">
        <v>3481</v>
      </c>
      <c r="B1744" s="612" t="s">
        <v>1952</v>
      </c>
      <c r="C1744" s="381" t="s">
        <v>1680</v>
      </c>
      <c r="D1744" s="381" t="s">
        <v>75</v>
      </c>
      <c r="E1744" s="451">
        <v>1350000</v>
      </c>
      <c r="F1744" s="304" t="s">
        <v>2292</v>
      </c>
      <c r="G1744" s="275" t="s">
        <v>2593</v>
      </c>
      <c r="H1744" s="531" t="s">
        <v>1625</v>
      </c>
      <c r="I1744" s="383" t="s">
        <v>1625</v>
      </c>
      <c r="J1744" s="383">
        <v>1</v>
      </c>
      <c r="K1744" s="381" t="s">
        <v>2998</v>
      </c>
    </row>
    <row r="1745" spans="1:11" ht="15.75">
      <c r="A1745" s="479" t="s">
        <v>3481</v>
      </c>
      <c r="B1745" s="612" t="s">
        <v>1952</v>
      </c>
      <c r="C1745" s="381" t="s">
        <v>805</v>
      </c>
      <c r="D1745" s="381" t="s">
        <v>3059</v>
      </c>
      <c r="E1745" s="451">
        <v>1300000</v>
      </c>
      <c r="F1745" s="304" t="s">
        <v>2292</v>
      </c>
      <c r="G1745" s="275" t="s">
        <v>2605</v>
      </c>
      <c r="H1745" s="531" t="s">
        <v>1955</v>
      </c>
      <c r="I1745" s="383" t="s">
        <v>1625</v>
      </c>
      <c r="J1745" s="383">
        <v>1</v>
      </c>
      <c r="K1745" s="381" t="s">
        <v>1245</v>
      </c>
    </row>
    <row r="1746" spans="1:11" ht="15.75">
      <c r="A1746" s="479" t="s">
        <v>3475</v>
      </c>
      <c r="B1746" s="612" t="s">
        <v>1952</v>
      </c>
      <c r="C1746" s="381" t="s">
        <v>3484</v>
      </c>
      <c r="D1746" s="381" t="s">
        <v>2253</v>
      </c>
      <c r="E1746" s="451">
        <v>800000</v>
      </c>
      <c r="F1746" s="304" t="s">
        <v>2292</v>
      </c>
      <c r="G1746" s="275" t="s">
        <v>2605</v>
      </c>
      <c r="H1746" s="531" t="s">
        <v>1625</v>
      </c>
      <c r="I1746" s="383" t="s">
        <v>1625</v>
      </c>
      <c r="J1746" s="383">
        <v>1</v>
      </c>
      <c r="K1746" s="381" t="s">
        <v>1171</v>
      </c>
    </row>
    <row r="1747" spans="1:11" ht="15.75">
      <c r="A1747" s="479" t="s">
        <v>3475</v>
      </c>
      <c r="B1747" s="612" t="s">
        <v>1952</v>
      </c>
      <c r="C1747" s="381" t="s">
        <v>3485</v>
      </c>
      <c r="D1747" s="381" t="s">
        <v>2167</v>
      </c>
      <c r="E1747" s="451">
        <v>1300000</v>
      </c>
      <c r="F1747" s="304" t="s">
        <v>2292</v>
      </c>
      <c r="G1747" s="275" t="s">
        <v>2605</v>
      </c>
      <c r="H1747" s="531" t="s">
        <v>1955</v>
      </c>
      <c r="I1747" s="383" t="s">
        <v>1625</v>
      </c>
      <c r="J1747" s="383">
        <v>1</v>
      </c>
      <c r="K1747" s="381" t="s">
        <v>1245</v>
      </c>
    </row>
    <row r="1748" spans="1:11" ht="15.75">
      <c r="A1748" s="479">
        <v>44653</v>
      </c>
      <c r="B1748" s="612" t="s">
        <v>1952</v>
      </c>
      <c r="C1748" s="381" t="s">
        <v>3486</v>
      </c>
      <c r="D1748" s="381" t="s">
        <v>2167</v>
      </c>
      <c r="E1748" s="451">
        <v>2400000</v>
      </c>
      <c r="F1748" s="304" t="s">
        <v>2292</v>
      </c>
      <c r="G1748" s="275" t="s">
        <v>2873</v>
      </c>
      <c r="H1748" s="531" t="s">
        <v>1955</v>
      </c>
      <c r="I1748" s="383" t="s">
        <v>1625</v>
      </c>
      <c r="J1748" s="383">
        <v>1</v>
      </c>
      <c r="K1748" s="381" t="s">
        <v>1171</v>
      </c>
    </row>
    <row r="1749" spans="1:11" ht="15.75">
      <c r="A1749" s="479">
        <v>44653</v>
      </c>
      <c r="B1749" s="612" t="s">
        <v>2182</v>
      </c>
      <c r="C1749" s="381" t="s">
        <v>807</v>
      </c>
      <c r="D1749" s="381" t="s">
        <v>2253</v>
      </c>
      <c r="E1749" s="451">
        <v>800000</v>
      </c>
      <c r="F1749" s="304" t="s">
        <v>1968</v>
      </c>
      <c r="G1749" s="275" t="s">
        <v>30</v>
      </c>
      <c r="H1749" s="531" t="s">
        <v>1625</v>
      </c>
      <c r="I1749" s="383" t="s">
        <v>1625</v>
      </c>
      <c r="J1749" s="383">
        <v>1</v>
      </c>
      <c r="K1749" s="381" t="s">
        <v>1245</v>
      </c>
    </row>
    <row r="1750" spans="1:11" ht="15.75">
      <c r="A1750" s="479">
        <v>44653</v>
      </c>
      <c r="B1750" s="612" t="s">
        <v>2060</v>
      </c>
      <c r="C1750" s="381" t="s">
        <v>3487</v>
      </c>
      <c r="D1750" s="381" t="s">
        <v>3488</v>
      </c>
      <c r="E1750" s="451">
        <v>590000</v>
      </c>
      <c r="F1750" s="304" t="s">
        <v>1968</v>
      </c>
      <c r="G1750" s="275" t="s">
        <v>3489</v>
      </c>
      <c r="H1750" s="531" t="s">
        <v>1955</v>
      </c>
      <c r="I1750" s="383" t="s">
        <v>1625</v>
      </c>
      <c r="J1750" s="383">
        <v>1</v>
      </c>
      <c r="K1750" s="381" t="s">
        <v>1171</v>
      </c>
    </row>
    <row r="1751" spans="1:11" ht="15.75">
      <c r="A1751" s="479">
        <v>44653</v>
      </c>
      <c r="B1751" s="612" t="s">
        <v>2182</v>
      </c>
      <c r="C1751" s="381" t="s">
        <v>917</v>
      </c>
      <c r="D1751" s="381" t="s">
        <v>2326</v>
      </c>
      <c r="E1751" s="451">
        <v>1100000</v>
      </c>
      <c r="F1751" s="304" t="s">
        <v>2292</v>
      </c>
      <c r="G1751" s="275" t="s">
        <v>2605</v>
      </c>
      <c r="H1751" s="531" t="s">
        <v>1625</v>
      </c>
      <c r="I1751" s="383" t="s">
        <v>1625</v>
      </c>
      <c r="J1751" s="383">
        <v>1</v>
      </c>
      <c r="K1751" s="381" t="s">
        <v>1245</v>
      </c>
    </row>
    <row r="1752" spans="1:11" ht="15.75">
      <c r="A1752" s="479">
        <v>44775</v>
      </c>
      <c r="B1752" s="612" t="s">
        <v>2182</v>
      </c>
      <c r="C1752" s="381" t="s">
        <v>3490</v>
      </c>
      <c r="D1752" s="381" t="s">
        <v>2394</v>
      </c>
      <c r="E1752" s="451">
        <v>1250000</v>
      </c>
      <c r="F1752" s="304" t="s">
        <v>2292</v>
      </c>
      <c r="G1752" s="275" t="s">
        <v>2593</v>
      </c>
      <c r="H1752" s="531" t="s">
        <v>1955</v>
      </c>
      <c r="I1752" s="383" t="s">
        <v>1625</v>
      </c>
      <c r="J1752" s="383">
        <v>1</v>
      </c>
      <c r="K1752" s="381" t="s">
        <v>1171</v>
      </c>
    </row>
    <row r="1753" spans="1:11" ht="15.75">
      <c r="A1753" s="479">
        <v>44867</v>
      </c>
      <c r="B1753" s="612" t="s">
        <v>2182</v>
      </c>
      <c r="C1753" s="381" t="s">
        <v>3491</v>
      </c>
      <c r="D1753" s="381" t="s">
        <v>3059</v>
      </c>
      <c r="E1753" s="451">
        <v>1400000</v>
      </c>
      <c r="F1753" s="304" t="s">
        <v>1968</v>
      </c>
      <c r="G1753" s="275" t="s">
        <v>2593</v>
      </c>
      <c r="H1753" s="531" t="s">
        <v>1955</v>
      </c>
      <c r="I1753" s="383" t="s">
        <v>1625</v>
      </c>
      <c r="J1753" s="383">
        <v>1</v>
      </c>
      <c r="K1753" s="381" t="s">
        <v>1245</v>
      </c>
    </row>
    <row r="1754" spans="1:11" ht="15.75">
      <c r="A1754" s="479" t="s">
        <v>3492</v>
      </c>
      <c r="B1754" s="612" t="s">
        <v>2182</v>
      </c>
      <c r="C1754" s="381" t="s">
        <v>1686</v>
      </c>
      <c r="D1754" s="381" t="s">
        <v>3493</v>
      </c>
      <c r="E1754" s="451">
        <v>1400000</v>
      </c>
      <c r="F1754" s="304" t="s">
        <v>2292</v>
      </c>
      <c r="G1754" s="275" t="s">
        <v>30</v>
      </c>
      <c r="H1754" s="531" t="s">
        <v>1955</v>
      </c>
      <c r="I1754" s="383" t="s">
        <v>1644</v>
      </c>
      <c r="J1754" s="383">
        <v>1</v>
      </c>
      <c r="K1754" s="381" t="s">
        <v>1171</v>
      </c>
    </row>
    <row r="1755" spans="1:11" ht="15.75">
      <c r="A1755" s="479" t="s">
        <v>3494</v>
      </c>
      <c r="B1755" s="612" t="s">
        <v>2182</v>
      </c>
      <c r="C1755" s="381" t="s">
        <v>3495</v>
      </c>
      <c r="D1755" s="381" t="s">
        <v>2326</v>
      </c>
      <c r="E1755" s="451">
        <v>900000</v>
      </c>
      <c r="F1755" s="304" t="s">
        <v>2292</v>
      </c>
      <c r="G1755" s="275" t="s">
        <v>30</v>
      </c>
      <c r="H1755" s="531" t="s">
        <v>1625</v>
      </c>
      <c r="I1755" s="383" t="s">
        <v>1644</v>
      </c>
      <c r="J1755" s="383">
        <v>1</v>
      </c>
      <c r="K1755" s="381" t="s">
        <v>1245</v>
      </c>
    </row>
    <row r="1756" spans="1:11" ht="15.75">
      <c r="A1756" s="479" t="s">
        <v>3492</v>
      </c>
      <c r="B1756" s="612" t="s">
        <v>2182</v>
      </c>
      <c r="C1756" s="381" t="s">
        <v>864</v>
      </c>
      <c r="D1756" s="381" t="s">
        <v>2711</v>
      </c>
      <c r="E1756" s="451">
        <v>1300000</v>
      </c>
      <c r="F1756" s="304" t="s">
        <v>2292</v>
      </c>
      <c r="G1756" s="275" t="s">
        <v>2593</v>
      </c>
      <c r="H1756" s="531" t="s">
        <v>1955</v>
      </c>
      <c r="I1756" s="383" t="s">
        <v>1644</v>
      </c>
      <c r="J1756" s="383">
        <v>1</v>
      </c>
      <c r="K1756" s="381" t="s">
        <v>1171</v>
      </c>
    </row>
    <row r="1757" spans="1:11" ht="15.75">
      <c r="A1757" s="479" t="s">
        <v>3477</v>
      </c>
      <c r="B1757" s="612" t="s">
        <v>2182</v>
      </c>
      <c r="C1757" s="381" t="s">
        <v>861</v>
      </c>
      <c r="D1757" s="381" t="s">
        <v>3493</v>
      </c>
      <c r="E1757" s="451">
        <v>1350000</v>
      </c>
      <c r="F1757" s="304" t="s">
        <v>2292</v>
      </c>
      <c r="G1757" s="275" t="s">
        <v>2605</v>
      </c>
      <c r="H1757" s="531" t="s">
        <v>1625</v>
      </c>
      <c r="I1757" s="383" t="s">
        <v>1644</v>
      </c>
      <c r="J1757" s="383">
        <v>1</v>
      </c>
      <c r="K1757" s="381" t="s">
        <v>1245</v>
      </c>
    </row>
    <row r="1758" spans="1:11" ht="15.75">
      <c r="A1758" s="479" t="s">
        <v>3477</v>
      </c>
      <c r="B1758" s="612" t="s">
        <v>2182</v>
      </c>
      <c r="C1758" s="381" t="s">
        <v>1683</v>
      </c>
      <c r="D1758" s="381" t="s">
        <v>3493</v>
      </c>
      <c r="E1758" s="451">
        <v>1350000</v>
      </c>
      <c r="F1758" s="304" t="s">
        <v>2292</v>
      </c>
      <c r="G1758" s="275" t="s">
        <v>2605</v>
      </c>
      <c r="H1758" s="531" t="s">
        <v>1625</v>
      </c>
      <c r="I1758" s="383" t="s">
        <v>1644</v>
      </c>
      <c r="J1758" s="383">
        <v>1</v>
      </c>
      <c r="K1758" s="381" t="s">
        <v>1171</v>
      </c>
    </row>
    <row r="1759" spans="1:11" ht="15.75">
      <c r="A1759" s="479" t="s">
        <v>3496</v>
      </c>
      <c r="B1759" s="612" t="s">
        <v>2182</v>
      </c>
      <c r="C1759" s="381" t="s">
        <v>866</v>
      </c>
      <c r="D1759" s="381" t="s">
        <v>2394</v>
      </c>
      <c r="E1759" s="451">
        <v>1100000</v>
      </c>
      <c r="F1759" s="304" t="s">
        <v>2292</v>
      </c>
      <c r="G1759" s="275" t="s">
        <v>2605</v>
      </c>
      <c r="H1759" s="531" t="s">
        <v>1625</v>
      </c>
      <c r="I1759" s="383" t="s">
        <v>1644</v>
      </c>
      <c r="J1759" s="383">
        <v>1</v>
      </c>
      <c r="K1759" s="381" t="s">
        <v>1245</v>
      </c>
    </row>
    <row r="1760" spans="1:11" ht="15.75">
      <c r="A1760" s="479" t="s">
        <v>3496</v>
      </c>
      <c r="B1760" s="612" t="s">
        <v>2182</v>
      </c>
      <c r="C1760" s="381" t="s">
        <v>3497</v>
      </c>
      <c r="D1760" s="381" t="s">
        <v>3498</v>
      </c>
      <c r="E1760" s="451">
        <v>3000000</v>
      </c>
      <c r="F1760" s="304" t="s">
        <v>2292</v>
      </c>
      <c r="G1760" s="275" t="s">
        <v>2593</v>
      </c>
      <c r="H1760" s="531" t="s">
        <v>1955</v>
      </c>
      <c r="I1760" s="383" t="s">
        <v>1644</v>
      </c>
      <c r="J1760" s="383">
        <v>1</v>
      </c>
      <c r="K1760" s="381" t="s">
        <v>1171</v>
      </c>
    </row>
    <row r="1761" spans="1:11" ht="15.75">
      <c r="A1761" s="393"/>
      <c r="B1761" s="381"/>
      <c r="C1761" s="381"/>
      <c r="D1761" s="381"/>
      <c r="E1761" s="451"/>
      <c r="F1761" s="381"/>
      <c r="G1761" s="381"/>
      <c r="H1761" s="383"/>
      <c r="I1761" s="383"/>
      <c r="J1761" s="383"/>
      <c r="K1761" s="381"/>
    </row>
    <row r="1762" spans="1:11" ht="15.75">
      <c r="A1762" s="412"/>
      <c r="B1762" s="411"/>
      <c r="C1762" s="381"/>
      <c r="D1762" s="381"/>
      <c r="E1762" s="451"/>
      <c r="F1762" s="304"/>
      <c r="G1762" s="275"/>
      <c r="H1762" s="531"/>
      <c r="I1762" s="383"/>
      <c r="J1762" s="383"/>
      <c r="K1762" s="381"/>
    </row>
    <row r="1763" spans="1:11" ht="15.75">
      <c r="A1763" s="419"/>
      <c r="B1763" s="420"/>
      <c r="C1763" s="420"/>
      <c r="D1763" s="420"/>
      <c r="E1763" s="463"/>
      <c r="F1763" s="466"/>
      <c r="G1763" s="466"/>
      <c r="H1763" s="422"/>
      <c r="I1763" s="422"/>
      <c r="J1763" s="492">
        <f>SUM(J1738:J1762)</f>
        <v>23</v>
      </c>
      <c r="K1763" s="420"/>
    </row>
    <row r="1764" spans="1:11" ht="15.75">
      <c r="A1764" s="394"/>
      <c r="B1764" s="395"/>
      <c r="C1764" s="395"/>
      <c r="D1764" s="395"/>
      <c r="E1764" s="706"/>
      <c r="F1764" s="707"/>
      <c r="G1764" s="707"/>
      <c r="H1764" s="397"/>
      <c r="I1764" s="397"/>
      <c r="J1764" s="397"/>
      <c r="K1764" s="395"/>
    </row>
    <row r="1765" spans="1:11" ht="15.75">
      <c r="A1765" s="394"/>
      <c r="B1765" s="395"/>
      <c r="C1765" s="395"/>
      <c r="D1765" s="395"/>
      <c r="E1765" s="706"/>
      <c r="F1765" s="707"/>
      <c r="G1765" s="707"/>
      <c r="H1765" s="397"/>
      <c r="I1765" s="397"/>
      <c r="J1765" s="397"/>
      <c r="K1765" s="395"/>
    </row>
    <row r="1766" spans="1:11" ht="15.75">
      <c r="A1766" s="394"/>
      <c r="B1766" s="395"/>
      <c r="C1766" s="395"/>
      <c r="D1766" s="395"/>
      <c r="E1766" s="396"/>
      <c r="F1766" s="397"/>
      <c r="G1766" s="397"/>
      <c r="H1766" s="397"/>
      <c r="I1766" s="395"/>
      <c r="J1766" s="395"/>
      <c r="K1766" s="395"/>
    </row>
    <row r="1767" spans="1:11" ht="26.25">
      <c r="A1767" s="1667" t="s">
        <v>3499</v>
      </c>
      <c r="B1767" s="1667"/>
      <c r="C1767" s="1667"/>
      <c r="D1767" s="1667"/>
      <c r="E1767" s="1667"/>
      <c r="F1767" s="1667"/>
      <c r="G1767" s="1667"/>
      <c r="H1767" s="1667"/>
      <c r="I1767" s="1667"/>
      <c r="J1767" s="1667"/>
      <c r="K1767" s="1667"/>
    </row>
    <row r="1768" spans="1:11" ht="31.5">
      <c r="A1768" s="375" t="s">
        <v>1941</v>
      </c>
      <c r="B1768" s="378" t="s">
        <v>1942</v>
      </c>
      <c r="C1768" s="378" t="s">
        <v>1943</v>
      </c>
      <c r="D1768" s="378" t="s">
        <v>1944</v>
      </c>
      <c r="E1768" s="452" t="s">
        <v>1945</v>
      </c>
      <c r="F1768" s="378" t="s">
        <v>1946</v>
      </c>
      <c r="G1768" s="378" t="s">
        <v>2590</v>
      </c>
      <c r="H1768" s="378" t="s">
        <v>1947</v>
      </c>
      <c r="I1768" s="378" t="s">
        <v>1948</v>
      </c>
      <c r="J1768" s="453" t="s">
        <v>1949</v>
      </c>
      <c r="K1768" s="378" t="s">
        <v>1950</v>
      </c>
    </row>
    <row r="1769" spans="1:11" ht="15.75">
      <c r="A1769" s="474"/>
      <c r="B1769" s="472"/>
      <c r="C1769" s="472"/>
      <c r="D1769" s="472"/>
      <c r="E1769" s="475"/>
      <c r="F1769" s="472"/>
      <c r="G1769" s="472"/>
      <c r="H1769" s="473"/>
      <c r="I1769" s="473"/>
      <c r="J1769" s="473"/>
      <c r="K1769" s="472"/>
    </row>
    <row r="1770" spans="1:11" ht="15.75">
      <c r="A1770" s="474"/>
      <c r="B1770" s="472"/>
      <c r="C1770" s="472"/>
      <c r="D1770" s="472"/>
      <c r="E1770" s="475"/>
      <c r="F1770" s="472"/>
      <c r="G1770" s="472"/>
      <c r="H1770" s="473"/>
      <c r="I1770" s="473"/>
      <c r="J1770" s="473"/>
      <c r="K1770" s="472"/>
    </row>
    <row r="1771" spans="1:11" ht="15.75">
      <c r="A1771" s="507"/>
      <c r="B1771" s="459"/>
      <c r="C1771" s="455"/>
      <c r="D1771" s="455"/>
      <c r="E1771" s="461"/>
      <c r="F1771" s="455"/>
      <c r="G1771" s="455"/>
      <c r="H1771" s="460"/>
      <c r="I1771" s="460"/>
      <c r="J1771" s="460"/>
      <c r="K1771" s="455"/>
    </row>
    <row r="1772" spans="1:11" ht="15.75">
      <c r="A1772" s="412" t="s">
        <v>3480</v>
      </c>
      <c r="B1772" s="426" t="s">
        <v>1952</v>
      </c>
      <c r="C1772" s="385" t="s">
        <v>3500</v>
      </c>
      <c r="D1772" s="385" t="s">
        <v>2845</v>
      </c>
      <c r="E1772" s="462">
        <v>2800000</v>
      </c>
      <c r="F1772" s="385" t="s">
        <v>2292</v>
      </c>
      <c r="G1772" s="385" t="s">
        <v>2605</v>
      </c>
      <c r="H1772" s="387" t="s">
        <v>1625</v>
      </c>
      <c r="I1772" s="387" t="s">
        <v>1625</v>
      </c>
      <c r="J1772" s="387">
        <v>1</v>
      </c>
      <c r="K1772" s="385" t="s">
        <v>1171</v>
      </c>
    </row>
    <row r="1773" spans="1:11" ht="15.75">
      <c r="A1773" s="479" t="s">
        <v>3475</v>
      </c>
      <c r="B1773" s="426" t="s">
        <v>1952</v>
      </c>
      <c r="C1773" s="385" t="s">
        <v>3501</v>
      </c>
      <c r="D1773" s="385" t="s">
        <v>3502</v>
      </c>
      <c r="E1773" s="462">
        <v>900000</v>
      </c>
      <c r="F1773" s="385" t="s">
        <v>1968</v>
      </c>
      <c r="G1773" s="385" t="s">
        <v>2605</v>
      </c>
      <c r="H1773" s="387" t="s">
        <v>1625</v>
      </c>
      <c r="I1773" s="387" t="s">
        <v>1625</v>
      </c>
      <c r="J1773" s="387">
        <v>1</v>
      </c>
      <c r="K1773" s="385" t="s">
        <v>2998</v>
      </c>
    </row>
    <row r="1774" spans="1:11" ht="15.75">
      <c r="A1774" s="479">
        <v>44622</v>
      </c>
      <c r="B1774" s="426" t="s">
        <v>1952</v>
      </c>
      <c r="C1774" s="385" t="s">
        <v>3503</v>
      </c>
      <c r="D1774" s="385" t="s">
        <v>75</v>
      </c>
      <c r="E1774" s="462">
        <v>1500000</v>
      </c>
      <c r="F1774" s="385" t="s">
        <v>2292</v>
      </c>
      <c r="G1774" s="385" t="s">
        <v>2593</v>
      </c>
      <c r="H1774" s="387" t="s">
        <v>1955</v>
      </c>
      <c r="I1774" s="387" t="s">
        <v>1625</v>
      </c>
      <c r="J1774" s="387">
        <v>1</v>
      </c>
      <c r="K1774" s="385" t="s">
        <v>1245</v>
      </c>
    </row>
    <row r="1775" spans="1:11" ht="15.75">
      <c r="A1775" s="479">
        <v>44744</v>
      </c>
      <c r="B1775" s="381" t="s">
        <v>2182</v>
      </c>
      <c r="C1775" s="381" t="s">
        <v>3504</v>
      </c>
      <c r="D1775" s="381" t="s">
        <v>75</v>
      </c>
      <c r="E1775" s="451">
        <v>1450000</v>
      </c>
      <c r="F1775" s="381" t="s">
        <v>2292</v>
      </c>
      <c r="G1775" s="381" t="s">
        <v>2593</v>
      </c>
      <c r="H1775" s="383" t="s">
        <v>1625</v>
      </c>
      <c r="I1775" s="383" t="s">
        <v>1625</v>
      </c>
      <c r="J1775" s="383">
        <v>1</v>
      </c>
      <c r="K1775" s="381" t="s">
        <v>1171</v>
      </c>
    </row>
    <row r="1776" spans="1:11" ht="15.75">
      <c r="A1776" s="481">
        <v>44744</v>
      </c>
      <c r="B1776" s="482" t="s">
        <v>2182</v>
      </c>
      <c r="C1776" s="482" t="s">
        <v>823</v>
      </c>
      <c r="D1776" s="482" t="s">
        <v>3059</v>
      </c>
      <c r="E1776" s="483">
        <v>1500000</v>
      </c>
      <c r="F1776" s="482" t="s">
        <v>2292</v>
      </c>
      <c r="G1776" s="482" t="s">
        <v>2593</v>
      </c>
      <c r="H1776" s="484" t="s">
        <v>3505</v>
      </c>
      <c r="I1776" s="484" t="s">
        <v>1625</v>
      </c>
      <c r="J1776" s="484">
        <v>1</v>
      </c>
      <c r="K1776" s="482" t="s">
        <v>1245</v>
      </c>
    </row>
    <row r="1777" spans="1:11" ht="15.75">
      <c r="A1777" s="443"/>
      <c r="B1777" s="381"/>
      <c r="C1777" s="381"/>
      <c r="D1777" s="381"/>
      <c r="E1777" s="451"/>
      <c r="F1777" s="381"/>
      <c r="G1777" s="381"/>
      <c r="H1777" s="383"/>
      <c r="I1777" s="383"/>
      <c r="J1777" s="383"/>
      <c r="K1777" s="381"/>
    </row>
    <row r="1778" spans="1:11" ht="15.75">
      <c r="A1778" s="456"/>
      <c r="B1778" s="457"/>
      <c r="C1778" s="457"/>
      <c r="D1778" s="457"/>
      <c r="E1778" s="476"/>
      <c r="F1778" s="457"/>
      <c r="G1778" s="457"/>
      <c r="H1778" s="153"/>
      <c r="I1778" s="153"/>
      <c r="J1778" s="493">
        <f>SUM(J1769:J1777)</f>
        <v>5</v>
      </c>
      <c r="K1778" s="457"/>
    </row>
    <row r="1779" spans="1:11" ht="26.25">
      <c r="A1779" s="1667" t="s">
        <v>3506</v>
      </c>
      <c r="B1779" s="1667"/>
      <c r="C1779" s="1667"/>
      <c r="D1779" s="1667"/>
      <c r="E1779" s="1667"/>
      <c r="F1779" s="1667"/>
      <c r="G1779" s="1667"/>
      <c r="H1779" s="1667"/>
      <c r="I1779" s="1667"/>
      <c r="J1779" s="1667"/>
      <c r="K1779" s="1667"/>
    </row>
    <row r="1780" spans="1:11" ht="31.5">
      <c r="A1780" s="375" t="s">
        <v>1941</v>
      </c>
      <c r="B1780" s="378" t="s">
        <v>1942</v>
      </c>
      <c r="C1780" s="378" t="s">
        <v>1943</v>
      </c>
      <c r="D1780" s="378" t="s">
        <v>1944</v>
      </c>
      <c r="E1780" s="452" t="s">
        <v>1945</v>
      </c>
      <c r="F1780" s="378" t="s">
        <v>1946</v>
      </c>
      <c r="G1780" s="378" t="s">
        <v>2590</v>
      </c>
      <c r="H1780" s="378" t="s">
        <v>1947</v>
      </c>
      <c r="I1780" s="378" t="s">
        <v>1948</v>
      </c>
      <c r="J1780" s="453" t="s">
        <v>1949</v>
      </c>
      <c r="K1780" s="378" t="s">
        <v>1950</v>
      </c>
    </row>
    <row r="1781" spans="1:11" ht="15.75">
      <c r="A1781" s="922">
        <v>44775</v>
      </c>
      <c r="B1781" s="618" t="s">
        <v>2182</v>
      </c>
      <c r="C1781" s="472" t="s">
        <v>3507</v>
      </c>
      <c r="D1781" s="472" t="s">
        <v>75</v>
      </c>
      <c r="E1781" s="475">
        <v>500000000</v>
      </c>
      <c r="F1781" s="472" t="s">
        <v>1968</v>
      </c>
      <c r="G1781" s="472" t="s">
        <v>2593</v>
      </c>
      <c r="H1781" s="473" t="s">
        <v>1955</v>
      </c>
      <c r="I1781" s="473" t="s">
        <v>1644</v>
      </c>
      <c r="J1781" s="473">
        <v>1</v>
      </c>
      <c r="K1781" s="472" t="s">
        <v>2629</v>
      </c>
    </row>
    <row r="1782" spans="1:11" ht="15.75">
      <c r="A1782" s="454">
        <v>44867</v>
      </c>
      <c r="B1782" s="455" t="s">
        <v>2182</v>
      </c>
      <c r="C1782" s="459" t="s">
        <v>935</v>
      </c>
      <c r="D1782" s="455" t="s">
        <v>2394</v>
      </c>
      <c r="E1782" s="461">
        <v>220000000</v>
      </c>
      <c r="F1782" s="654" t="s">
        <v>2292</v>
      </c>
      <c r="G1782" s="464" t="s">
        <v>30</v>
      </c>
      <c r="H1782" s="655" t="s">
        <v>1955</v>
      </c>
      <c r="I1782" s="460" t="s">
        <v>1644</v>
      </c>
      <c r="J1782" s="460">
        <v>1</v>
      </c>
      <c r="K1782" s="455" t="s">
        <v>2629</v>
      </c>
    </row>
    <row r="1783" spans="1:11" ht="15.75">
      <c r="A1783" s="611" t="s">
        <v>3508</v>
      </c>
      <c r="B1783" s="472" t="s">
        <v>2182</v>
      </c>
      <c r="C1783" s="472" t="s">
        <v>3509</v>
      </c>
      <c r="D1783" s="472" t="s">
        <v>2661</v>
      </c>
      <c r="E1783" s="475">
        <v>190000000</v>
      </c>
      <c r="F1783" s="472" t="s">
        <v>2292</v>
      </c>
      <c r="G1783" s="472" t="s">
        <v>2593</v>
      </c>
      <c r="H1783" s="473" t="s">
        <v>1955</v>
      </c>
      <c r="I1783" s="473" t="s">
        <v>1644</v>
      </c>
      <c r="J1783" s="473">
        <v>1</v>
      </c>
      <c r="K1783" s="472" t="s">
        <v>2629</v>
      </c>
    </row>
    <row r="1784" spans="1:11" ht="15.75">
      <c r="A1784" s="579" t="s">
        <v>3480</v>
      </c>
      <c r="B1784" s="381" t="s">
        <v>1952</v>
      </c>
      <c r="C1784" s="381" t="s">
        <v>3510</v>
      </c>
      <c r="D1784" s="381" t="s">
        <v>2661</v>
      </c>
      <c r="E1784" s="451">
        <v>1100000</v>
      </c>
      <c r="F1784" s="381" t="s">
        <v>2292</v>
      </c>
      <c r="G1784" s="381" t="s">
        <v>2593</v>
      </c>
      <c r="H1784" s="383" t="s">
        <v>1955</v>
      </c>
      <c r="I1784" s="383" t="s">
        <v>1625</v>
      </c>
      <c r="J1784" s="383">
        <v>1</v>
      </c>
      <c r="K1784" s="381" t="s">
        <v>1171</v>
      </c>
    </row>
    <row r="1785" spans="1:11" ht="15.75">
      <c r="A1785" s="579" t="s">
        <v>3480</v>
      </c>
      <c r="B1785" s="381" t="s">
        <v>1952</v>
      </c>
      <c r="C1785" s="381" t="s">
        <v>3511</v>
      </c>
      <c r="D1785" s="381" t="s">
        <v>2661</v>
      </c>
      <c r="E1785" s="451">
        <v>1100000</v>
      </c>
      <c r="F1785" s="381" t="s">
        <v>2290</v>
      </c>
      <c r="G1785" s="381" t="s">
        <v>2593</v>
      </c>
      <c r="H1785" s="383" t="s">
        <v>1955</v>
      </c>
      <c r="I1785" s="383" t="s">
        <v>1625</v>
      </c>
      <c r="J1785" s="383">
        <v>1</v>
      </c>
      <c r="K1785" s="381" t="s">
        <v>2998</v>
      </c>
    </row>
    <row r="1786" spans="1:11" ht="15.75">
      <c r="A1786" s="579" t="s">
        <v>3480</v>
      </c>
      <c r="B1786" s="381" t="s">
        <v>1952</v>
      </c>
      <c r="C1786" s="381" t="s">
        <v>800</v>
      </c>
      <c r="D1786" s="381" t="s">
        <v>2394</v>
      </c>
      <c r="E1786" s="451">
        <v>1200000</v>
      </c>
      <c r="F1786" s="381" t="s">
        <v>1968</v>
      </c>
      <c r="G1786" s="381" t="s">
        <v>2593</v>
      </c>
      <c r="H1786" s="383" t="s">
        <v>1625</v>
      </c>
      <c r="I1786" s="383" t="s">
        <v>1625</v>
      </c>
      <c r="J1786" s="383">
        <v>1</v>
      </c>
      <c r="K1786" s="381" t="s">
        <v>1245</v>
      </c>
    </row>
    <row r="1787" spans="1:11" ht="15.75">
      <c r="A1787" s="579" t="s">
        <v>3475</v>
      </c>
      <c r="B1787" s="381" t="s">
        <v>1952</v>
      </c>
      <c r="C1787" s="381" t="s">
        <v>3512</v>
      </c>
      <c r="D1787" s="381" t="s">
        <v>2770</v>
      </c>
      <c r="E1787" s="451">
        <v>1250000</v>
      </c>
      <c r="F1787" s="381" t="s">
        <v>2292</v>
      </c>
      <c r="G1787" s="381" t="s">
        <v>2605</v>
      </c>
      <c r="H1787" s="383" t="s">
        <v>1625</v>
      </c>
      <c r="I1787" s="383" t="s">
        <v>1625</v>
      </c>
      <c r="J1787" s="383">
        <v>1</v>
      </c>
      <c r="K1787" s="381" t="s">
        <v>1171</v>
      </c>
    </row>
    <row r="1788" spans="1:11" ht="15.75">
      <c r="A1788" s="579">
        <v>44594</v>
      </c>
      <c r="B1788" s="381" t="s">
        <v>1952</v>
      </c>
      <c r="C1788" s="381" t="s">
        <v>835</v>
      </c>
      <c r="D1788" s="381" t="s">
        <v>2347</v>
      </c>
      <c r="E1788" s="451">
        <v>1400000</v>
      </c>
      <c r="F1788" s="381" t="s">
        <v>2292</v>
      </c>
      <c r="G1788" s="381" t="s">
        <v>2605</v>
      </c>
      <c r="H1788" s="383" t="s">
        <v>1625</v>
      </c>
      <c r="I1788" s="383" t="s">
        <v>1625</v>
      </c>
      <c r="J1788" s="383">
        <v>1</v>
      </c>
      <c r="K1788" s="381" t="s">
        <v>1245</v>
      </c>
    </row>
    <row r="1789" spans="1:11" ht="15.75">
      <c r="A1789" s="579">
        <v>44744</v>
      </c>
      <c r="B1789" s="381" t="s">
        <v>1952</v>
      </c>
      <c r="C1789" s="381" t="s">
        <v>834</v>
      </c>
      <c r="D1789" s="381" t="s">
        <v>2347</v>
      </c>
      <c r="E1789" s="451">
        <v>1450000</v>
      </c>
      <c r="F1789" s="381" t="s">
        <v>2292</v>
      </c>
      <c r="G1789" s="381" t="s">
        <v>30</v>
      </c>
      <c r="H1789" s="383" t="s">
        <v>1625</v>
      </c>
      <c r="I1789" s="383" t="s">
        <v>1625</v>
      </c>
      <c r="J1789" s="383">
        <v>1</v>
      </c>
      <c r="K1789" s="381" t="s">
        <v>1171</v>
      </c>
    </row>
    <row r="1790" spans="1:11" ht="15.75">
      <c r="A1790" s="579">
        <v>44683</v>
      </c>
      <c r="B1790" s="381" t="s">
        <v>2182</v>
      </c>
      <c r="C1790" s="381" t="s">
        <v>3513</v>
      </c>
      <c r="D1790" s="381" t="s">
        <v>3107</v>
      </c>
      <c r="E1790" s="451">
        <v>800000</v>
      </c>
      <c r="F1790" s="381" t="s">
        <v>1968</v>
      </c>
      <c r="G1790" s="381" t="s">
        <v>2593</v>
      </c>
      <c r="H1790" s="383" t="s">
        <v>1955</v>
      </c>
      <c r="I1790" s="383" t="s">
        <v>1644</v>
      </c>
      <c r="J1790" s="383">
        <v>1</v>
      </c>
      <c r="K1790" s="381" t="s">
        <v>1245</v>
      </c>
    </row>
    <row r="1791" spans="1:11" ht="15.75">
      <c r="A1791" s="579">
        <v>44836</v>
      </c>
      <c r="B1791" s="381" t="s">
        <v>2182</v>
      </c>
      <c r="C1791" s="381" t="s">
        <v>841</v>
      </c>
      <c r="D1791" s="381" t="s">
        <v>2966</v>
      </c>
      <c r="E1791" s="451">
        <v>1400000</v>
      </c>
      <c r="F1791" s="381" t="s">
        <v>2292</v>
      </c>
      <c r="G1791" s="381" t="s">
        <v>2593</v>
      </c>
      <c r="H1791" s="383" t="s">
        <v>1955</v>
      </c>
      <c r="I1791" s="383" t="s">
        <v>1644</v>
      </c>
      <c r="J1791" s="383">
        <v>1</v>
      </c>
      <c r="K1791" s="381" t="s">
        <v>1171</v>
      </c>
    </row>
    <row r="1792" spans="1:11" ht="15.75">
      <c r="A1792" s="579">
        <v>44867</v>
      </c>
      <c r="B1792" s="381" t="s">
        <v>2182</v>
      </c>
      <c r="C1792" s="381" t="s">
        <v>935</v>
      </c>
      <c r="D1792" s="381" t="s">
        <v>2394</v>
      </c>
      <c r="E1792" s="451">
        <v>1100000</v>
      </c>
      <c r="F1792" s="381" t="s">
        <v>2292</v>
      </c>
      <c r="G1792" s="381" t="s">
        <v>30</v>
      </c>
      <c r="H1792" s="383" t="s">
        <v>1955</v>
      </c>
      <c r="I1792" s="383" t="s">
        <v>1644</v>
      </c>
      <c r="J1792" s="383">
        <v>1</v>
      </c>
      <c r="K1792" s="381" t="s">
        <v>1245</v>
      </c>
    </row>
    <row r="1793" spans="1:11" ht="15.75">
      <c r="A1793" s="579">
        <v>44867</v>
      </c>
      <c r="B1793" s="381" t="s">
        <v>1966</v>
      </c>
      <c r="C1793" s="381" t="s">
        <v>3514</v>
      </c>
      <c r="D1793" s="381" t="s">
        <v>2661</v>
      </c>
      <c r="E1793" s="451">
        <v>1200000</v>
      </c>
      <c r="F1793" s="381" t="s">
        <v>1968</v>
      </c>
      <c r="G1793" s="381" t="s">
        <v>2593</v>
      </c>
      <c r="H1793" s="383" t="s">
        <v>1955</v>
      </c>
      <c r="I1793" s="383" t="s">
        <v>1644</v>
      </c>
      <c r="J1793" s="383">
        <v>1</v>
      </c>
      <c r="K1793" s="381" t="s">
        <v>1171</v>
      </c>
    </row>
    <row r="1794" spans="1:11" ht="15.75">
      <c r="A1794" s="579">
        <v>44867</v>
      </c>
      <c r="B1794" s="381" t="s">
        <v>2182</v>
      </c>
      <c r="C1794" s="381" t="s">
        <v>3515</v>
      </c>
      <c r="D1794" s="381" t="s">
        <v>2661</v>
      </c>
      <c r="E1794" s="451">
        <v>1100000</v>
      </c>
      <c r="F1794" s="381" t="s">
        <v>2292</v>
      </c>
      <c r="G1794" s="381" t="s">
        <v>2605</v>
      </c>
      <c r="H1794" s="383" t="s">
        <v>1955</v>
      </c>
      <c r="I1794" s="383" t="s">
        <v>1644</v>
      </c>
      <c r="J1794" s="383">
        <v>1</v>
      </c>
      <c r="K1794" s="381" t="s">
        <v>1245</v>
      </c>
    </row>
    <row r="1795" spans="1:11" ht="15.75">
      <c r="A1795" s="579">
        <v>44867</v>
      </c>
      <c r="B1795" s="381" t="s">
        <v>2182</v>
      </c>
      <c r="C1795" s="381" t="s">
        <v>840</v>
      </c>
      <c r="D1795" s="381" t="s">
        <v>2347</v>
      </c>
      <c r="E1795" s="451">
        <v>1400000</v>
      </c>
      <c r="F1795" s="381" t="s">
        <v>2292</v>
      </c>
      <c r="G1795" s="381" t="s">
        <v>30</v>
      </c>
      <c r="H1795" s="383" t="s">
        <v>1955</v>
      </c>
      <c r="I1795" s="383" t="s">
        <v>1644</v>
      </c>
      <c r="J1795" s="383">
        <v>1</v>
      </c>
      <c r="K1795" s="381" t="s">
        <v>1171</v>
      </c>
    </row>
    <row r="1796" spans="1:11" ht="15.75">
      <c r="A1796" s="579">
        <v>44897</v>
      </c>
      <c r="B1796" s="381" t="s">
        <v>2182</v>
      </c>
      <c r="C1796" s="381" t="s">
        <v>1696</v>
      </c>
      <c r="D1796" s="381" t="s">
        <v>2253</v>
      </c>
      <c r="E1796" s="451">
        <v>800000</v>
      </c>
      <c r="F1796" s="381" t="s">
        <v>1968</v>
      </c>
      <c r="G1796" s="381" t="s">
        <v>2605</v>
      </c>
      <c r="H1796" s="383" t="s">
        <v>1625</v>
      </c>
      <c r="I1796" s="383" t="s">
        <v>1644</v>
      </c>
      <c r="J1796" s="383">
        <v>1</v>
      </c>
      <c r="K1796" s="381" t="s">
        <v>1245</v>
      </c>
    </row>
    <row r="1797" spans="1:11" ht="15.75">
      <c r="A1797" s="579" t="s">
        <v>3508</v>
      </c>
      <c r="B1797" s="381" t="s">
        <v>2182</v>
      </c>
      <c r="C1797" s="381" t="s">
        <v>3516</v>
      </c>
      <c r="D1797" s="381" t="s">
        <v>2661</v>
      </c>
      <c r="E1797" s="451">
        <v>1100000</v>
      </c>
      <c r="F1797" s="381" t="s">
        <v>2292</v>
      </c>
      <c r="G1797" s="381" t="s">
        <v>2605</v>
      </c>
      <c r="H1797" s="383" t="s">
        <v>1625</v>
      </c>
      <c r="I1797" s="383" t="s">
        <v>1644</v>
      </c>
      <c r="J1797" s="383">
        <v>1</v>
      </c>
      <c r="K1797" s="381" t="s">
        <v>1171</v>
      </c>
    </row>
    <row r="1798" spans="1:11" ht="15.75">
      <c r="A1798" s="579" t="s">
        <v>3508</v>
      </c>
      <c r="B1798" s="381" t="s">
        <v>2182</v>
      </c>
      <c r="C1798" s="381" t="s">
        <v>842</v>
      </c>
      <c r="D1798" s="381" t="s">
        <v>2669</v>
      </c>
      <c r="E1798" s="451">
        <v>1500000</v>
      </c>
      <c r="F1798" s="381" t="s">
        <v>2292</v>
      </c>
      <c r="G1798" s="381" t="s">
        <v>2605</v>
      </c>
      <c r="H1798" s="383" t="s">
        <v>1625</v>
      </c>
      <c r="I1798" s="383" t="s">
        <v>1644</v>
      </c>
      <c r="J1798" s="383">
        <v>1</v>
      </c>
      <c r="K1798" s="381" t="s">
        <v>1245</v>
      </c>
    </row>
    <row r="1799" spans="1:11" ht="15.75">
      <c r="A1799" s="579" t="s">
        <v>3517</v>
      </c>
      <c r="B1799" s="381" t="s">
        <v>2182</v>
      </c>
      <c r="C1799" s="381" t="s">
        <v>1322</v>
      </c>
      <c r="D1799" s="381" t="s">
        <v>2669</v>
      </c>
      <c r="E1799" s="451">
        <v>1500000</v>
      </c>
      <c r="F1799" s="381" t="s">
        <v>2292</v>
      </c>
      <c r="G1799" s="381" t="s">
        <v>2593</v>
      </c>
      <c r="H1799" s="383" t="s">
        <v>1955</v>
      </c>
      <c r="I1799" s="383" t="s">
        <v>1644</v>
      </c>
      <c r="J1799" s="383">
        <v>1</v>
      </c>
      <c r="K1799" s="381" t="s">
        <v>1171</v>
      </c>
    </row>
    <row r="1800" spans="1:11" ht="15.75">
      <c r="A1800" s="744" t="s">
        <v>3477</v>
      </c>
      <c r="B1800" s="381" t="s">
        <v>2182</v>
      </c>
      <c r="C1800" s="381" t="s">
        <v>886</v>
      </c>
      <c r="D1800" s="381" t="s">
        <v>2669</v>
      </c>
      <c r="E1800" s="451">
        <v>1500000</v>
      </c>
      <c r="F1800" s="381" t="s">
        <v>2292</v>
      </c>
      <c r="G1800" s="381" t="s">
        <v>2593</v>
      </c>
      <c r="H1800" s="383" t="s">
        <v>1955</v>
      </c>
      <c r="I1800" s="383" t="s">
        <v>1644</v>
      </c>
      <c r="J1800" s="383">
        <v>1</v>
      </c>
      <c r="K1800" s="381" t="s">
        <v>1245</v>
      </c>
    </row>
    <row r="1801" spans="1:11" ht="15.75">
      <c r="A1801" s="393" t="s">
        <v>3518</v>
      </c>
      <c r="B1801" s="610" t="s">
        <v>2182</v>
      </c>
      <c r="C1801" s="482" t="s">
        <v>3519</v>
      </c>
      <c r="D1801" s="482" t="s">
        <v>2347</v>
      </c>
      <c r="E1801" s="483">
        <v>1350000</v>
      </c>
      <c r="F1801" s="482" t="s">
        <v>2292</v>
      </c>
      <c r="G1801" s="482" t="s">
        <v>2593</v>
      </c>
      <c r="H1801" s="484" t="s">
        <v>1955</v>
      </c>
      <c r="I1801" s="484" t="s">
        <v>1644</v>
      </c>
      <c r="J1801" s="484">
        <v>1</v>
      </c>
      <c r="K1801" s="482" t="s">
        <v>1171</v>
      </c>
    </row>
    <row r="1802" spans="1:11" ht="15.75">
      <c r="A1802" s="412" t="s">
        <v>3496</v>
      </c>
      <c r="B1802" s="411" t="s">
        <v>2182</v>
      </c>
      <c r="C1802" s="381" t="s">
        <v>3520</v>
      </c>
      <c r="D1802" s="381" t="s">
        <v>3235</v>
      </c>
      <c r="E1802" s="451">
        <v>800000</v>
      </c>
      <c r="F1802" s="381" t="s">
        <v>1968</v>
      </c>
      <c r="G1802" s="381" t="s">
        <v>2593</v>
      </c>
      <c r="H1802" s="383" t="s">
        <v>1625</v>
      </c>
      <c r="I1802" s="383" t="s">
        <v>1644</v>
      </c>
      <c r="J1802" s="383">
        <v>1</v>
      </c>
      <c r="K1802" s="381" t="s">
        <v>1245</v>
      </c>
    </row>
    <row r="1803" spans="1:11" ht="15.75">
      <c r="A1803" s="928" t="s">
        <v>3521</v>
      </c>
      <c r="B1803" s="420" t="s">
        <v>2060</v>
      </c>
      <c r="C1803" s="743" t="s">
        <v>3522</v>
      </c>
      <c r="D1803" s="633" t="s">
        <v>75</v>
      </c>
      <c r="E1803" s="644">
        <v>1300000</v>
      </c>
      <c r="F1803" s="633" t="s">
        <v>2292</v>
      </c>
      <c r="G1803" s="633" t="s">
        <v>2593</v>
      </c>
      <c r="H1803" s="635" t="s">
        <v>1625</v>
      </c>
      <c r="I1803" s="635" t="s">
        <v>1644</v>
      </c>
      <c r="J1803" s="387">
        <v>1</v>
      </c>
      <c r="K1803" s="385" t="s">
        <v>1171</v>
      </c>
    </row>
    <row r="1804" spans="1:11" ht="15.75">
      <c r="A1804" s="393"/>
      <c r="B1804" s="381"/>
      <c r="C1804" s="381"/>
      <c r="D1804" s="381"/>
      <c r="E1804" s="451"/>
      <c r="F1804" s="381"/>
      <c r="G1804" s="381"/>
      <c r="H1804" s="383"/>
      <c r="I1804" s="383"/>
      <c r="J1804" s="383"/>
      <c r="K1804" s="381"/>
    </row>
    <row r="1805" spans="1:11" ht="15.75">
      <c r="A1805" s="456"/>
      <c r="B1805" s="457"/>
      <c r="C1805" s="457"/>
      <c r="D1805" s="457"/>
      <c r="E1805" s="476"/>
      <c r="F1805" s="457"/>
      <c r="G1805" s="457"/>
      <c r="H1805" s="153"/>
      <c r="I1805" s="153"/>
      <c r="J1805" s="493">
        <f>SUM(J1781:J1804)</f>
        <v>23</v>
      </c>
      <c r="K1805" s="457"/>
    </row>
    <row r="1806" spans="1:11" ht="15.75">
      <c r="A1806" s="394"/>
      <c r="B1806" s="395"/>
      <c r="C1806" s="395"/>
      <c r="D1806" s="395"/>
      <c r="E1806" s="396"/>
      <c r="F1806" s="397"/>
      <c r="G1806" s="397"/>
      <c r="H1806" s="395"/>
      <c r="I1806" s="395"/>
      <c r="J1806" s="395"/>
      <c r="K1806" s="395"/>
    </row>
    <row r="1807" spans="1:11" ht="15.75">
      <c r="A1807" s="394"/>
      <c r="B1807" s="395"/>
      <c r="C1807" s="395"/>
      <c r="D1807" s="395"/>
      <c r="E1807" s="396"/>
      <c r="F1807" s="397"/>
      <c r="G1807" s="397"/>
      <c r="H1807" s="395"/>
      <c r="I1807" s="395"/>
      <c r="J1807" s="395"/>
      <c r="K1807" s="395"/>
    </row>
    <row r="1809" spans="1:11" ht="26.25">
      <c r="A1809" s="1668" t="s">
        <v>3523</v>
      </c>
      <c r="B1809" s="1669"/>
      <c r="C1809" s="1669"/>
      <c r="D1809" s="1669"/>
      <c r="E1809" s="1669"/>
      <c r="F1809" s="1669"/>
      <c r="G1809" s="1669"/>
      <c r="H1809" s="1669"/>
      <c r="I1809" s="1669"/>
      <c r="J1809" s="1669"/>
      <c r="K1809" s="1670"/>
    </row>
    <row r="1810" spans="1:11" ht="31.5">
      <c r="A1810" s="378" t="s">
        <v>1941</v>
      </c>
      <c r="B1810" s="378" t="s">
        <v>1942</v>
      </c>
      <c r="C1810" s="378" t="s">
        <v>1943</v>
      </c>
      <c r="D1810" s="378" t="s">
        <v>1944</v>
      </c>
      <c r="E1810" s="452" t="s">
        <v>1945</v>
      </c>
      <c r="F1810" s="378" t="s">
        <v>1946</v>
      </c>
      <c r="G1810" s="378" t="s">
        <v>2590</v>
      </c>
      <c r="H1810" s="378" t="s">
        <v>1947</v>
      </c>
      <c r="I1810" s="378" t="s">
        <v>1948</v>
      </c>
      <c r="J1810" s="453" t="s">
        <v>1949</v>
      </c>
      <c r="K1810" s="378" t="s">
        <v>1950</v>
      </c>
    </row>
    <row r="1811" spans="1:11" ht="15.75">
      <c r="A1811" s="922">
        <v>44563</v>
      </c>
      <c r="B1811" s="618" t="s">
        <v>3524</v>
      </c>
      <c r="C1811" s="472" t="s">
        <v>3525</v>
      </c>
      <c r="D1811" s="472" t="s">
        <v>2711</v>
      </c>
      <c r="E1811" s="475">
        <v>355000000</v>
      </c>
      <c r="F1811" s="472" t="s">
        <v>2290</v>
      </c>
      <c r="G1811" s="472" t="s">
        <v>3351</v>
      </c>
      <c r="H1811" s="473" t="s">
        <v>1955</v>
      </c>
      <c r="I1811" s="473" t="s">
        <v>1625</v>
      </c>
      <c r="J1811" s="473">
        <v>1</v>
      </c>
      <c r="K1811" s="472" t="s">
        <v>2629</v>
      </c>
    </row>
    <row r="1812" spans="1:11" ht="15.75">
      <c r="A1812" s="922" t="s">
        <v>3526</v>
      </c>
      <c r="B1812" s="618" t="s">
        <v>2182</v>
      </c>
      <c r="C1812" s="578" t="s">
        <v>3527</v>
      </c>
      <c r="D1812" s="472" t="s">
        <v>75</v>
      </c>
      <c r="E1812" s="475">
        <v>255000000</v>
      </c>
      <c r="F1812" s="472" t="s">
        <v>2292</v>
      </c>
      <c r="G1812" s="472" t="s">
        <v>2605</v>
      </c>
      <c r="H1812" s="473" t="s">
        <v>1955</v>
      </c>
      <c r="I1812" s="473" t="s">
        <v>1644</v>
      </c>
      <c r="J1812" s="473">
        <v>1</v>
      </c>
      <c r="K1812" s="472" t="s">
        <v>2629</v>
      </c>
    </row>
    <row r="1813" spans="1:11" ht="15.75">
      <c r="A1813" s="932" t="s">
        <v>3518</v>
      </c>
      <c r="B1813" s="821" t="s">
        <v>2182</v>
      </c>
      <c r="C1813" s="820" t="s">
        <v>3528</v>
      </c>
      <c r="D1813" s="472" t="s">
        <v>75</v>
      </c>
      <c r="E1813" s="475">
        <v>350000000</v>
      </c>
      <c r="F1813" s="472" t="s">
        <v>2292</v>
      </c>
      <c r="G1813" s="472" t="s">
        <v>2593</v>
      </c>
      <c r="H1813" s="473" t="s">
        <v>1955</v>
      </c>
      <c r="I1813" s="473" t="s">
        <v>1644</v>
      </c>
      <c r="J1813" s="473">
        <v>1</v>
      </c>
      <c r="K1813" s="472" t="s">
        <v>2629</v>
      </c>
    </row>
    <row r="1814" spans="1:11" ht="15.75">
      <c r="A1814" s="384" t="s">
        <v>3529</v>
      </c>
      <c r="B1814" s="577" t="s">
        <v>2060</v>
      </c>
      <c r="C1814" s="385" t="s">
        <v>3530</v>
      </c>
      <c r="D1814" s="385" t="s">
        <v>3531</v>
      </c>
      <c r="E1814" s="462">
        <v>2500000</v>
      </c>
      <c r="F1814" s="385" t="s">
        <v>1968</v>
      </c>
      <c r="G1814" s="385" t="s">
        <v>2593</v>
      </c>
      <c r="H1814" s="387" t="s">
        <v>1955</v>
      </c>
      <c r="I1814" s="387" t="s">
        <v>1625</v>
      </c>
      <c r="J1814" s="387">
        <v>1</v>
      </c>
      <c r="K1814" s="385" t="s">
        <v>1171</v>
      </c>
    </row>
    <row r="1815" spans="1:11" ht="15.75">
      <c r="A1815" s="384" t="s">
        <v>3529</v>
      </c>
      <c r="B1815" s="577" t="s">
        <v>1952</v>
      </c>
      <c r="C1815" s="426" t="s">
        <v>3532</v>
      </c>
      <c r="D1815" s="385" t="s">
        <v>3531</v>
      </c>
      <c r="E1815" s="462">
        <v>1380000</v>
      </c>
      <c r="F1815" s="385" t="s">
        <v>1968</v>
      </c>
      <c r="G1815" s="385" t="s">
        <v>30</v>
      </c>
      <c r="H1815" s="387" t="s">
        <v>1625</v>
      </c>
      <c r="I1815" s="387" t="s">
        <v>1625</v>
      </c>
      <c r="J1815" s="387">
        <v>1</v>
      </c>
      <c r="K1815" s="385" t="s">
        <v>1245</v>
      </c>
    </row>
    <row r="1816" spans="1:11" ht="15.75">
      <c r="A1816" s="384" t="s">
        <v>3533</v>
      </c>
      <c r="B1816" s="577" t="s">
        <v>1966</v>
      </c>
      <c r="C1816" s="426" t="s">
        <v>3534</v>
      </c>
      <c r="D1816" s="385" t="s">
        <v>3535</v>
      </c>
      <c r="E1816" s="462">
        <v>1700000</v>
      </c>
      <c r="F1816" s="385" t="s">
        <v>1968</v>
      </c>
      <c r="G1816" s="385" t="s">
        <v>2593</v>
      </c>
      <c r="H1816" s="387" t="s">
        <v>1955</v>
      </c>
      <c r="I1816" s="387" t="s">
        <v>1625</v>
      </c>
      <c r="J1816" s="387">
        <v>1</v>
      </c>
      <c r="K1816" s="385" t="s">
        <v>2998</v>
      </c>
    </row>
    <row r="1817" spans="1:11" ht="15.75">
      <c r="A1817" s="393">
        <v>44563</v>
      </c>
      <c r="B1817" s="381" t="s">
        <v>1952</v>
      </c>
      <c r="C1817" s="411" t="s">
        <v>3536</v>
      </c>
      <c r="D1817" s="381" t="s">
        <v>2576</v>
      </c>
      <c r="E1817" s="451">
        <v>800000</v>
      </c>
      <c r="F1817" s="381" t="s">
        <v>1968</v>
      </c>
      <c r="G1817" s="381" t="s">
        <v>2895</v>
      </c>
      <c r="H1817" s="383" t="s">
        <v>1625</v>
      </c>
      <c r="I1817" s="383" t="s">
        <v>1625</v>
      </c>
      <c r="J1817" s="383">
        <v>1</v>
      </c>
      <c r="K1817" s="381" t="s">
        <v>1171</v>
      </c>
    </row>
    <row r="1818" spans="1:11" ht="15.75">
      <c r="A1818" s="412">
        <v>44594</v>
      </c>
      <c r="B1818" s="381" t="s">
        <v>2060</v>
      </c>
      <c r="C1818" s="426" t="s">
        <v>3537</v>
      </c>
      <c r="D1818" s="385" t="s">
        <v>2711</v>
      </c>
      <c r="E1818" s="462">
        <v>600000</v>
      </c>
      <c r="F1818" s="385" t="s">
        <v>1968</v>
      </c>
      <c r="G1818" s="385" t="s">
        <v>3453</v>
      </c>
      <c r="H1818" s="387" t="s">
        <v>1625</v>
      </c>
      <c r="I1818" s="387" t="s">
        <v>1625</v>
      </c>
      <c r="J1818" s="387">
        <v>1</v>
      </c>
      <c r="K1818" s="385" t="s">
        <v>1245</v>
      </c>
    </row>
    <row r="1819" spans="1:11" ht="15.75">
      <c r="A1819" s="412">
        <v>44594</v>
      </c>
      <c r="B1819" s="381" t="s">
        <v>1952</v>
      </c>
      <c r="C1819" s="426" t="s">
        <v>808</v>
      </c>
      <c r="D1819" s="385" t="s">
        <v>75</v>
      </c>
      <c r="E1819" s="462">
        <v>1600000</v>
      </c>
      <c r="F1819" s="385" t="s">
        <v>1968</v>
      </c>
      <c r="G1819" s="385" t="s">
        <v>2593</v>
      </c>
      <c r="H1819" s="387" t="s">
        <v>1955</v>
      </c>
      <c r="I1819" s="387" t="s">
        <v>1625</v>
      </c>
      <c r="J1819" s="387">
        <v>1</v>
      </c>
      <c r="K1819" s="385" t="s">
        <v>1171</v>
      </c>
    </row>
    <row r="1820" spans="1:11" ht="15.75">
      <c r="A1820" s="412">
        <v>44622</v>
      </c>
      <c r="B1820" s="381" t="s">
        <v>1952</v>
      </c>
      <c r="C1820" s="426" t="s">
        <v>2995</v>
      </c>
      <c r="D1820" s="385" t="s">
        <v>3089</v>
      </c>
      <c r="E1820" s="462">
        <v>1100000</v>
      </c>
      <c r="F1820" s="385" t="s">
        <v>1968</v>
      </c>
      <c r="G1820" s="385" t="s">
        <v>30</v>
      </c>
      <c r="H1820" s="387" t="s">
        <v>1955</v>
      </c>
      <c r="I1820" s="387" t="s">
        <v>1625</v>
      </c>
      <c r="J1820" s="387">
        <v>1</v>
      </c>
      <c r="K1820" s="385" t="s">
        <v>1245</v>
      </c>
    </row>
    <row r="1821" spans="1:11" ht="15.75">
      <c r="A1821" s="928">
        <v>44622</v>
      </c>
      <c r="B1821" s="420" t="s">
        <v>2060</v>
      </c>
      <c r="C1821" s="743" t="s">
        <v>3538</v>
      </c>
      <c r="D1821" s="633" t="s">
        <v>75</v>
      </c>
      <c r="E1821" s="644">
        <v>2600000</v>
      </c>
      <c r="F1821" s="633" t="s">
        <v>1968</v>
      </c>
      <c r="G1821" s="633" t="s">
        <v>2593</v>
      </c>
      <c r="H1821" s="635" t="s">
        <v>1955</v>
      </c>
      <c r="I1821" s="635" t="s">
        <v>1625</v>
      </c>
      <c r="J1821" s="387">
        <v>1</v>
      </c>
      <c r="K1821" s="385" t="s">
        <v>1171</v>
      </c>
    </row>
    <row r="1822" spans="1:11" ht="15.75">
      <c r="A1822" s="928">
        <v>44653</v>
      </c>
      <c r="B1822" s="420" t="s">
        <v>2182</v>
      </c>
      <c r="C1822" s="743" t="s">
        <v>837</v>
      </c>
      <c r="D1822" s="633" t="s">
        <v>3059</v>
      </c>
      <c r="E1822" s="644">
        <v>1500000</v>
      </c>
      <c r="F1822" s="633" t="s">
        <v>2292</v>
      </c>
      <c r="G1822" s="633" t="s">
        <v>2605</v>
      </c>
      <c r="H1822" s="635" t="s">
        <v>1955</v>
      </c>
      <c r="I1822" s="635" t="s">
        <v>1644</v>
      </c>
      <c r="J1822" s="387">
        <v>1</v>
      </c>
      <c r="K1822" s="385" t="s">
        <v>1245</v>
      </c>
    </row>
    <row r="1823" spans="1:11" ht="15.75">
      <c r="A1823" s="928">
        <v>44775</v>
      </c>
      <c r="B1823" s="420" t="s">
        <v>2060</v>
      </c>
      <c r="C1823" s="743" t="s">
        <v>3539</v>
      </c>
      <c r="D1823" s="633" t="s">
        <v>3540</v>
      </c>
      <c r="E1823" s="644">
        <v>710000</v>
      </c>
      <c r="F1823" s="633" t="s">
        <v>1968</v>
      </c>
      <c r="G1823" s="633" t="s">
        <v>2593</v>
      </c>
      <c r="H1823" s="635" t="s">
        <v>1955</v>
      </c>
      <c r="I1823" s="635" t="s">
        <v>1644</v>
      </c>
      <c r="J1823" s="387">
        <v>1</v>
      </c>
      <c r="K1823" s="385" t="s">
        <v>1171</v>
      </c>
    </row>
    <row r="1824" spans="1:11" ht="15.75">
      <c r="A1824" s="928">
        <v>44775</v>
      </c>
      <c r="B1824" s="420" t="s">
        <v>2060</v>
      </c>
      <c r="C1824" s="743" t="s">
        <v>3541</v>
      </c>
      <c r="D1824" s="633" t="s">
        <v>3540</v>
      </c>
      <c r="E1824" s="644">
        <v>2200000</v>
      </c>
      <c r="F1824" s="633" t="s">
        <v>1968</v>
      </c>
      <c r="G1824" s="633" t="s">
        <v>30</v>
      </c>
      <c r="H1824" s="635" t="s">
        <v>1955</v>
      </c>
      <c r="I1824" s="635" t="s">
        <v>1644</v>
      </c>
      <c r="J1824" s="387">
        <v>1</v>
      </c>
      <c r="K1824" s="385" t="s">
        <v>1245</v>
      </c>
    </row>
    <row r="1825" spans="1:11" ht="15.75">
      <c r="A1825" s="412">
        <v>44806</v>
      </c>
      <c r="B1825" s="411" t="s">
        <v>1966</v>
      </c>
      <c r="C1825" s="381" t="s">
        <v>3542</v>
      </c>
      <c r="D1825" s="381" t="s">
        <v>3543</v>
      </c>
      <c r="E1825" s="451">
        <v>2100000</v>
      </c>
      <c r="F1825" s="381" t="s">
        <v>1968</v>
      </c>
      <c r="G1825" s="381" t="s">
        <v>2593</v>
      </c>
      <c r="H1825" s="383" t="s">
        <v>1955</v>
      </c>
      <c r="I1825" s="383" t="s">
        <v>1644</v>
      </c>
      <c r="J1825" s="383">
        <v>1</v>
      </c>
      <c r="K1825" s="381" t="s">
        <v>1171</v>
      </c>
    </row>
    <row r="1826" spans="1:11" ht="15.75">
      <c r="A1826" s="479">
        <v>44836</v>
      </c>
      <c r="B1826" s="612" t="s">
        <v>2182</v>
      </c>
      <c r="C1826" s="426" t="s">
        <v>3544</v>
      </c>
      <c r="D1826" s="385" t="s">
        <v>75</v>
      </c>
      <c r="E1826" s="462">
        <v>2400000</v>
      </c>
      <c r="F1826" s="385" t="s">
        <v>2292</v>
      </c>
      <c r="G1826" s="385" t="s">
        <v>2605</v>
      </c>
      <c r="H1826" s="387" t="s">
        <v>3505</v>
      </c>
      <c r="I1826" s="387" t="s">
        <v>1644</v>
      </c>
      <c r="J1826" s="387">
        <v>1</v>
      </c>
      <c r="K1826" s="385" t="s">
        <v>1171</v>
      </c>
    </row>
    <row r="1827" spans="1:11" ht="15.75">
      <c r="A1827" s="928" t="s">
        <v>3508</v>
      </c>
      <c r="B1827" s="420" t="s">
        <v>2182</v>
      </c>
      <c r="C1827" s="743" t="s">
        <v>3545</v>
      </c>
      <c r="D1827" s="633" t="s">
        <v>75</v>
      </c>
      <c r="E1827" s="644">
        <v>2650000</v>
      </c>
      <c r="F1827" s="633" t="s">
        <v>2292</v>
      </c>
      <c r="G1827" s="633" t="s">
        <v>2593</v>
      </c>
      <c r="H1827" s="635" t="s">
        <v>1955</v>
      </c>
      <c r="I1827" s="635" t="s">
        <v>1644</v>
      </c>
      <c r="J1827" s="387">
        <v>1</v>
      </c>
      <c r="K1827" s="385" t="s">
        <v>1245</v>
      </c>
    </row>
    <row r="1828" spans="1:11" ht="15.75">
      <c r="A1828" s="928" t="s">
        <v>3508</v>
      </c>
      <c r="B1828" s="420" t="s">
        <v>2182</v>
      </c>
      <c r="C1828" s="743" t="s">
        <v>854</v>
      </c>
      <c r="D1828" s="633" t="s">
        <v>75</v>
      </c>
      <c r="E1828" s="644">
        <v>2650000</v>
      </c>
      <c r="F1828" s="633" t="s">
        <v>2292</v>
      </c>
      <c r="G1828" s="633" t="s">
        <v>2593</v>
      </c>
      <c r="H1828" s="635" t="s">
        <v>1955</v>
      </c>
      <c r="I1828" s="635" t="s">
        <v>1644</v>
      </c>
      <c r="J1828" s="387">
        <v>1</v>
      </c>
      <c r="K1828" s="385" t="s">
        <v>1171</v>
      </c>
    </row>
    <row r="1829" spans="1:11" ht="15.75">
      <c r="A1829" s="928" t="s">
        <v>3508</v>
      </c>
      <c r="B1829" s="420" t="s">
        <v>2182</v>
      </c>
      <c r="C1829" s="743" t="s">
        <v>852</v>
      </c>
      <c r="D1829" s="633" t="s">
        <v>75</v>
      </c>
      <c r="E1829" s="644">
        <v>1460000</v>
      </c>
      <c r="F1829" s="633" t="s">
        <v>2292</v>
      </c>
      <c r="G1829" s="633" t="s">
        <v>2593</v>
      </c>
      <c r="H1829" s="635" t="s">
        <v>1625</v>
      </c>
      <c r="I1829" s="635" t="s">
        <v>1644</v>
      </c>
      <c r="J1829" s="387">
        <v>1</v>
      </c>
      <c r="K1829" s="385" t="s">
        <v>1171</v>
      </c>
    </row>
    <row r="1830" spans="1:11" ht="15.75">
      <c r="A1830" s="928" t="s">
        <v>3546</v>
      </c>
      <c r="B1830" s="420" t="s">
        <v>2182</v>
      </c>
      <c r="C1830" s="743" t="s">
        <v>3547</v>
      </c>
      <c r="D1830" s="633" t="s">
        <v>2711</v>
      </c>
      <c r="E1830" s="644">
        <v>1600000</v>
      </c>
      <c r="F1830" s="633" t="s">
        <v>2292</v>
      </c>
      <c r="G1830" s="633" t="s">
        <v>2593</v>
      </c>
      <c r="H1830" s="635" t="s">
        <v>1955</v>
      </c>
      <c r="I1830" s="635" t="s">
        <v>1644</v>
      </c>
      <c r="J1830" s="387">
        <v>1</v>
      </c>
      <c r="K1830" s="385" t="s">
        <v>1245</v>
      </c>
    </row>
    <row r="1831" spans="1:11" ht="15.75">
      <c r="A1831" s="928" t="s">
        <v>3517</v>
      </c>
      <c r="B1831" s="420" t="s">
        <v>2182</v>
      </c>
      <c r="C1831" s="743" t="s">
        <v>3548</v>
      </c>
      <c r="D1831" s="633" t="s">
        <v>3549</v>
      </c>
      <c r="E1831" s="644">
        <v>1350000</v>
      </c>
      <c r="F1831" s="633" t="s">
        <v>2292</v>
      </c>
      <c r="G1831" s="633" t="s">
        <v>2593</v>
      </c>
      <c r="H1831" s="635" t="s">
        <v>1955</v>
      </c>
      <c r="I1831" s="635" t="s">
        <v>1644</v>
      </c>
      <c r="J1831" s="387">
        <v>1</v>
      </c>
      <c r="K1831" s="385" t="s">
        <v>1245</v>
      </c>
    </row>
    <row r="1832" spans="1:11" ht="15.75">
      <c r="A1832" s="928" t="s">
        <v>3518</v>
      </c>
      <c r="B1832" s="420" t="s">
        <v>2182</v>
      </c>
      <c r="C1832" s="743" t="s">
        <v>3550</v>
      </c>
      <c r="D1832" s="633" t="s">
        <v>3059</v>
      </c>
      <c r="E1832" s="644">
        <v>1500000</v>
      </c>
      <c r="F1832" s="633" t="s">
        <v>2292</v>
      </c>
      <c r="G1832" s="633" t="s">
        <v>2593</v>
      </c>
      <c r="H1832" s="635" t="s">
        <v>1955</v>
      </c>
      <c r="I1832" s="635" t="s">
        <v>1644</v>
      </c>
      <c r="J1832" s="387">
        <v>1</v>
      </c>
      <c r="K1832" s="385" t="s">
        <v>1171</v>
      </c>
    </row>
    <row r="1833" spans="1:11" ht="15.75">
      <c r="A1833" s="928" t="s">
        <v>3551</v>
      </c>
      <c r="B1833" s="420" t="s">
        <v>2182</v>
      </c>
      <c r="C1833" s="743" t="s">
        <v>3552</v>
      </c>
      <c r="D1833" s="633" t="s">
        <v>2347</v>
      </c>
      <c r="E1833" s="644">
        <v>1350000</v>
      </c>
      <c r="F1833" s="633" t="s">
        <v>2292</v>
      </c>
      <c r="G1833" s="633" t="s">
        <v>2593</v>
      </c>
      <c r="H1833" s="635" t="s">
        <v>1625</v>
      </c>
      <c r="I1833" s="635" t="s">
        <v>1644</v>
      </c>
      <c r="J1833" s="387">
        <v>1</v>
      </c>
      <c r="K1833" s="385" t="s">
        <v>1245</v>
      </c>
    </row>
    <row r="1834" spans="1:11" ht="15.75">
      <c r="A1834" s="928"/>
      <c r="B1834" s="420"/>
      <c r="C1834" s="743"/>
      <c r="D1834" s="633"/>
      <c r="E1834" s="644"/>
      <c r="F1834" s="633"/>
      <c r="G1834" s="633"/>
      <c r="H1834" s="635"/>
      <c r="I1834" s="635"/>
      <c r="J1834" s="387"/>
      <c r="K1834" s="385"/>
    </row>
    <row r="1835" spans="1:11" ht="15.75">
      <c r="A1835" s="419"/>
      <c r="B1835" s="420"/>
      <c r="C1835" s="457"/>
      <c r="D1835" s="457"/>
      <c r="E1835" s="458"/>
      <c r="F1835" s="457"/>
      <c r="G1835" s="457"/>
      <c r="H1835" s="457"/>
      <c r="I1835" s="457"/>
      <c r="J1835" s="493">
        <f>SUM(J1811:J1834)</f>
        <v>23</v>
      </c>
      <c r="K1835" s="457"/>
    </row>
    <row r="1836" spans="1:11" ht="15.75">
      <c r="A1836" s="394"/>
      <c r="B1836" s="395"/>
      <c r="C1836" s="395"/>
      <c r="D1836" s="395"/>
      <c r="E1836" s="396"/>
      <c r="F1836" s="395"/>
      <c r="G1836" s="395"/>
      <c r="H1836" s="395"/>
      <c r="I1836" s="395"/>
      <c r="J1836" s="397"/>
      <c r="K1836" s="395"/>
    </row>
    <row r="1837" spans="1:11" ht="15.75">
      <c r="A1837" s="394"/>
      <c r="B1837" s="395"/>
      <c r="C1837" s="395"/>
      <c r="D1837" s="395"/>
      <c r="E1837" s="396"/>
      <c r="F1837" s="395"/>
      <c r="G1837" s="395"/>
      <c r="H1837" s="395"/>
      <c r="I1837" s="395"/>
      <c r="J1837" s="397"/>
      <c r="K1837" s="395"/>
    </row>
    <row r="1839" spans="1:11" ht="26.25">
      <c r="A1839" s="1668" t="s">
        <v>3553</v>
      </c>
      <c r="B1839" s="1669"/>
      <c r="C1839" s="1669"/>
      <c r="D1839" s="1669"/>
      <c r="E1839" s="1669"/>
      <c r="F1839" s="1669"/>
      <c r="G1839" s="1669"/>
      <c r="H1839" s="1669"/>
      <c r="I1839" s="1669"/>
      <c r="J1839" s="1669"/>
      <c r="K1839" s="1670"/>
    </row>
    <row r="1840" spans="1:11" ht="31.5">
      <c r="A1840" s="375" t="s">
        <v>1941</v>
      </c>
      <c r="B1840" s="378" t="s">
        <v>1942</v>
      </c>
      <c r="C1840" s="378" t="s">
        <v>1943</v>
      </c>
      <c r="D1840" s="378" t="s">
        <v>1944</v>
      </c>
      <c r="E1840" s="452" t="s">
        <v>1945</v>
      </c>
      <c r="F1840" s="378" t="s">
        <v>1946</v>
      </c>
      <c r="G1840" s="378" t="s">
        <v>2590</v>
      </c>
      <c r="H1840" s="378" t="s">
        <v>1947</v>
      </c>
      <c r="I1840" s="378" t="s">
        <v>1948</v>
      </c>
      <c r="J1840" s="453" t="s">
        <v>1949</v>
      </c>
      <c r="K1840" s="378" t="s">
        <v>1950</v>
      </c>
    </row>
    <row r="1841" spans="1:11" ht="15.75">
      <c r="A1841" s="443" t="s">
        <v>3475</v>
      </c>
      <c r="B1841" s="653" t="s">
        <v>1966</v>
      </c>
      <c r="C1841" s="381" t="s">
        <v>3554</v>
      </c>
      <c r="D1841" s="426" t="s">
        <v>2845</v>
      </c>
      <c r="E1841" s="462">
        <v>2100000</v>
      </c>
      <c r="F1841" s="385" t="s">
        <v>1968</v>
      </c>
      <c r="G1841" s="385" t="s">
        <v>3351</v>
      </c>
      <c r="H1841" s="387" t="s">
        <v>1625</v>
      </c>
      <c r="I1841" s="387" t="s">
        <v>1625</v>
      </c>
      <c r="J1841" s="387">
        <v>1</v>
      </c>
      <c r="K1841" s="385" t="s">
        <v>856</v>
      </c>
    </row>
    <row r="1842" spans="1:11" ht="15.75">
      <c r="A1842" s="443">
        <v>44622</v>
      </c>
      <c r="B1842" s="653" t="s">
        <v>1952</v>
      </c>
      <c r="C1842" s="381" t="s">
        <v>839</v>
      </c>
      <c r="D1842" s="426" t="s">
        <v>2659</v>
      </c>
      <c r="E1842" s="462">
        <v>1300000</v>
      </c>
      <c r="F1842" s="385" t="s">
        <v>1968</v>
      </c>
      <c r="G1842" s="385" t="s">
        <v>3351</v>
      </c>
      <c r="H1842" s="387" t="s">
        <v>1625</v>
      </c>
      <c r="I1842" s="387" t="s">
        <v>1625</v>
      </c>
      <c r="J1842" s="387">
        <v>1</v>
      </c>
      <c r="K1842" s="385" t="s">
        <v>856</v>
      </c>
    </row>
    <row r="1843" spans="1:11" ht="15.75">
      <c r="A1843" s="443">
        <v>44288</v>
      </c>
      <c r="B1843" s="653" t="s">
        <v>1952</v>
      </c>
      <c r="C1843" s="381" t="s">
        <v>822</v>
      </c>
      <c r="D1843" s="426" t="s">
        <v>2711</v>
      </c>
      <c r="E1843" s="462">
        <v>1450000</v>
      </c>
      <c r="F1843" s="385" t="s">
        <v>1968</v>
      </c>
      <c r="G1843" s="385" t="s">
        <v>30</v>
      </c>
      <c r="H1843" s="387" t="s">
        <v>1955</v>
      </c>
      <c r="I1843" s="387" t="s">
        <v>1625</v>
      </c>
      <c r="J1843" s="387">
        <v>1</v>
      </c>
      <c r="K1843" s="385" t="s">
        <v>856</v>
      </c>
    </row>
    <row r="1844" spans="1:11" ht="15.75">
      <c r="A1844" s="443">
        <v>44653</v>
      </c>
      <c r="B1844" s="385" t="s">
        <v>1952</v>
      </c>
      <c r="C1844" s="385" t="s">
        <v>479</v>
      </c>
      <c r="D1844" s="426" t="s">
        <v>2711</v>
      </c>
      <c r="E1844" s="451">
        <v>1300000</v>
      </c>
      <c r="F1844" s="381" t="s">
        <v>1968</v>
      </c>
      <c r="G1844" s="381" t="s">
        <v>30</v>
      </c>
      <c r="H1844" s="383" t="s">
        <v>1955</v>
      </c>
      <c r="I1844" s="383" t="s">
        <v>1625</v>
      </c>
      <c r="J1844" s="383">
        <v>1</v>
      </c>
      <c r="K1844" s="381" t="s">
        <v>856</v>
      </c>
    </row>
    <row r="1845" spans="1:11" ht="15.75">
      <c r="A1845" s="443">
        <v>44683</v>
      </c>
      <c r="B1845" s="381" t="s">
        <v>2182</v>
      </c>
      <c r="C1845" s="381" t="s">
        <v>851</v>
      </c>
      <c r="D1845" s="426" t="s">
        <v>2711</v>
      </c>
      <c r="E1845" s="1023">
        <v>1300000</v>
      </c>
      <c r="F1845" s="385" t="s">
        <v>1968</v>
      </c>
      <c r="G1845" s="385" t="s">
        <v>30</v>
      </c>
      <c r="H1845" s="387" t="s">
        <v>1955</v>
      </c>
      <c r="I1845" s="387" t="s">
        <v>1644</v>
      </c>
      <c r="J1845" s="387">
        <v>1</v>
      </c>
      <c r="K1845" s="385" t="s">
        <v>856</v>
      </c>
    </row>
    <row r="1846" spans="1:11" ht="15.75">
      <c r="A1846" s="443">
        <v>44775</v>
      </c>
      <c r="B1846" s="381" t="s">
        <v>2182</v>
      </c>
      <c r="C1846" s="381" t="s">
        <v>3555</v>
      </c>
      <c r="D1846" s="426" t="s">
        <v>2770</v>
      </c>
      <c r="E1846" s="1023">
        <v>1250000</v>
      </c>
      <c r="F1846" s="385" t="s">
        <v>1968</v>
      </c>
      <c r="G1846" s="385" t="s">
        <v>30</v>
      </c>
      <c r="H1846" s="387" t="s">
        <v>1955</v>
      </c>
      <c r="I1846" s="387" t="s">
        <v>1644</v>
      </c>
      <c r="J1846" s="387">
        <v>1</v>
      </c>
      <c r="K1846" s="385" t="s">
        <v>856</v>
      </c>
    </row>
    <row r="1847" spans="1:11" ht="15.75">
      <c r="A1847" s="393">
        <v>44806</v>
      </c>
      <c r="B1847" s="406" t="s">
        <v>1966</v>
      </c>
      <c r="C1847" s="406" t="s">
        <v>3556</v>
      </c>
      <c r="D1847" s="381" t="s">
        <v>3012</v>
      </c>
      <c r="E1847" s="451">
        <v>1500000</v>
      </c>
      <c r="F1847" s="381" t="s">
        <v>1968</v>
      </c>
      <c r="G1847" s="381" t="s">
        <v>30</v>
      </c>
      <c r="H1847" s="383" t="s">
        <v>1955</v>
      </c>
      <c r="I1847" s="383" t="s">
        <v>1644</v>
      </c>
      <c r="J1847" s="383">
        <v>1</v>
      </c>
      <c r="K1847" s="381" t="s">
        <v>856</v>
      </c>
    </row>
    <row r="1848" spans="1:11" ht="15.75">
      <c r="A1848" s="456" t="s">
        <v>3526</v>
      </c>
      <c r="B1848" s="457" t="s">
        <v>2182</v>
      </c>
      <c r="C1848" s="457" t="s">
        <v>843</v>
      </c>
      <c r="D1848" s="457" t="s">
        <v>75</v>
      </c>
      <c r="E1848" s="451">
        <v>1600000</v>
      </c>
      <c r="F1848" s="457" t="s">
        <v>1968</v>
      </c>
      <c r="G1848" s="457" t="s">
        <v>30</v>
      </c>
      <c r="H1848" s="1022" t="s">
        <v>1955</v>
      </c>
      <c r="I1848" s="153" t="s">
        <v>1644</v>
      </c>
      <c r="J1848" s="530">
        <v>1</v>
      </c>
      <c r="K1848" s="457" t="s">
        <v>856</v>
      </c>
    </row>
    <row r="1849" spans="1:11" ht="15.75">
      <c r="A1849" s="456" t="s">
        <v>3526</v>
      </c>
      <c r="B1849" s="457" t="s">
        <v>2182</v>
      </c>
      <c r="C1849" s="457" t="s">
        <v>3557</v>
      </c>
      <c r="D1849" s="457" t="s">
        <v>2770</v>
      </c>
      <c r="E1849" s="451">
        <v>1300000</v>
      </c>
      <c r="F1849" s="457" t="s">
        <v>1968</v>
      </c>
      <c r="G1849" s="457" t="s">
        <v>30</v>
      </c>
      <c r="H1849" s="1022" t="s">
        <v>1955</v>
      </c>
      <c r="I1849" s="153" t="s">
        <v>1644</v>
      </c>
      <c r="J1849" s="530">
        <v>1</v>
      </c>
      <c r="K1849" s="457" t="s">
        <v>856</v>
      </c>
    </row>
    <row r="1850" spans="1:11" ht="15.75">
      <c r="A1850" s="420" t="s">
        <v>3551</v>
      </c>
      <c r="B1850" s="420" t="s">
        <v>2182</v>
      </c>
      <c r="C1850" s="420" t="s">
        <v>3558</v>
      </c>
      <c r="D1850" s="420" t="s">
        <v>75</v>
      </c>
      <c r="E1850" s="451">
        <v>800000</v>
      </c>
      <c r="F1850" s="420" t="s">
        <v>1968</v>
      </c>
      <c r="G1850" s="420" t="s">
        <v>3351</v>
      </c>
      <c r="H1850" s="1022" t="s">
        <v>1625</v>
      </c>
      <c r="I1850" s="1022" t="s">
        <v>1644</v>
      </c>
      <c r="J1850" s="1022">
        <v>1</v>
      </c>
      <c r="K1850" s="420" t="s">
        <v>856</v>
      </c>
    </row>
    <row r="1851" spans="1:11" ht="15.75">
      <c r="A1851" s="420" t="s">
        <v>3559</v>
      </c>
      <c r="B1851" s="420" t="s">
        <v>2182</v>
      </c>
      <c r="C1851" s="420" t="s">
        <v>3560</v>
      </c>
      <c r="D1851" s="420" t="s">
        <v>2669</v>
      </c>
      <c r="E1851" s="451">
        <v>1300000</v>
      </c>
      <c r="F1851" s="420" t="s">
        <v>1968</v>
      </c>
      <c r="G1851" s="420" t="s">
        <v>30</v>
      </c>
      <c r="H1851" s="1022" t="s">
        <v>1625</v>
      </c>
      <c r="I1851" s="1022" t="s">
        <v>1644</v>
      </c>
      <c r="J1851" s="1022">
        <v>1</v>
      </c>
      <c r="K1851" s="420" t="s">
        <v>856</v>
      </c>
    </row>
    <row r="1853" spans="1:11" ht="26.25">
      <c r="A1853" s="1668" t="s">
        <v>3561</v>
      </c>
      <c r="B1853" s="1669"/>
      <c r="C1853" s="1669"/>
      <c r="D1853" s="1669"/>
      <c r="E1853" s="1669"/>
      <c r="F1853" s="1669"/>
      <c r="G1853" s="1669"/>
      <c r="H1853" s="1669"/>
      <c r="I1853" s="1669"/>
      <c r="J1853" s="1669"/>
      <c r="K1853" s="1670"/>
    </row>
    <row r="1854" spans="1:11" ht="31.5">
      <c r="A1854" s="375" t="s">
        <v>1941</v>
      </c>
      <c r="B1854" s="378" t="s">
        <v>1942</v>
      </c>
      <c r="C1854" s="378" t="s">
        <v>1943</v>
      </c>
      <c r="D1854" s="378" t="s">
        <v>1944</v>
      </c>
      <c r="E1854" s="452" t="s">
        <v>1945</v>
      </c>
      <c r="F1854" s="378" t="s">
        <v>1946</v>
      </c>
      <c r="G1854" s="378" t="s">
        <v>2590</v>
      </c>
      <c r="H1854" s="378" t="s">
        <v>1947</v>
      </c>
      <c r="I1854" s="378" t="s">
        <v>1948</v>
      </c>
      <c r="J1854" s="453" t="s">
        <v>1949</v>
      </c>
      <c r="K1854" s="378" t="s">
        <v>1950</v>
      </c>
    </row>
    <row r="1855" spans="1:11" ht="15.75">
      <c r="A1855" s="443" t="s">
        <v>3475</v>
      </c>
      <c r="B1855" s="653" t="s">
        <v>1952</v>
      </c>
      <c r="C1855" s="381" t="s">
        <v>832</v>
      </c>
      <c r="D1855" s="426" t="s">
        <v>2770</v>
      </c>
      <c r="E1855" s="462">
        <v>1350000</v>
      </c>
      <c r="F1855" s="385" t="s">
        <v>2290</v>
      </c>
      <c r="G1855" s="385" t="s">
        <v>2605</v>
      </c>
      <c r="H1855" s="387" t="s">
        <v>1955</v>
      </c>
      <c r="I1855" s="387" t="s">
        <v>1625</v>
      </c>
      <c r="J1855" s="387">
        <v>1</v>
      </c>
      <c r="K1855" s="385" t="s">
        <v>2998</v>
      </c>
    </row>
    <row r="1856" spans="1:11">
      <c r="A1856" s="109"/>
      <c r="B1856" s="80"/>
      <c r="C1856" s="80"/>
      <c r="D1856" s="80"/>
      <c r="E1856" s="119"/>
      <c r="F1856" s="71"/>
      <c r="G1856" s="71"/>
      <c r="H1856" s="80"/>
      <c r="I1856" s="80"/>
      <c r="J1856" s="80"/>
      <c r="K1856" s="80"/>
    </row>
    <row r="1857" spans="1:11">
      <c r="A1857" s="109"/>
      <c r="B1857" s="80"/>
      <c r="C1857" s="80"/>
      <c r="D1857" s="80"/>
      <c r="E1857" s="119"/>
      <c r="F1857" s="71"/>
      <c r="G1857" s="71"/>
      <c r="H1857" s="80"/>
      <c r="I1857" s="80"/>
      <c r="J1857" s="80"/>
      <c r="K1857" s="80"/>
    </row>
    <row r="1860" spans="1:11" ht="26.25">
      <c r="A1860" s="1668" t="s">
        <v>3562</v>
      </c>
      <c r="B1860" s="1669"/>
      <c r="C1860" s="1669"/>
      <c r="D1860" s="1669"/>
      <c r="E1860" s="1669"/>
      <c r="F1860" s="1669"/>
      <c r="G1860" s="1669"/>
      <c r="H1860" s="1669"/>
      <c r="I1860" s="1669"/>
      <c r="J1860" s="1669"/>
      <c r="K1860" s="1670"/>
    </row>
    <row r="1861" spans="1:11" ht="30.75">
      <c r="A1861" s="375" t="s">
        <v>1941</v>
      </c>
      <c r="B1861" s="378" t="s">
        <v>1942</v>
      </c>
      <c r="C1861" s="378" t="s">
        <v>1943</v>
      </c>
      <c r="D1861" s="378" t="s">
        <v>1944</v>
      </c>
      <c r="E1861" s="452" t="s">
        <v>1945</v>
      </c>
      <c r="F1861" s="378" t="s">
        <v>1946</v>
      </c>
      <c r="G1861" s="378" t="s">
        <v>2590</v>
      </c>
      <c r="H1861" s="378" t="s">
        <v>1947</v>
      </c>
      <c r="I1861" s="378" t="s">
        <v>1948</v>
      </c>
      <c r="J1861" s="453" t="s">
        <v>1949</v>
      </c>
      <c r="K1861" s="378" t="s">
        <v>1950</v>
      </c>
    </row>
    <row r="1862" spans="1:11" ht="15.75">
      <c r="A1862" s="443" t="s">
        <v>3521</v>
      </c>
      <c r="B1862" s="653" t="s">
        <v>1952</v>
      </c>
      <c r="C1862" s="381" t="s">
        <v>882</v>
      </c>
      <c r="D1862" s="426" t="s">
        <v>2669</v>
      </c>
      <c r="E1862" s="462">
        <v>1500000</v>
      </c>
      <c r="F1862" s="385" t="s">
        <v>3563</v>
      </c>
      <c r="G1862" s="385" t="s">
        <v>30</v>
      </c>
      <c r="H1862" s="387" t="s">
        <v>1625</v>
      </c>
      <c r="I1862" s="387" t="s">
        <v>1625</v>
      </c>
      <c r="J1862" s="387">
        <v>1</v>
      </c>
      <c r="K1862" s="385" t="s">
        <v>1171</v>
      </c>
    </row>
    <row r="1863" spans="1:11">
      <c r="A1863" s="109"/>
      <c r="B1863" s="80"/>
      <c r="C1863" s="80"/>
      <c r="D1863" s="80"/>
      <c r="E1863" s="119"/>
      <c r="F1863" s="71"/>
      <c r="G1863" s="71"/>
      <c r="H1863" s="80"/>
      <c r="I1863" s="80"/>
      <c r="J1863" s="80"/>
      <c r="K1863" s="80"/>
    </row>
    <row r="1864" spans="1:11">
      <c r="A1864" s="109"/>
      <c r="B1864" s="80"/>
      <c r="C1864" s="80"/>
      <c r="D1864" s="80"/>
      <c r="E1864" s="119"/>
      <c r="F1864" s="71"/>
      <c r="G1864" s="71"/>
      <c r="H1864" s="80"/>
      <c r="I1864" s="80"/>
      <c r="J1864" s="80"/>
      <c r="K1864" s="80"/>
    </row>
    <row r="1867" spans="1:11">
      <c r="A1867" s="1665" t="s">
        <v>3564</v>
      </c>
      <c r="B1867" s="1665"/>
      <c r="C1867" s="1665"/>
      <c r="D1867" s="1665"/>
      <c r="E1867" s="1665"/>
      <c r="F1867" s="1665"/>
      <c r="G1867" s="1665"/>
      <c r="H1867" s="1665"/>
      <c r="I1867" s="1665"/>
      <c r="J1867" s="1665"/>
      <c r="K1867" s="1665"/>
    </row>
    <row r="1868" spans="1:11">
      <c r="A1868" s="1666"/>
      <c r="B1868" s="1666"/>
      <c r="C1868" s="1666"/>
      <c r="D1868" s="1666"/>
      <c r="E1868" s="1666"/>
      <c r="F1868" s="1666"/>
      <c r="G1868" s="1666"/>
      <c r="H1868" s="1666"/>
      <c r="I1868" s="1666"/>
      <c r="J1868" s="1666"/>
      <c r="K1868" s="1666"/>
    </row>
    <row r="1870" spans="1:11" ht="26.25">
      <c r="A1870" s="1667" t="s">
        <v>3565</v>
      </c>
      <c r="B1870" s="1667"/>
      <c r="C1870" s="1667"/>
      <c r="D1870" s="1667"/>
      <c r="E1870" s="1667"/>
      <c r="F1870" s="1667"/>
      <c r="G1870" s="1667"/>
      <c r="H1870" s="1667"/>
      <c r="I1870" s="1667"/>
      <c r="J1870" s="1667"/>
      <c r="K1870" s="1667"/>
    </row>
    <row r="1871" spans="1:11" ht="31.5">
      <c r="A1871" s="375" t="s">
        <v>1941</v>
      </c>
      <c r="B1871" s="378" t="s">
        <v>1942</v>
      </c>
      <c r="C1871" s="378" t="s">
        <v>1943</v>
      </c>
      <c r="D1871" s="378" t="s">
        <v>1944</v>
      </c>
      <c r="E1871" s="452" t="s">
        <v>1945</v>
      </c>
      <c r="F1871" s="378" t="s">
        <v>1946</v>
      </c>
      <c r="G1871" s="378" t="s">
        <v>2590</v>
      </c>
      <c r="H1871" s="378" t="s">
        <v>1947</v>
      </c>
      <c r="I1871" s="378" t="s">
        <v>1948</v>
      </c>
      <c r="J1871" s="453" t="s">
        <v>1949</v>
      </c>
      <c r="K1871" s="378" t="s">
        <v>10</v>
      </c>
    </row>
    <row r="1872" spans="1:11" ht="15.75">
      <c r="A1872" s="454" t="s">
        <v>3566</v>
      </c>
      <c r="B1872" s="472" t="s">
        <v>2182</v>
      </c>
      <c r="C1872" s="455" t="s">
        <v>3567</v>
      </c>
      <c r="D1872" s="455" t="s">
        <v>75</v>
      </c>
      <c r="E1872" s="461">
        <v>280000000</v>
      </c>
      <c r="F1872" s="464" t="s">
        <v>2292</v>
      </c>
      <c r="G1872" s="464" t="s">
        <v>2593</v>
      </c>
      <c r="H1872" s="460" t="s">
        <v>1955</v>
      </c>
      <c r="I1872" s="460" t="s">
        <v>1644</v>
      </c>
      <c r="J1872" s="460">
        <v>1</v>
      </c>
      <c r="K1872" s="455" t="s">
        <v>2629</v>
      </c>
    </row>
    <row r="1873" spans="1:11" ht="15.75">
      <c r="A1873" s="454">
        <v>44654</v>
      </c>
      <c r="B1873" s="472" t="s">
        <v>2182</v>
      </c>
      <c r="C1873" s="455" t="s">
        <v>872</v>
      </c>
      <c r="D1873" s="455" t="s">
        <v>2661</v>
      </c>
      <c r="E1873" s="461">
        <v>200000000</v>
      </c>
      <c r="F1873" s="464" t="s">
        <v>1968</v>
      </c>
      <c r="G1873" s="464" t="s">
        <v>2593</v>
      </c>
      <c r="H1873" s="460" t="s">
        <v>1955</v>
      </c>
      <c r="I1873" s="460" t="s">
        <v>1644</v>
      </c>
      <c r="J1873" s="460">
        <v>1</v>
      </c>
      <c r="K1873" s="455" t="s">
        <v>2629</v>
      </c>
    </row>
    <row r="1874" spans="1:11" ht="15.75">
      <c r="A1874" s="454" t="s">
        <v>3568</v>
      </c>
      <c r="B1874" s="472" t="s">
        <v>2182</v>
      </c>
      <c r="C1874" s="455" t="s">
        <v>3569</v>
      </c>
      <c r="D1874" s="455" t="s">
        <v>75</v>
      </c>
      <c r="E1874" s="461">
        <v>240000000</v>
      </c>
      <c r="F1874" s="464" t="s">
        <v>2292</v>
      </c>
      <c r="G1874" s="464" t="s">
        <v>2593</v>
      </c>
      <c r="H1874" s="460" t="s">
        <v>1955</v>
      </c>
      <c r="I1874" s="460" t="s">
        <v>1644</v>
      </c>
      <c r="J1874" s="460">
        <v>1</v>
      </c>
      <c r="K1874" s="455" t="s">
        <v>2629</v>
      </c>
    </row>
    <row r="1875" spans="1:11" ht="15.75">
      <c r="A1875" s="454" t="s">
        <v>3570</v>
      </c>
      <c r="B1875" s="472" t="s">
        <v>2182</v>
      </c>
      <c r="C1875" s="455" t="s">
        <v>3571</v>
      </c>
      <c r="D1875" s="455" t="s">
        <v>2711</v>
      </c>
      <c r="E1875" s="461">
        <v>255000000</v>
      </c>
      <c r="F1875" s="464" t="s">
        <v>2292</v>
      </c>
      <c r="G1875" s="464" t="s">
        <v>2593</v>
      </c>
      <c r="H1875" s="460" t="s">
        <v>1955</v>
      </c>
      <c r="I1875" s="460" t="s">
        <v>1644</v>
      </c>
      <c r="J1875" s="460">
        <v>1</v>
      </c>
      <c r="K1875" s="455" t="s">
        <v>2629</v>
      </c>
    </row>
    <row r="1876" spans="1:11" ht="15.75">
      <c r="A1876" s="412" t="s">
        <v>3566</v>
      </c>
      <c r="B1876" s="381" t="s">
        <v>2182</v>
      </c>
      <c r="C1876" s="381" t="s">
        <v>865</v>
      </c>
      <c r="D1876" s="381" t="s">
        <v>3572</v>
      </c>
      <c r="E1876" s="451">
        <v>1550000</v>
      </c>
      <c r="F1876" s="275" t="s">
        <v>2292</v>
      </c>
      <c r="G1876" s="275" t="s">
        <v>30</v>
      </c>
      <c r="H1876" s="383" t="s">
        <v>1625</v>
      </c>
      <c r="I1876" s="383" t="s">
        <v>1644</v>
      </c>
      <c r="J1876" s="383">
        <v>1</v>
      </c>
      <c r="K1876" s="381" t="s">
        <v>1171</v>
      </c>
    </row>
    <row r="1877" spans="1:11" ht="15.75">
      <c r="A1877" s="479">
        <v>44595</v>
      </c>
      <c r="B1877" s="612" t="s">
        <v>1952</v>
      </c>
      <c r="C1877" s="381" t="s">
        <v>870</v>
      </c>
      <c r="D1877" s="381" t="s">
        <v>3059</v>
      </c>
      <c r="E1877" s="451">
        <v>1450000</v>
      </c>
      <c r="F1877" s="304" t="s">
        <v>2292</v>
      </c>
      <c r="G1877" s="275" t="s">
        <v>2593</v>
      </c>
      <c r="H1877" s="531" t="s">
        <v>1955</v>
      </c>
      <c r="I1877" s="383" t="s">
        <v>1644</v>
      </c>
      <c r="J1877" s="383">
        <v>1</v>
      </c>
      <c r="K1877" s="381" t="s">
        <v>1245</v>
      </c>
    </row>
    <row r="1878" spans="1:11" ht="15.75">
      <c r="A1878" s="479">
        <v>44623</v>
      </c>
      <c r="B1878" s="612" t="s">
        <v>2182</v>
      </c>
      <c r="C1878" s="381" t="s">
        <v>871</v>
      </c>
      <c r="D1878" s="381" t="s">
        <v>3573</v>
      </c>
      <c r="E1878" s="451">
        <v>1000000</v>
      </c>
      <c r="F1878" s="304" t="s">
        <v>1968</v>
      </c>
      <c r="G1878" s="275" t="s">
        <v>30</v>
      </c>
      <c r="H1878" s="531" t="s">
        <v>1955</v>
      </c>
      <c r="I1878" s="383" t="s">
        <v>1644</v>
      </c>
      <c r="J1878" s="383">
        <v>1</v>
      </c>
      <c r="K1878" s="381" t="s">
        <v>1171</v>
      </c>
    </row>
    <row r="1879" spans="1:11" ht="15.75">
      <c r="A1879" s="393">
        <v>44623</v>
      </c>
      <c r="B1879" s="381" t="s">
        <v>1952</v>
      </c>
      <c r="C1879" s="411" t="s">
        <v>872</v>
      </c>
      <c r="D1879" s="381" t="s">
        <v>2661</v>
      </c>
      <c r="E1879" s="451">
        <v>980000</v>
      </c>
      <c r="F1879" s="381" t="s">
        <v>1968</v>
      </c>
      <c r="G1879" s="381" t="s">
        <v>30</v>
      </c>
      <c r="H1879" s="383" t="s">
        <v>1625</v>
      </c>
      <c r="I1879" s="383" t="s">
        <v>1625</v>
      </c>
      <c r="J1879" s="383">
        <v>1</v>
      </c>
      <c r="K1879" s="381" t="s">
        <v>1171</v>
      </c>
    </row>
    <row r="1880" spans="1:11" ht="15.75">
      <c r="A1880" s="479">
        <v>44654</v>
      </c>
      <c r="B1880" s="612" t="s">
        <v>2182</v>
      </c>
      <c r="C1880" s="381" t="s">
        <v>3574</v>
      </c>
      <c r="D1880" s="381" t="s">
        <v>3575</v>
      </c>
      <c r="E1880" s="451">
        <v>2300000</v>
      </c>
      <c r="F1880" s="304" t="s">
        <v>2292</v>
      </c>
      <c r="G1880" s="275" t="s">
        <v>2593</v>
      </c>
      <c r="H1880" s="531" t="s">
        <v>1955</v>
      </c>
      <c r="I1880" s="383" t="s">
        <v>1644</v>
      </c>
      <c r="J1880" s="383">
        <v>1</v>
      </c>
      <c r="K1880" s="381" t="s">
        <v>1245</v>
      </c>
    </row>
    <row r="1881" spans="1:11" ht="15.75">
      <c r="A1881" s="479">
        <v>44654</v>
      </c>
      <c r="B1881" s="612" t="s">
        <v>2182</v>
      </c>
      <c r="C1881" s="381" t="s">
        <v>869</v>
      </c>
      <c r="D1881" s="381" t="s">
        <v>2394</v>
      </c>
      <c r="E1881" s="451">
        <v>1200000</v>
      </c>
      <c r="F1881" s="304" t="s">
        <v>2292</v>
      </c>
      <c r="G1881" s="275" t="s">
        <v>30</v>
      </c>
      <c r="H1881" s="531" t="s">
        <v>1625</v>
      </c>
      <c r="I1881" s="383" t="s">
        <v>1644</v>
      </c>
      <c r="J1881" s="383">
        <v>1</v>
      </c>
      <c r="K1881" s="381" t="s">
        <v>1171</v>
      </c>
    </row>
    <row r="1882" spans="1:11" ht="15.75">
      <c r="A1882" s="479">
        <v>44776</v>
      </c>
      <c r="B1882" s="612" t="s">
        <v>2182</v>
      </c>
      <c r="C1882" s="381" t="s">
        <v>2519</v>
      </c>
      <c r="D1882" s="381" t="s">
        <v>2520</v>
      </c>
      <c r="E1882" s="451">
        <v>1800000</v>
      </c>
      <c r="F1882" s="304" t="s">
        <v>2292</v>
      </c>
      <c r="G1882" s="275" t="s">
        <v>30</v>
      </c>
      <c r="H1882" s="531" t="s">
        <v>1625</v>
      </c>
      <c r="I1882" s="383" t="s">
        <v>1644</v>
      </c>
      <c r="J1882" s="383">
        <v>1</v>
      </c>
      <c r="K1882" s="381" t="s">
        <v>1245</v>
      </c>
    </row>
    <row r="1883" spans="1:11" ht="15.75">
      <c r="A1883" s="479">
        <v>44776</v>
      </c>
      <c r="B1883" s="612" t="s">
        <v>1966</v>
      </c>
      <c r="C1883" s="381" t="s">
        <v>3576</v>
      </c>
      <c r="D1883" s="381" t="s">
        <v>2719</v>
      </c>
      <c r="E1883" s="451">
        <v>3200000</v>
      </c>
      <c r="F1883" s="304" t="s">
        <v>1968</v>
      </c>
      <c r="G1883" s="275" t="s">
        <v>2605</v>
      </c>
      <c r="H1883" s="531" t="s">
        <v>1955</v>
      </c>
      <c r="I1883" s="383" t="s">
        <v>1644</v>
      </c>
      <c r="J1883" s="383">
        <v>1</v>
      </c>
      <c r="K1883" s="381" t="s">
        <v>1171</v>
      </c>
    </row>
    <row r="1884" spans="1:11" ht="15.75">
      <c r="A1884" s="479">
        <v>44837</v>
      </c>
      <c r="B1884" s="612" t="s">
        <v>2182</v>
      </c>
      <c r="C1884" s="381" t="s">
        <v>3577</v>
      </c>
      <c r="D1884" s="381" t="s">
        <v>2394</v>
      </c>
      <c r="E1884" s="451">
        <v>1200000</v>
      </c>
      <c r="F1884" s="304" t="s">
        <v>2292</v>
      </c>
      <c r="G1884" s="275" t="s">
        <v>2593</v>
      </c>
      <c r="H1884" s="531" t="s">
        <v>1955</v>
      </c>
      <c r="I1884" s="383" t="s">
        <v>1644</v>
      </c>
      <c r="J1884" s="383">
        <v>1</v>
      </c>
      <c r="K1884" s="381" t="s">
        <v>1245</v>
      </c>
    </row>
    <row r="1885" spans="1:11" ht="15.75">
      <c r="A1885" s="479">
        <v>44837</v>
      </c>
      <c r="B1885" s="612" t="s">
        <v>2182</v>
      </c>
      <c r="C1885" s="381" t="s">
        <v>3578</v>
      </c>
      <c r="D1885" s="381" t="s">
        <v>2559</v>
      </c>
      <c r="E1885" s="451">
        <v>3500000</v>
      </c>
      <c r="F1885" s="304" t="s">
        <v>2292</v>
      </c>
      <c r="G1885" s="275" t="s">
        <v>2605</v>
      </c>
      <c r="H1885" s="531" t="s">
        <v>1625</v>
      </c>
      <c r="I1885" s="383" t="s">
        <v>1644</v>
      </c>
      <c r="J1885" s="383">
        <v>1</v>
      </c>
      <c r="K1885" s="381" t="s">
        <v>1171</v>
      </c>
    </row>
    <row r="1886" spans="1:11" ht="15.75">
      <c r="A1886" s="479">
        <v>44868</v>
      </c>
      <c r="B1886" s="612" t="s">
        <v>2182</v>
      </c>
      <c r="C1886" s="381" t="s">
        <v>3579</v>
      </c>
      <c r="D1886" s="381" t="s">
        <v>2394</v>
      </c>
      <c r="E1886" s="451">
        <v>1200000</v>
      </c>
      <c r="F1886" s="304" t="s">
        <v>2292</v>
      </c>
      <c r="G1886" s="275" t="s">
        <v>2593</v>
      </c>
      <c r="H1886" s="531" t="s">
        <v>1955</v>
      </c>
      <c r="I1886" s="383" t="s">
        <v>1644</v>
      </c>
      <c r="J1886" s="383">
        <v>1</v>
      </c>
      <c r="K1886" s="381" t="s">
        <v>1171</v>
      </c>
    </row>
    <row r="1887" spans="1:11" ht="15.75">
      <c r="A1887" s="479" t="s">
        <v>3580</v>
      </c>
      <c r="B1887" s="612" t="s">
        <v>1952</v>
      </c>
      <c r="C1887" s="381" t="s">
        <v>924</v>
      </c>
      <c r="D1887" s="381" t="s">
        <v>3059</v>
      </c>
      <c r="E1887" s="451">
        <v>1250000</v>
      </c>
      <c r="F1887" s="304" t="s">
        <v>2292</v>
      </c>
      <c r="G1887" s="275" t="s">
        <v>2605</v>
      </c>
      <c r="H1887" s="531" t="s">
        <v>1625</v>
      </c>
      <c r="I1887" s="383" t="s">
        <v>1644</v>
      </c>
      <c r="J1887" s="383">
        <v>1</v>
      </c>
      <c r="K1887" s="381" t="s">
        <v>1245</v>
      </c>
    </row>
    <row r="1888" spans="1:11" ht="15.75">
      <c r="A1888" s="479" t="s">
        <v>3581</v>
      </c>
      <c r="B1888" s="612" t="s">
        <v>2182</v>
      </c>
      <c r="C1888" s="381" t="s">
        <v>3582</v>
      </c>
      <c r="D1888" s="381" t="s">
        <v>2559</v>
      </c>
      <c r="E1888" s="451">
        <v>1100000</v>
      </c>
      <c r="F1888" s="304" t="s">
        <v>1968</v>
      </c>
      <c r="G1888" s="275" t="s">
        <v>2593</v>
      </c>
      <c r="H1888" s="531" t="s">
        <v>1955</v>
      </c>
      <c r="I1888" s="383" t="s">
        <v>1644</v>
      </c>
      <c r="J1888" s="383">
        <v>1</v>
      </c>
      <c r="K1888" s="381" t="s">
        <v>1171</v>
      </c>
    </row>
    <row r="1889" spans="1:11" ht="15.75">
      <c r="A1889" s="479" t="s">
        <v>3581</v>
      </c>
      <c r="B1889" s="612" t="s">
        <v>2182</v>
      </c>
      <c r="C1889" s="381" t="s">
        <v>3583</v>
      </c>
      <c r="D1889" s="381" t="s">
        <v>2394</v>
      </c>
      <c r="E1889" s="451">
        <v>1250000</v>
      </c>
      <c r="F1889" s="304" t="s">
        <v>2292</v>
      </c>
      <c r="G1889" s="275" t="s">
        <v>2593</v>
      </c>
      <c r="H1889" s="531" t="s">
        <v>1955</v>
      </c>
      <c r="I1889" s="383" t="s">
        <v>1644</v>
      </c>
      <c r="J1889" s="383">
        <v>1</v>
      </c>
      <c r="K1889" s="381" t="s">
        <v>1245</v>
      </c>
    </row>
    <row r="1890" spans="1:11" ht="15.75">
      <c r="A1890" s="479" t="s">
        <v>3584</v>
      </c>
      <c r="B1890" s="612" t="s">
        <v>2182</v>
      </c>
      <c r="C1890" s="381" t="s">
        <v>917</v>
      </c>
      <c r="D1890" s="381" t="s">
        <v>2326</v>
      </c>
      <c r="E1890" s="451">
        <v>1100000</v>
      </c>
      <c r="F1890" s="304" t="s">
        <v>2292</v>
      </c>
      <c r="G1890" s="275" t="s">
        <v>2593</v>
      </c>
      <c r="H1890" s="531" t="s">
        <v>1955</v>
      </c>
      <c r="I1890" s="383" t="s">
        <v>1644</v>
      </c>
      <c r="J1890" s="383">
        <v>1</v>
      </c>
      <c r="K1890" s="381" t="s">
        <v>1245</v>
      </c>
    </row>
    <row r="1891" spans="1:11" ht="15.75">
      <c r="A1891" s="479" t="s">
        <v>3585</v>
      </c>
      <c r="B1891" s="612" t="s">
        <v>2182</v>
      </c>
      <c r="C1891" s="381" t="s">
        <v>918</v>
      </c>
      <c r="D1891" s="381" t="s">
        <v>3493</v>
      </c>
      <c r="E1891" s="451">
        <v>1500000</v>
      </c>
      <c r="F1891" s="304" t="s">
        <v>2292</v>
      </c>
      <c r="G1891" s="275" t="s">
        <v>30</v>
      </c>
      <c r="H1891" s="531" t="s">
        <v>1955</v>
      </c>
      <c r="I1891" s="383" t="s">
        <v>1644</v>
      </c>
      <c r="J1891" s="383">
        <v>1</v>
      </c>
      <c r="K1891" s="381" t="s">
        <v>1171</v>
      </c>
    </row>
    <row r="1892" spans="1:11" ht="15.75">
      <c r="A1892" s="479" t="s">
        <v>3585</v>
      </c>
      <c r="B1892" s="612" t="s">
        <v>2182</v>
      </c>
      <c r="C1892" s="381" t="s">
        <v>862</v>
      </c>
      <c r="D1892" s="381" t="s">
        <v>2167</v>
      </c>
      <c r="E1892" s="451">
        <v>1450000</v>
      </c>
      <c r="F1892" s="304" t="s">
        <v>2292</v>
      </c>
      <c r="G1892" s="275" t="s">
        <v>2873</v>
      </c>
      <c r="H1892" s="531" t="s">
        <v>1625</v>
      </c>
      <c r="I1892" s="383" t="s">
        <v>1644</v>
      </c>
      <c r="J1892" s="383">
        <v>1</v>
      </c>
      <c r="K1892" s="381" t="s">
        <v>1171</v>
      </c>
    </row>
    <row r="1893" spans="1:11" ht="15.75">
      <c r="A1893" s="479" t="s">
        <v>3586</v>
      </c>
      <c r="B1893" s="612" t="s">
        <v>2182</v>
      </c>
      <c r="C1893" s="381" t="s">
        <v>3587</v>
      </c>
      <c r="D1893" s="381" t="s">
        <v>3588</v>
      </c>
      <c r="E1893" s="451">
        <v>1600000</v>
      </c>
      <c r="F1893" s="304" t="s">
        <v>1968</v>
      </c>
      <c r="G1893" s="275" t="s">
        <v>2593</v>
      </c>
      <c r="H1893" s="531" t="s">
        <v>1625</v>
      </c>
      <c r="I1893" s="383" t="s">
        <v>1644</v>
      </c>
      <c r="J1893" s="383">
        <v>1</v>
      </c>
      <c r="K1893" s="381" t="s">
        <v>1171</v>
      </c>
    </row>
    <row r="1894" spans="1:11" ht="15.75">
      <c r="A1894" s="479" t="s">
        <v>3586</v>
      </c>
      <c r="B1894" s="612" t="s">
        <v>2182</v>
      </c>
      <c r="C1894" s="381" t="s">
        <v>3589</v>
      </c>
      <c r="D1894" s="381" t="s">
        <v>3588</v>
      </c>
      <c r="E1894" s="451">
        <v>1600000</v>
      </c>
      <c r="F1894" s="304" t="s">
        <v>1968</v>
      </c>
      <c r="G1894" s="275" t="s">
        <v>2593</v>
      </c>
      <c r="H1894" s="531" t="s">
        <v>1625</v>
      </c>
      <c r="I1894" s="383" t="s">
        <v>1644</v>
      </c>
      <c r="J1894" s="383">
        <v>1</v>
      </c>
      <c r="K1894" s="381" t="s">
        <v>1245</v>
      </c>
    </row>
    <row r="1895" spans="1:11" ht="15.75">
      <c r="A1895" s="479" t="s">
        <v>3479</v>
      </c>
      <c r="B1895" s="612" t="s">
        <v>2182</v>
      </c>
      <c r="C1895" s="381" t="s">
        <v>3590</v>
      </c>
      <c r="D1895" s="381" t="s">
        <v>2167</v>
      </c>
      <c r="E1895" s="451">
        <v>1700000</v>
      </c>
      <c r="F1895" s="304" t="s">
        <v>2292</v>
      </c>
      <c r="G1895" s="275" t="s">
        <v>2873</v>
      </c>
      <c r="H1895" s="531" t="s">
        <v>1625</v>
      </c>
      <c r="I1895" s="383" t="s">
        <v>1644</v>
      </c>
      <c r="J1895" s="383">
        <v>1</v>
      </c>
      <c r="K1895" s="381" t="s">
        <v>1171</v>
      </c>
    </row>
    <row r="1896" spans="1:11" ht="15.75">
      <c r="A1896" s="419"/>
      <c r="B1896" s="420"/>
      <c r="C1896" s="420"/>
      <c r="D1896" s="420"/>
      <c r="E1896" s="463"/>
      <c r="F1896" s="466"/>
      <c r="G1896" s="466"/>
      <c r="H1896" s="422"/>
      <c r="I1896" s="422"/>
      <c r="J1896" s="492">
        <f>SUM(J1872:J1895)</f>
        <v>24</v>
      </c>
      <c r="K1896" s="420"/>
    </row>
    <row r="1897" spans="1:11" ht="15.75">
      <c r="A1897" s="394"/>
      <c r="B1897" s="395"/>
      <c r="C1897" s="395"/>
      <c r="D1897" s="395"/>
      <c r="E1897" s="706"/>
      <c r="F1897" s="707"/>
      <c r="G1897" s="707"/>
      <c r="H1897" s="397"/>
      <c r="I1897" s="397"/>
      <c r="J1897" s="397"/>
      <c r="K1897" s="395"/>
    </row>
    <row r="1898" spans="1:11" ht="15.75">
      <c r="A1898" s="394"/>
      <c r="B1898" s="395"/>
      <c r="C1898" s="395"/>
      <c r="D1898" s="395"/>
      <c r="E1898" s="706"/>
      <c r="F1898" s="707"/>
      <c r="G1898" s="707"/>
      <c r="H1898" s="397"/>
      <c r="I1898" s="397"/>
      <c r="J1898" s="397"/>
      <c r="K1898" s="395"/>
    </row>
    <row r="1899" spans="1:11" ht="15.75">
      <c r="A1899" s="394"/>
      <c r="B1899" s="395"/>
      <c r="C1899" s="395"/>
      <c r="D1899" s="395"/>
      <c r="E1899" s="396"/>
      <c r="F1899" s="397"/>
      <c r="G1899" s="397"/>
      <c r="H1899" s="397"/>
      <c r="I1899" s="395"/>
      <c r="J1899" s="395"/>
      <c r="K1899" s="395"/>
    </row>
    <row r="1900" spans="1:11" ht="26.25">
      <c r="A1900" s="1667" t="s">
        <v>3591</v>
      </c>
      <c r="B1900" s="1667"/>
      <c r="C1900" s="1667"/>
      <c r="D1900" s="1667"/>
      <c r="E1900" s="1667"/>
      <c r="F1900" s="1667"/>
      <c r="G1900" s="1667"/>
      <c r="H1900" s="1667"/>
      <c r="I1900" s="1667"/>
      <c r="J1900" s="1667"/>
      <c r="K1900" s="1667"/>
    </row>
    <row r="1901" spans="1:11" ht="31.5">
      <c r="A1901" s="375" t="s">
        <v>1941</v>
      </c>
      <c r="B1901" s="378" t="s">
        <v>1942</v>
      </c>
      <c r="C1901" s="378" t="s">
        <v>1943</v>
      </c>
      <c r="D1901" s="378" t="s">
        <v>1944</v>
      </c>
      <c r="E1901" s="452" t="s">
        <v>1945</v>
      </c>
      <c r="F1901" s="378" t="s">
        <v>1946</v>
      </c>
      <c r="G1901" s="378" t="s">
        <v>2590</v>
      </c>
      <c r="H1901" s="378" t="s">
        <v>1947</v>
      </c>
      <c r="I1901" s="378" t="s">
        <v>1948</v>
      </c>
      <c r="J1901" s="453" t="s">
        <v>1949</v>
      </c>
      <c r="K1901" s="378" t="s">
        <v>1950</v>
      </c>
    </row>
    <row r="1902" spans="1:11" ht="15.75">
      <c r="A1902" s="922">
        <v>44898</v>
      </c>
      <c r="B1902" s="618" t="s">
        <v>2182</v>
      </c>
      <c r="C1902" s="472" t="s">
        <v>3592</v>
      </c>
      <c r="D1902" s="472" t="s">
        <v>75</v>
      </c>
      <c r="E1902" s="475">
        <v>305000000</v>
      </c>
      <c r="F1902" s="472" t="s">
        <v>1968</v>
      </c>
      <c r="G1902" s="472" t="s">
        <v>2593</v>
      </c>
      <c r="H1902" s="473" t="s">
        <v>1955</v>
      </c>
      <c r="I1902" s="473" t="s">
        <v>1644</v>
      </c>
      <c r="J1902" s="473">
        <v>1</v>
      </c>
      <c r="K1902" s="472" t="s">
        <v>2629</v>
      </c>
    </row>
    <row r="1903" spans="1:11" ht="15.75">
      <c r="A1903" s="454" t="s">
        <v>3479</v>
      </c>
      <c r="B1903" s="455" t="s">
        <v>2060</v>
      </c>
      <c r="C1903" s="459" t="s">
        <v>3593</v>
      </c>
      <c r="D1903" s="455" t="s">
        <v>3298</v>
      </c>
      <c r="E1903" s="461">
        <v>330000000</v>
      </c>
      <c r="F1903" s="654" t="s">
        <v>2292</v>
      </c>
      <c r="G1903" s="464" t="s">
        <v>2593</v>
      </c>
      <c r="H1903" s="655" t="s">
        <v>1955</v>
      </c>
      <c r="I1903" s="460" t="s">
        <v>1644</v>
      </c>
      <c r="J1903" s="460">
        <v>1</v>
      </c>
      <c r="K1903" s="455" t="s">
        <v>2629</v>
      </c>
    </row>
    <row r="1904" spans="1:11" ht="15.75">
      <c r="A1904" s="611" t="s">
        <v>3594</v>
      </c>
      <c r="B1904" s="472" t="s">
        <v>1966</v>
      </c>
      <c r="C1904" s="472" t="s">
        <v>3595</v>
      </c>
      <c r="D1904" s="472" t="s">
        <v>3097</v>
      </c>
      <c r="E1904" s="475">
        <v>250000000</v>
      </c>
      <c r="F1904" s="472" t="s">
        <v>1968</v>
      </c>
      <c r="G1904" s="472" t="s">
        <v>2593</v>
      </c>
      <c r="H1904" s="473" t="s">
        <v>1955</v>
      </c>
      <c r="I1904" s="473" t="s">
        <v>1644</v>
      </c>
      <c r="J1904" s="473">
        <v>1</v>
      </c>
      <c r="K1904" s="472" t="s">
        <v>2629</v>
      </c>
    </row>
    <row r="1905" spans="1:11" ht="15.75">
      <c r="A1905" s="579" t="s">
        <v>3596</v>
      </c>
      <c r="B1905" s="381" t="s">
        <v>1952</v>
      </c>
      <c r="C1905" s="381" t="s">
        <v>3597</v>
      </c>
      <c r="D1905" s="381" t="s">
        <v>2253</v>
      </c>
      <c r="E1905" s="451">
        <v>700000</v>
      </c>
      <c r="F1905" s="381" t="s">
        <v>2306</v>
      </c>
      <c r="G1905" s="381" t="s">
        <v>2605</v>
      </c>
      <c r="H1905" s="383" t="s">
        <v>1955</v>
      </c>
      <c r="I1905" s="383" t="s">
        <v>1625</v>
      </c>
      <c r="J1905" s="383">
        <v>1</v>
      </c>
      <c r="K1905" s="381" t="s">
        <v>1171</v>
      </c>
    </row>
    <row r="1906" spans="1:11" ht="15.75">
      <c r="A1906" s="579" t="s">
        <v>3596</v>
      </c>
      <c r="B1906" s="381" t="s">
        <v>1952</v>
      </c>
      <c r="C1906" s="381" t="s">
        <v>3598</v>
      </c>
      <c r="D1906" s="381" t="s">
        <v>2669</v>
      </c>
      <c r="E1906" s="451">
        <v>1500000</v>
      </c>
      <c r="F1906" s="381" t="s">
        <v>2292</v>
      </c>
      <c r="G1906" s="381" t="s">
        <v>2593</v>
      </c>
      <c r="H1906" s="383" t="s">
        <v>1955</v>
      </c>
      <c r="I1906" s="383" t="s">
        <v>1625</v>
      </c>
      <c r="J1906" s="383">
        <v>1</v>
      </c>
      <c r="K1906" s="381" t="s">
        <v>1245</v>
      </c>
    </row>
    <row r="1907" spans="1:11" ht="15.75">
      <c r="A1907" s="579">
        <v>44595</v>
      </c>
      <c r="B1907" s="381" t="s">
        <v>1952</v>
      </c>
      <c r="C1907" s="381" t="s">
        <v>895</v>
      </c>
      <c r="D1907" s="381" t="s">
        <v>2669</v>
      </c>
      <c r="E1907" s="451">
        <v>1450000</v>
      </c>
      <c r="F1907" s="381" t="s">
        <v>2292</v>
      </c>
      <c r="G1907" s="381" t="s">
        <v>30</v>
      </c>
      <c r="H1907" s="383" t="s">
        <v>1955</v>
      </c>
      <c r="I1907" s="383" t="s">
        <v>1625</v>
      </c>
      <c r="J1907" s="383">
        <v>1</v>
      </c>
      <c r="K1907" s="381" t="s">
        <v>1171</v>
      </c>
    </row>
    <row r="1908" spans="1:11" ht="15.75">
      <c r="A1908" s="579">
        <v>44654</v>
      </c>
      <c r="B1908" s="381" t="s">
        <v>1966</v>
      </c>
      <c r="C1908" s="381" t="s">
        <v>3599</v>
      </c>
      <c r="D1908" s="381" t="s">
        <v>2253</v>
      </c>
      <c r="E1908" s="451">
        <v>700000</v>
      </c>
      <c r="F1908" s="381" t="s">
        <v>1968</v>
      </c>
      <c r="G1908" s="381" t="s">
        <v>30</v>
      </c>
      <c r="H1908" s="383" t="s">
        <v>1625</v>
      </c>
      <c r="I1908" s="383" t="s">
        <v>1625</v>
      </c>
      <c r="J1908" s="383">
        <v>1</v>
      </c>
      <c r="K1908" s="381" t="s">
        <v>1245</v>
      </c>
    </row>
    <row r="1909" spans="1:11" ht="15.75">
      <c r="A1909" s="579">
        <v>44776</v>
      </c>
      <c r="B1909" s="381" t="s">
        <v>1966</v>
      </c>
      <c r="C1909" s="381" t="s">
        <v>3600</v>
      </c>
      <c r="D1909" s="381" t="s">
        <v>2841</v>
      </c>
      <c r="E1909" s="451">
        <v>1200000</v>
      </c>
      <c r="F1909" s="381" t="s">
        <v>1968</v>
      </c>
      <c r="G1909" s="381" t="s">
        <v>30</v>
      </c>
      <c r="H1909" s="383" t="s">
        <v>1625</v>
      </c>
      <c r="I1909" s="383" t="s">
        <v>1625</v>
      </c>
      <c r="J1909" s="383">
        <v>1</v>
      </c>
      <c r="K1909" s="381" t="s">
        <v>1171</v>
      </c>
    </row>
    <row r="1910" spans="1:11" ht="15.75">
      <c r="A1910" s="579">
        <v>44776</v>
      </c>
      <c r="B1910" s="381" t="s">
        <v>2182</v>
      </c>
      <c r="C1910" s="381" t="s">
        <v>892</v>
      </c>
      <c r="D1910" s="381" t="s">
        <v>2347</v>
      </c>
      <c r="E1910" s="451">
        <v>1450000</v>
      </c>
      <c r="F1910" s="381" t="s">
        <v>2292</v>
      </c>
      <c r="G1910" s="381" t="s">
        <v>2605</v>
      </c>
      <c r="H1910" s="383" t="s">
        <v>1625</v>
      </c>
      <c r="I1910" s="383" t="s">
        <v>1644</v>
      </c>
      <c r="J1910" s="383">
        <v>1</v>
      </c>
      <c r="K1910" s="381" t="s">
        <v>1245</v>
      </c>
    </row>
    <row r="1911" spans="1:11" ht="15.75">
      <c r="A1911" s="579">
        <v>44776</v>
      </c>
      <c r="B1911" s="381" t="s">
        <v>2182</v>
      </c>
      <c r="C1911" s="381" t="s">
        <v>896</v>
      </c>
      <c r="D1911" s="381" t="s">
        <v>2966</v>
      </c>
      <c r="E1911" s="451">
        <v>1350000</v>
      </c>
      <c r="F1911" s="381" t="s">
        <v>2292</v>
      </c>
      <c r="G1911" s="381" t="s">
        <v>2605</v>
      </c>
      <c r="H1911" s="383" t="s">
        <v>1625</v>
      </c>
      <c r="I1911" s="383" t="s">
        <v>1644</v>
      </c>
      <c r="J1911" s="383">
        <v>1</v>
      </c>
      <c r="K1911" s="381" t="s">
        <v>1171</v>
      </c>
    </row>
    <row r="1912" spans="1:11" ht="15.75">
      <c r="A1912" s="579">
        <v>44868</v>
      </c>
      <c r="B1912" s="381" t="s">
        <v>2182</v>
      </c>
      <c r="C1912" s="381" t="s">
        <v>898</v>
      </c>
      <c r="D1912" s="381" t="s">
        <v>2770</v>
      </c>
      <c r="E1912" s="451">
        <v>1450000</v>
      </c>
      <c r="F1912" s="381" t="s">
        <v>2292</v>
      </c>
      <c r="G1912" s="381" t="s">
        <v>2605</v>
      </c>
      <c r="H1912" s="383" t="s">
        <v>1625</v>
      </c>
      <c r="I1912" s="383" t="s">
        <v>1644</v>
      </c>
      <c r="J1912" s="383">
        <v>1</v>
      </c>
      <c r="K1912" s="381" t="s">
        <v>1245</v>
      </c>
    </row>
    <row r="1913" spans="1:11" ht="15.75">
      <c r="A1913" s="579">
        <v>44898</v>
      </c>
      <c r="B1913" s="381" t="s">
        <v>2182</v>
      </c>
      <c r="C1913" s="381" t="s">
        <v>3601</v>
      </c>
      <c r="D1913" s="381" t="s">
        <v>2661</v>
      </c>
      <c r="E1913" s="451">
        <v>900000</v>
      </c>
      <c r="F1913" s="381" t="s">
        <v>2292</v>
      </c>
      <c r="G1913" s="381" t="s">
        <v>2593</v>
      </c>
      <c r="H1913" s="383" t="s">
        <v>1955</v>
      </c>
      <c r="I1913" s="383" t="s">
        <v>1644</v>
      </c>
      <c r="J1913" s="383">
        <v>1</v>
      </c>
      <c r="K1913" s="381" t="s">
        <v>1171</v>
      </c>
    </row>
    <row r="1914" spans="1:11" ht="15.75">
      <c r="A1914" s="579" t="s">
        <v>3580</v>
      </c>
      <c r="B1914" s="381" t="s">
        <v>2182</v>
      </c>
      <c r="C1914" s="381" t="s">
        <v>875</v>
      </c>
      <c r="D1914" s="381" t="s">
        <v>3540</v>
      </c>
      <c r="E1914" s="451">
        <v>750000</v>
      </c>
      <c r="F1914" s="381" t="s">
        <v>2292</v>
      </c>
      <c r="G1914" s="381" t="s">
        <v>30</v>
      </c>
      <c r="H1914" s="383" t="s">
        <v>1625</v>
      </c>
      <c r="I1914" s="383" t="s">
        <v>1644</v>
      </c>
      <c r="J1914" s="383">
        <v>1</v>
      </c>
      <c r="K1914" s="381" t="s">
        <v>1245</v>
      </c>
    </row>
    <row r="1915" spans="1:11" ht="15.75">
      <c r="A1915" s="579" t="s">
        <v>3602</v>
      </c>
      <c r="B1915" s="381" t="s">
        <v>2060</v>
      </c>
      <c r="C1915" s="381" t="s">
        <v>3603</v>
      </c>
      <c r="D1915" s="381" t="s">
        <v>2347</v>
      </c>
      <c r="E1915" s="451">
        <v>1500000</v>
      </c>
      <c r="F1915" s="381" t="s">
        <v>2292</v>
      </c>
      <c r="G1915" s="381" t="s">
        <v>2593</v>
      </c>
      <c r="H1915" s="383" t="s">
        <v>1625</v>
      </c>
      <c r="I1915" s="383" t="s">
        <v>1644</v>
      </c>
      <c r="J1915" s="383">
        <v>1</v>
      </c>
      <c r="K1915" s="381" t="s">
        <v>1171</v>
      </c>
    </row>
    <row r="1916" spans="1:11" ht="15.75">
      <c r="A1916" s="579" t="s">
        <v>3568</v>
      </c>
      <c r="B1916" s="381" t="s">
        <v>1966</v>
      </c>
      <c r="C1916" s="381" t="s">
        <v>3604</v>
      </c>
      <c r="D1916" s="381" t="s">
        <v>2841</v>
      </c>
      <c r="E1916" s="451">
        <v>1350000</v>
      </c>
      <c r="F1916" s="381" t="s">
        <v>1968</v>
      </c>
      <c r="G1916" s="381" t="s">
        <v>2593</v>
      </c>
      <c r="H1916" s="383" t="s">
        <v>1955</v>
      </c>
      <c r="I1916" s="383" t="s">
        <v>1644</v>
      </c>
      <c r="J1916" s="383">
        <v>1</v>
      </c>
      <c r="K1916" s="381" t="s">
        <v>1245</v>
      </c>
    </row>
    <row r="1917" spans="1:11" ht="15.75">
      <c r="A1917" s="579" t="s">
        <v>3581</v>
      </c>
      <c r="B1917" s="381" t="s">
        <v>2182</v>
      </c>
      <c r="C1917" s="381" t="s">
        <v>901</v>
      </c>
      <c r="D1917" s="381" t="s">
        <v>2347</v>
      </c>
      <c r="E1917" s="451">
        <v>1350000</v>
      </c>
      <c r="F1917" s="381" t="s">
        <v>2292</v>
      </c>
      <c r="G1917" s="381" t="s">
        <v>30</v>
      </c>
      <c r="H1917" s="383" t="s">
        <v>1625</v>
      </c>
      <c r="I1917" s="383" t="s">
        <v>1644</v>
      </c>
      <c r="J1917" s="383">
        <v>1</v>
      </c>
      <c r="K1917" s="381" t="s">
        <v>1171</v>
      </c>
    </row>
    <row r="1918" spans="1:11" ht="15.75">
      <c r="A1918" s="579" t="s">
        <v>3581</v>
      </c>
      <c r="B1918" s="381" t="s">
        <v>2182</v>
      </c>
      <c r="C1918" s="381" t="s">
        <v>937</v>
      </c>
      <c r="D1918" s="381" t="s">
        <v>2669</v>
      </c>
      <c r="E1918" s="451">
        <v>1500000</v>
      </c>
      <c r="F1918" s="381" t="s">
        <v>2292</v>
      </c>
      <c r="G1918" s="381" t="s">
        <v>2605</v>
      </c>
      <c r="H1918" s="383" t="s">
        <v>1625</v>
      </c>
      <c r="I1918" s="383" t="s">
        <v>1644</v>
      </c>
      <c r="J1918" s="383">
        <v>1</v>
      </c>
      <c r="K1918" s="381" t="s">
        <v>1245</v>
      </c>
    </row>
    <row r="1919" spans="1:11" ht="15.75">
      <c r="A1919" s="579" t="s">
        <v>3585</v>
      </c>
      <c r="B1919" s="381" t="s">
        <v>2182</v>
      </c>
      <c r="C1919" s="381" t="s">
        <v>3605</v>
      </c>
      <c r="D1919" s="381" t="s">
        <v>2966</v>
      </c>
      <c r="E1919" s="451">
        <v>1350000</v>
      </c>
      <c r="F1919" s="381" t="s">
        <v>2292</v>
      </c>
      <c r="G1919" s="381" t="s">
        <v>2605</v>
      </c>
      <c r="H1919" s="383" t="s">
        <v>1955</v>
      </c>
      <c r="I1919" s="383" t="s">
        <v>1644</v>
      </c>
      <c r="J1919" s="383">
        <v>1</v>
      </c>
      <c r="K1919" s="381" t="s">
        <v>1171</v>
      </c>
    </row>
    <row r="1920" spans="1:11" ht="15.75">
      <c r="A1920" s="579" t="s">
        <v>3479</v>
      </c>
      <c r="B1920" s="381" t="s">
        <v>2182</v>
      </c>
      <c r="C1920" s="381" t="s">
        <v>3606</v>
      </c>
      <c r="D1920" s="381" t="s">
        <v>2661</v>
      </c>
      <c r="E1920" s="451">
        <v>950000</v>
      </c>
      <c r="F1920" s="381" t="s">
        <v>2292</v>
      </c>
      <c r="G1920" s="381" t="s">
        <v>2593</v>
      </c>
      <c r="H1920" s="383" t="s">
        <v>1955</v>
      </c>
      <c r="I1920" s="383" t="s">
        <v>1644</v>
      </c>
      <c r="J1920" s="383">
        <v>1</v>
      </c>
      <c r="K1920" s="381" t="s">
        <v>1171</v>
      </c>
    </row>
    <row r="1921" spans="1:11" ht="15.75">
      <c r="A1921" s="744" t="s">
        <v>3607</v>
      </c>
      <c r="B1921" s="381" t="s">
        <v>2182</v>
      </c>
      <c r="C1921" s="381" t="s">
        <v>948</v>
      </c>
      <c r="D1921" s="381" t="s">
        <v>2347</v>
      </c>
      <c r="E1921" s="451">
        <v>1500000</v>
      </c>
      <c r="F1921" s="381" t="s">
        <v>2292</v>
      </c>
      <c r="G1921" s="381" t="s">
        <v>2605</v>
      </c>
      <c r="H1921" s="383" t="s">
        <v>1955</v>
      </c>
      <c r="I1921" s="383" t="s">
        <v>1644</v>
      </c>
      <c r="J1921" s="383">
        <v>1</v>
      </c>
      <c r="K1921" s="381" t="s">
        <v>1245</v>
      </c>
    </row>
    <row r="1922" spans="1:11" ht="15.75">
      <c r="A1922" s="393" t="s">
        <v>3607</v>
      </c>
      <c r="B1922" s="610" t="s">
        <v>2182</v>
      </c>
      <c r="C1922" s="482" t="s">
        <v>887</v>
      </c>
      <c r="D1922" s="482" t="s">
        <v>3608</v>
      </c>
      <c r="E1922" s="483">
        <v>2000000</v>
      </c>
      <c r="F1922" s="482" t="s">
        <v>1968</v>
      </c>
      <c r="G1922" s="482" t="s">
        <v>2605</v>
      </c>
      <c r="H1922" s="484" t="s">
        <v>1625</v>
      </c>
      <c r="I1922" s="484" t="s">
        <v>1644</v>
      </c>
      <c r="J1922" s="484">
        <v>1</v>
      </c>
      <c r="K1922" s="482" t="s">
        <v>1171</v>
      </c>
    </row>
    <row r="1923" spans="1:11" ht="15.75">
      <c r="A1923" s="412" t="s">
        <v>3607</v>
      </c>
      <c r="B1923" s="411" t="s">
        <v>2182</v>
      </c>
      <c r="C1923" s="381" t="s">
        <v>3609</v>
      </c>
      <c r="D1923" s="381" t="s">
        <v>2326</v>
      </c>
      <c r="E1923" s="451">
        <v>1000000</v>
      </c>
      <c r="F1923" s="381" t="s">
        <v>2292</v>
      </c>
      <c r="G1923" s="381" t="s">
        <v>2605</v>
      </c>
      <c r="H1923" s="383" t="s">
        <v>1955</v>
      </c>
      <c r="I1923" s="383" t="s">
        <v>1644</v>
      </c>
      <c r="J1923" s="383">
        <v>1</v>
      </c>
      <c r="K1923" s="381" t="s">
        <v>1245</v>
      </c>
    </row>
    <row r="1924" spans="1:11" ht="15.75">
      <c r="A1924" s="928" t="s">
        <v>3607</v>
      </c>
      <c r="B1924" s="420" t="s">
        <v>2182</v>
      </c>
      <c r="C1924" s="743" t="s">
        <v>3610</v>
      </c>
      <c r="D1924" s="633" t="s">
        <v>3611</v>
      </c>
      <c r="E1924" s="644">
        <v>800000</v>
      </c>
      <c r="F1924" s="633" t="s">
        <v>2292</v>
      </c>
      <c r="G1924" s="633" t="s">
        <v>30</v>
      </c>
      <c r="H1924" s="635" t="s">
        <v>1955</v>
      </c>
      <c r="I1924" s="635" t="s">
        <v>1644</v>
      </c>
      <c r="J1924" s="387">
        <v>1</v>
      </c>
      <c r="K1924" s="385" t="s">
        <v>1171</v>
      </c>
    </row>
    <row r="1925" spans="1:11" ht="15.75">
      <c r="A1925" s="456"/>
      <c r="B1925" s="457"/>
      <c r="C1925" s="457"/>
      <c r="D1925" s="457"/>
      <c r="E1925" s="476"/>
      <c r="F1925" s="457"/>
      <c r="G1925" s="457"/>
      <c r="H1925" s="153"/>
      <c r="I1925" s="153"/>
      <c r="J1925" s="493">
        <f>SUM(J1902:J1924)</f>
        <v>23</v>
      </c>
      <c r="K1925" s="457"/>
    </row>
    <row r="1926" spans="1:11" ht="15.75">
      <c r="A1926" s="394"/>
      <c r="B1926" s="395"/>
      <c r="C1926" s="395"/>
      <c r="D1926" s="395"/>
      <c r="E1926" s="396"/>
      <c r="F1926" s="397"/>
      <c r="G1926" s="397"/>
      <c r="H1926" s="395"/>
      <c r="I1926" s="395"/>
      <c r="J1926" s="395"/>
      <c r="K1926" s="395"/>
    </row>
    <row r="1927" spans="1:11" ht="15.75">
      <c r="A1927" s="394"/>
      <c r="B1927" s="395"/>
      <c r="C1927" s="395"/>
      <c r="D1927" s="395"/>
      <c r="E1927" s="396"/>
      <c r="F1927" s="397"/>
      <c r="G1927" s="397"/>
      <c r="H1927" s="395"/>
      <c r="I1927" s="395"/>
      <c r="J1927" s="395"/>
      <c r="K1927" s="395"/>
    </row>
    <row r="1929" spans="1:11" ht="26.25">
      <c r="A1929" s="1668" t="s">
        <v>3612</v>
      </c>
      <c r="B1929" s="1669"/>
      <c r="C1929" s="1669"/>
      <c r="D1929" s="1669"/>
      <c r="E1929" s="1669"/>
      <c r="F1929" s="1669"/>
      <c r="G1929" s="1669"/>
      <c r="H1929" s="1669"/>
      <c r="I1929" s="1669"/>
      <c r="J1929" s="1669"/>
      <c r="K1929" s="1670"/>
    </row>
    <row r="1930" spans="1:11" ht="31.5">
      <c r="A1930" s="378" t="s">
        <v>1941</v>
      </c>
      <c r="B1930" s="378" t="s">
        <v>1942</v>
      </c>
      <c r="C1930" s="378" t="s">
        <v>1943</v>
      </c>
      <c r="D1930" s="378" t="s">
        <v>1944</v>
      </c>
      <c r="E1930" s="452" t="s">
        <v>1945</v>
      </c>
      <c r="F1930" s="378" t="s">
        <v>1946</v>
      </c>
      <c r="G1930" s="378" t="s">
        <v>2590</v>
      </c>
      <c r="H1930" s="378" t="s">
        <v>1947</v>
      </c>
      <c r="I1930" s="378" t="s">
        <v>1948</v>
      </c>
      <c r="J1930" s="453" t="s">
        <v>1949</v>
      </c>
      <c r="K1930" s="378" t="s">
        <v>1950</v>
      </c>
    </row>
    <row r="1931" spans="1:11" ht="15.75">
      <c r="A1931" s="922">
        <v>44745</v>
      </c>
      <c r="B1931" s="618" t="s">
        <v>2182</v>
      </c>
      <c r="C1931" s="472" t="s">
        <v>3613</v>
      </c>
      <c r="D1931" s="472" t="s">
        <v>3614</v>
      </c>
      <c r="E1931" s="475">
        <v>350000000</v>
      </c>
      <c r="F1931" s="472" t="s">
        <v>2292</v>
      </c>
      <c r="G1931" s="472" t="s">
        <v>2593</v>
      </c>
      <c r="H1931" s="473" t="s">
        <v>1955</v>
      </c>
      <c r="I1931" s="473" t="s">
        <v>1644</v>
      </c>
      <c r="J1931" s="473">
        <v>1</v>
      </c>
      <c r="K1931" s="472" t="s">
        <v>2629</v>
      </c>
    </row>
    <row r="1932" spans="1:11" ht="15.75">
      <c r="A1932" s="922">
        <v>44868</v>
      </c>
      <c r="B1932" s="618" t="s">
        <v>2182</v>
      </c>
      <c r="C1932" s="578" t="s">
        <v>874</v>
      </c>
      <c r="D1932" s="472" t="s">
        <v>3059</v>
      </c>
      <c r="E1932" s="475">
        <v>225000000</v>
      </c>
      <c r="F1932" s="472" t="s">
        <v>2292</v>
      </c>
      <c r="G1932" s="472" t="s">
        <v>2593</v>
      </c>
      <c r="H1932" s="473" t="s">
        <v>1955</v>
      </c>
      <c r="I1932" s="473" t="s">
        <v>1644</v>
      </c>
      <c r="J1932" s="473">
        <v>1</v>
      </c>
      <c r="K1932" s="472" t="s">
        <v>2629</v>
      </c>
    </row>
    <row r="1933" spans="1:11" ht="15.75">
      <c r="A1933" s="932" t="s">
        <v>3568</v>
      </c>
      <c r="B1933" s="821" t="s">
        <v>2182</v>
      </c>
      <c r="C1933" s="820" t="s">
        <v>3615</v>
      </c>
      <c r="D1933" s="472" t="s">
        <v>3616</v>
      </c>
      <c r="E1933" s="475">
        <v>345000000</v>
      </c>
      <c r="F1933" s="472" t="s">
        <v>1968</v>
      </c>
      <c r="G1933" s="472" t="s">
        <v>2593</v>
      </c>
      <c r="H1933" s="473" t="s">
        <v>1955</v>
      </c>
      <c r="I1933" s="473" t="s">
        <v>1644</v>
      </c>
      <c r="J1933" s="473">
        <v>1</v>
      </c>
      <c r="K1933" s="472" t="s">
        <v>2629</v>
      </c>
    </row>
    <row r="1934" spans="1:11" ht="15.75">
      <c r="A1934" s="384" t="s">
        <v>3596</v>
      </c>
      <c r="B1934" s="577" t="s">
        <v>1952</v>
      </c>
      <c r="C1934" s="385" t="s">
        <v>3617</v>
      </c>
      <c r="D1934" s="385" t="s">
        <v>3059</v>
      </c>
      <c r="E1934" s="462">
        <v>1450000</v>
      </c>
      <c r="F1934" s="385" t="s">
        <v>2461</v>
      </c>
      <c r="G1934" s="385" t="s">
        <v>2605</v>
      </c>
      <c r="H1934" s="387" t="s">
        <v>1625</v>
      </c>
      <c r="I1934" s="387" t="s">
        <v>1625</v>
      </c>
      <c r="J1934" s="387">
        <v>1</v>
      </c>
      <c r="K1934" s="385" t="s">
        <v>1245</v>
      </c>
    </row>
    <row r="1935" spans="1:11" ht="15.75">
      <c r="A1935" s="384">
        <v>44564</v>
      </c>
      <c r="B1935" s="577" t="s">
        <v>1952</v>
      </c>
      <c r="C1935" s="426" t="s">
        <v>908</v>
      </c>
      <c r="D1935" s="385" t="s">
        <v>3059</v>
      </c>
      <c r="E1935" s="462">
        <v>1850000</v>
      </c>
      <c r="F1935" s="385" t="s">
        <v>2292</v>
      </c>
      <c r="G1935" s="385" t="s">
        <v>30</v>
      </c>
      <c r="H1935" s="387" t="s">
        <v>1625</v>
      </c>
      <c r="I1935" s="387" t="s">
        <v>1625</v>
      </c>
      <c r="J1935" s="387">
        <v>1</v>
      </c>
      <c r="K1935" s="385" t="s">
        <v>1245</v>
      </c>
    </row>
    <row r="1936" spans="1:11" ht="15.75">
      <c r="A1936" s="384">
        <v>44595</v>
      </c>
      <c r="B1936" s="577" t="s">
        <v>1952</v>
      </c>
      <c r="C1936" s="426" t="s">
        <v>3045</v>
      </c>
      <c r="D1936" s="385" t="s">
        <v>2326</v>
      </c>
      <c r="E1936" s="462">
        <v>1050000</v>
      </c>
      <c r="F1936" s="385" t="s">
        <v>1968</v>
      </c>
      <c r="G1936" s="385" t="s">
        <v>2593</v>
      </c>
      <c r="H1936" s="387" t="s">
        <v>1625</v>
      </c>
      <c r="I1936" s="387" t="s">
        <v>1625</v>
      </c>
      <c r="J1936" s="387">
        <v>1</v>
      </c>
      <c r="K1936" s="385" t="s">
        <v>1171</v>
      </c>
    </row>
    <row r="1937" spans="1:11" ht="15.75">
      <c r="A1937" s="412">
        <v>44623</v>
      </c>
      <c r="B1937" s="381" t="s">
        <v>1952</v>
      </c>
      <c r="C1937" s="426" t="s">
        <v>1697</v>
      </c>
      <c r="D1937" s="385" t="s">
        <v>3059</v>
      </c>
      <c r="E1937" s="462">
        <v>1450000</v>
      </c>
      <c r="F1937" s="385" t="s">
        <v>2292</v>
      </c>
      <c r="G1937" s="385" t="s">
        <v>2593</v>
      </c>
      <c r="H1937" s="387" t="s">
        <v>1625</v>
      </c>
      <c r="I1937" s="387" t="s">
        <v>1625</v>
      </c>
      <c r="J1937" s="387">
        <v>1</v>
      </c>
      <c r="K1937" s="385" t="s">
        <v>1245</v>
      </c>
    </row>
    <row r="1938" spans="1:11" ht="15.75">
      <c r="A1938" s="412">
        <v>44623</v>
      </c>
      <c r="B1938" s="381" t="s">
        <v>1952</v>
      </c>
      <c r="C1938" s="426" t="s">
        <v>3618</v>
      </c>
      <c r="D1938" s="385" t="s">
        <v>3059</v>
      </c>
      <c r="E1938" s="462">
        <v>1500000</v>
      </c>
      <c r="F1938" s="385" t="s">
        <v>2292</v>
      </c>
      <c r="G1938" s="385" t="s">
        <v>2593</v>
      </c>
      <c r="H1938" s="387" t="s">
        <v>1625</v>
      </c>
      <c r="I1938" s="387" t="s">
        <v>1625</v>
      </c>
      <c r="J1938" s="387">
        <v>1</v>
      </c>
      <c r="K1938" s="385" t="s">
        <v>1171</v>
      </c>
    </row>
    <row r="1939" spans="1:11" ht="15.75">
      <c r="A1939" s="412">
        <v>44745</v>
      </c>
      <c r="B1939" s="381" t="s">
        <v>2182</v>
      </c>
      <c r="C1939" s="426" t="s">
        <v>3619</v>
      </c>
      <c r="D1939" s="385" t="s">
        <v>3620</v>
      </c>
      <c r="E1939" s="462">
        <v>1100000</v>
      </c>
      <c r="F1939" s="385" t="s">
        <v>1968</v>
      </c>
      <c r="G1939" s="385" t="s">
        <v>2593</v>
      </c>
      <c r="H1939" s="387" t="s">
        <v>1625</v>
      </c>
      <c r="I1939" s="387" t="s">
        <v>1644</v>
      </c>
      <c r="J1939" s="387">
        <v>1</v>
      </c>
      <c r="K1939" s="385" t="s">
        <v>1171</v>
      </c>
    </row>
    <row r="1940" spans="1:11" ht="15.75">
      <c r="A1940" s="928">
        <v>44776</v>
      </c>
      <c r="B1940" s="420" t="s">
        <v>2182</v>
      </c>
      <c r="C1940" s="743" t="s">
        <v>3621</v>
      </c>
      <c r="D1940" s="633" t="s">
        <v>75</v>
      </c>
      <c r="E1940" s="644">
        <v>1400000</v>
      </c>
      <c r="F1940" s="633" t="s">
        <v>1968</v>
      </c>
      <c r="G1940" s="633" t="s">
        <v>2605</v>
      </c>
      <c r="H1940" s="635" t="s">
        <v>1955</v>
      </c>
      <c r="I1940" s="635" t="s">
        <v>1644</v>
      </c>
      <c r="J1940" s="387">
        <v>1</v>
      </c>
      <c r="K1940" s="385" t="s">
        <v>1245</v>
      </c>
    </row>
    <row r="1941" spans="1:11" ht="15.75">
      <c r="A1941" s="928">
        <v>44837</v>
      </c>
      <c r="B1941" s="420" t="s">
        <v>2182</v>
      </c>
      <c r="C1941" s="743" t="s">
        <v>3622</v>
      </c>
      <c r="D1941" s="633" t="s">
        <v>2711</v>
      </c>
      <c r="E1941" s="644">
        <v>1650000</v>
      </c>
      <c r="F1941" s="633" t="s">
        <v>2292</v>
      </c>
      <c r="G1941" s="633" t="s">
        <v>2593</v>
      </c>
      <c r="H1941" s="635" t="s">
        <v>1955</v>
      </c>
      <c r="I1941" s="635" t="s">
        <v>1644</v>
      </c>
      <c r="J1941" s="387">
        <v>1</v>
      </c>
      <c r="K1941" s="385" t="s">
        <v>1171</v>
      </c>
    </row>
    <row r="1942" spans="1:11" ht="15.75">
      <c r="A1942" s="928">
        <v>44837</v>
      </c>
      <c r="B1942" s="420" t="s">
        <v>1966</v>
      </c>
      <c r="C1942" s="743" t="s">
        <v>3623</v>
      </c>
      <c r="D1942" s="633" t="s">
        <v>2669</v>
      </c>
      <c r="E1942" s="644">
        <v>1450000</v>
      </c>
      <c r="F1942" s="633" t="s">
        <v>1968</v>
      </c>
      <c r="G1942" s="633" t="s">
        <v>30</v>
      </c>
      <c r="H1942" s="635" t="s">
        <v>1955</v>
      </c>
      <c r="I1942" s="635" t="s">
        <v>1644</v>
      </c>
      <c r="J1942" s="387">
        <v>1</v>
      </c>
      <c r="K1942" s="385" t="s">
        <v>1245</v>
      </c>
    </row>
    <row r="1943" spans="1:11" ht="15.75">
      <c r="A1943" s="928">
        <v>44868</v>
      </c>
      <c r="B1943" s="420" t="s">
        <v>2182</v>
      </c>
      <c r="C1943" s="743" t="s">
        <v>874</v>
      </c>
      <c r="D1943" s="633" t="s">
        <v>75</v>
      </c>
      <c r="E1943" s="644">
        <v>1250000</v>
      </c>
      <c r="F1943" s="633" t="s">
        <v>2292</v>
      </c>
      <c r="G1943" s="633" t="s">
        <v>2593</v>
      </c>
      <c r="H1943" s="635" t="s">
        <v>1955</v>
      </c>
      <c r="I1943" s="635" t="s">
        <v>1644</v>
      </c>
      <c r="J1943" s="387">
        <v>1</v>
      </c>
      <c r="K1943" s="385" t="s">
        <v>1171</v>
      </c>
    </row>
    <row r="1944" spans="1:11" ht="15.75">
      <c r="A1944" s="412">
        <v>44868</v>
      </c>
      <c r="B1944" s="411" t="s">
        <v>2182</v>
      </c>
      <c r="C1944" s="381" t="s">
        <v>3624</v>
      </c>
      <c r="D1944" s="381" t="s">
        <v>2711</v>
      </c>
      <c r="E1944" s="451">
        <v>3000000</v>
      </c>
      <c r="F1944" s="381" t="s">
        <v>1968</v>
      </c>
      <c r="G1944" s="381" t="s">
        <v>2593</v>
      </c>
      <c r="H1944" s="383" t="s">
        <v>1625</v>
      </c>
      <c r="I1944" s="383" t="s">
        <v>1644</v>
      </c>
      <c r="J1944" s="383">
        <v>1</v>
      </c>
      <c r="K1944" s="381" t="s">
        <v>1245</v>
      </c>
    </row>
    <row r="1945" spans="1:11" ht="15.75">
      <c r="A1945" s="479" t="s">
        <v>3580</v>
      </c>
      <c r="B1945" s="612" t="s">
        <v>2182</v>
      </c>
      <c r="C1945" s="426" t="s">
        <v>1983</v>
      </c>
      <c r="D1945" s="385" t="s">
        <v>2711</v>
      </c>
      <c r="E1945" s="462">
        <v>1200000</v>
      </c>
      <c r="F1945" s="385" t="s">
        <v>2292</v>
      </c>
      <c r="G1945" s="385" t="s">
        <v>2593</v>
      </c>
      <c r="H1945" s="387" t="s">
        <v>1625</v>
      </c>
      <c r="I1945" s="387" t="s">
        <v>1644</v>
      </c>
      <c r="J1945" s="387">
        <v>1</v>
      </c>
      <c r="K1945" s="385" t="s">
        <v>1171</v>
      </c>
    </row>
    <row r="1946" spans="1:11" ht="15.75">
      <c r="A1946" s="928" t="s">
        <v>3568</v>
      </c>
      <c r="B1946" s="420" t="s">
        <v>2060</v>
      </c>
      <c r="C1946" s="743" t="s">
        <v>3625</v>
      </c>
      <c r="D1946" s="633" t="s">
        <v>3626</v>
      </c>
      <c r="E1946" s="644">
        <v>2500000</v>
      </c>
      <c r="F1946" s="633" t="s">
        <v>1968</v>
      </c>
      <c r="G1946" s="633" t="s">
        <v>2593</v>
      </c>
      <c r="H1946" s="635" t="s">
        <v>1955</v>
      </c>
      <c r="I1946" s="635" t="s">
        <v>1644</v>
      </c>
      <c r="J1946" s="387">
        <v>1</v>
      </c>
      <c r="K1946" s="385" t="s">
        <v>1245</v>
      </c>
    </row>
    <row r="1947" spans="1:11" ht="15.75">
      <c r="A1947" s="928" t="s">
        <v>3568</v>
      </c>
      <c r="B1947" s="420" t="s">
        <v>2060</v>
      </c>
      <c r="C1947" s="743" t="s">
        <v>3627</v>
      </c>
      <c r="D1947" s="633" t="s">
        <v>2711</v>
      </c>
      <c r="E1947" s="644">
        <v>500000</v>
      </c>
      <c r="F1947" s="633" t="s">
        <v>1968</v>
      </c>
      <c r="G1947" s="633" t="s">
        <v>2593</v>
      </c>
      <c r="H1947" s="635" t="s">
        <v>1955</v>
      </c>
      <c r="I1947" s="635" t="s">
        <v>1625</v>
      </c>
      <c r="J1947" s="387">
        <v>1</v>
      </c>
      <c r="K1947" s="385" t="s">
        <v>1171</v>
      </c>
    </row>
    <row r="1948" spans="1:11" ht="15.75">
      <c r="A1948" s="928" t="s">
        <v>3568</v>
      </c>
      <c r="B1948" s="420" t="s">
        <v>2060</v>
      </c>
      <c r="C1948" s="743" t="s">
        <v>3628</v>
      </c>
      <c r="D1948" s="633" t="s">
        <v>2711</v>
      </c>
      <c r="E1948" s="644">
        <v>500000</v>
      </c>
      <c r="F1948" s="633" t="s">
        <v>1968</v>
      </c>
      <c r="G1948" s="633" t="s">
        <v>2593</v>
      </c>
      <c r="H1948" s="635" t="s">
        <v>1955</v>
      </c>
      <c r="I1948" s="635" t="s">
        <v>1644</v>
      </c>
      <c r="J1948" s="387">
        <v>1</v>
      </c>
      <c r="K1948" s="385" t="s">
        <v>1245</v>
      </c>
    </row>
    <row r="1949" spans="1:11" ht="15.75">
      <c r="A1949" s="928" t="s">
        <v>3581</v>
      </c>
      <c r="B1949" s="420" t="s">
        <v>2060</v>
      </c>
      <c r="C1949" s="743" t="s">
        <v>3629</v>
      </c>
      <c r="D1949" s="633" t="s">
        <v>2711</v>
      </c>
      <c r="E1949" s="644">
        <v>2000000</v>
      </c>
      <c r="F1949" s="633" t="s">
        <v>1968</v>
      </c>
      <c r="G1949" s="633" t="s">
        <v>2593</v>
      </c>
      <c r="H1949" s="635" t="s">
        <v>1625</v>
      </c>
      <c r="I1949" s="635" t="s">
        <v>1644</v>
      </c>
      <c r="J1949" s="387">
        <v>1</v>
      </c>
      <c r="K1949" s="385" t="s">
        <v>1171</v>
      </c>
    </row>
    <row r="1950" spans="1:11" ht="15.75">
      <c r="A1950" s="928" t="s">
        <v>3581</v>
      </c>
      <c r="B1950" s="420" t="s">
        <v>2060</v>
      </c>
      <c r="C1950" s="743" t="s">
        <v>3630</v>
      </c>
      <c r="D1950" s="633" t="s">
        <v>2711</v>
      </c>
      <c r="E1950" s="644">
        <v>2000000</v>
      </c>
      <c r="F1950" s="633" t="s">
        <v>1968</v>
      </c>
      <c r="G1950" s="633" t="s">
        <v>2593</v>
      </c>
      <c r="H1950" s="635" t="s">
        <v>1625</v>
      </c>
      <c r="I1950" s="635" t="s">
        <v>1644</v>
      </c>
      <c r="J1950" s="387">
        <v>1</v>
      </c>
      <c r="K1950" s="385" t="s">
        <v>1245</v>
      </c>
    </row>
    <row r="1951" spans="1:11" ht="15.75">
      <c r="A1951" s="928" t="s">
        <v>3585</v>
      </c>
      <c r="B1951" s="420" t="s">
        <v>1966</v>
      </c>
      <c r="C1951" s="743" t="s">
        <v>3631</v>
      </c>
      <c r="D1951" s="633" t="s">
        <v>3632</v>
      </c>
      <c r="E1951" s="644">
        <v>1550000</v>
      </c>
      <c r="F1951" s="633" t="s">
        <v>1968</v>
      </c>
      <c r="G1951" s="633" t="s">
        <v>2593</v>
      </c>
      <c r="H1951" s="635" t="s">
        <v>1955</v>
      </c>
      <c r="I1951" s="635" t="s">
        <v>1644</v>
      </c>
      <c r="J1951" s="387">
        <v>1</v>
      </c>
      <c r="K1951" s="385" t="s">
        <v>1171</v>
      </c>
    </row>
    <row r="1952" spans="1:11" ht="15.75">
      <c r="A1952" s="928" t="s">
        <v>3585</v>
      </c>
      <c r="B1952" s="420" t="s">
        <v>2182</v>
      </c>
      <c r="C1952" s="743" t="s">
        <v>3633</v>
      </c>
      <c r="D1952" s="633" t="s">
        <v>2326</v>
      </c>
      <c r="E1952" s="644">
        <v>1000000</v>
      </c>
      <c r="F1952" s="633" t="s">
        <v>2292</v>
      </c>
      <c r="G1952" s="633" t="s">
        <v>2605</v>
      </c>
      <c r="H1952" s="635" t="s">
        <v>1955</v>
      </c>
      <c r="I1952" s="635" t="s">
        <v>1644</v>
      </c>
      <c r="J1952" s="387">
        <v>1</v>
      </c>
      <c r="K1952" s="385" t="s">
        <v>1245</v>
      </c>
    </row>
    <row r="1953" spans="1:11" ht="15.75">
      <c r="A1953" s="928" t="s">
        <v>3586</v>
      </c>
      <c r="B1953" s="420" t="s">
        <v>2182</v>
      </c>
      <c r="C1953" s="743" t="s">
        <v>3634</v>
      </c>
      <c r="D1953" s="633" t="s">
        <v>2711</v>
      </c>
      <c r="E1953" s="644">
        <v>1300000</v>
      </c>
      <c r="F1953" s="633" t="s">
        <v>2292</v>
      </c>
      <c r="G1953" s="633" t="s">
        <v>2593</v>
      </c>
      <c r="H1953" s="635" t="s">
        <v>1955</v>
      </c>
      <c r="I1953" s="635" t="s">
        <v>1644</v>
      </c>
      <c r="J1953" s="387">
        <v>1</v>
      </c>
      <c r="K1953" s="385" t="s">
        <v>1171</v>
      </c>
    </row>
    <row r="1954" spans="1:11" ht="15.75">
      <c r="A1954" s="419"/>
      <c r="B1954" s="420"/>
      <c r="C1954" s="457"/>
      <c r="D1954" s="457"/>
      <c r="E1954" s="458"/>
      <c r="F1954" s="457"/>
      <c r="G1954" s="457"/>
      <c r="H1954" s="457"/>
      <c r="I1954" s="457"/>
      <c r="J1954" s="493">
        <f>SUM(J1931:J1953)</f>
        <v>23</v>
      </c>
      <c r="K1954" s="457"/>
    </row>
    <row r="1955" spans="1:11" ht="15.75">
      <c r="A1955" s="394"/>
      <c r="B1955" s="395"/>
      <c r="C1955" s="395"/>
      <c r="D1955" s="395"/>
      <c r="E1955" s="396"/>
      <c r="F1955" s="395"/>
      <c r="G1955" s="395"/>
      <c r="H1955" s="395"/>
      <c r="I1955" s="395"/>
      <c r="J1955" s="397"/>
      <c r="K1955" s="395"/>
    </row>
    <row r="1956" spans="1:11" ht="15.75">
      <c r="A1956" s="394"/>
      <c r="B1956" s="395"/>
      <c r="C1956" s="395"/>
      <c r="D1956" s="395"/>
      <c r="E1956" s="396"/>
      <c r="F1956" s="395"/>
      <c r="G1956" s="395"/>
      <c r="H1956" s="395"/>
      <c r="I1956" s="395"/>
      <c r="J1956" s="397"/>
      <c r="K1956" s="395"/>
    </row>
    <row r="1957" spans="1:11" ht="26.25">
      <c r="A1957" s="1668" t="s">
        <v>3635</v>
      </c>
      <c r="B1957" s="1669"/>
      <c r="C1957" s="1669"/>
      <c r="D1957" s="1669"/>
      <c r="E1957" s="1669"/>
      <c r="F1957" s="1669"/>
      <c r="G1957" s="1669"/>
      <c r="H1957" s="1669"/>
      <c r="I1957" s="1669"/>
      <c r="J1957" s="1669"/>
      <c r="K1957" s="1670"/>
    </row>
    <row r="1958" spans="1:11" ht="31.5">
      <c r="A1958" s="375" t="s">
        <v>1941</v>
      </c>
      <c r="B1958" s="378" t="s">
        <v>1942</v>
      </c>
      <c r="C1958" s="378" t="s">
        <v>1943</v>
      </c>
      <c r="D1958" s="378" t="s">
        <v>1944</v>
      </c>
      <c r="E1958" s="452" t="s">
        <v>1945</v>
      </c>
      <c r="F1958" s="378" t="s">
        <v>1946</v>
      </c>
      <c r="G1958" s="378" t="s">
        <v>2590</v>
      </c>
      <c r="H1958" s="378" t="s">
        <v>1947</v>
      </c>
      <c r="I1958" s="378" t="s">
        <v>1948</v>
      </c>
      <c r="J1958" s="453" t="s">
        <v>1949</v>
      </c>
      <c r="K1958" s="378" t="s">
        <v>1950</v>
      </c>
    </row>
    <row r="1959" spans="1:11" ht="15.75">
      <c r="A1959" s="443" t="s">
        <v>3585</v>
      </c>
      <c r="B1959" s="653" t="s">
        <v>2182</v>
      </c>
      <c r="C1959" s="381" t="s">
        <v>900</v>
      </c>
      <c r="D1959" s="426" t="s">
        <v>3636</v>
      </c>
      <c r="E1959" s="462">
        <v>1300000</v>
      </c>
      <c r="F1959" s="385" t="s">
        <v>2292</v>
      </c>
      <c r="G1959" s="385" t="s">
        <v>30</v>
      </c>
      <c r="H1959" s="387" t="s">
        <v>1625</v>
      </c>
      <c r="I1959" s="387" t="s">
        <v>1644</v>
      </c>
      <c r="J1959" s="387">
        <v>1</v>
      </c>
      <c r="K1959" s="385" t="s">
        <v>1245</v>
      </c>
    </row>
    <row r="1960" spans="1:11">
      <c r="A1960" s="109"/>
      <c r="B1960" s="80"/>
      <c r="C1960" s="80"/>
      <c r="D1960" s="80"/>
      <c r="E1960" s="119"/>
      <c r="F1960" s="71"/>
      <c r="G1960" s="71"/>
      <c r="H1960" s="80"/>
      <c r="I1960" s="80"/>
      <c r="J1960" s="80"/>
      <c r="K1960" s="80"/>
    </row>
    <row r="1961" spans="1:11" ht="15.75">
      <c r="A1961" s="109"/>
      <c r="B1961" s="80"/>
      <c r="C1961" s="80"/>
      <c r="D1961" s="80"/>
      <c r="E1961" s="119"/>
      <c r="F1961" s="71"/>
      <c r="G1961" s="71"/>
      <c r="H1961" s="80"/>
      <c r="I1961" s="80"/>
      <c r="J1961" s="493">
        <f>SUM(J1959:J1960)</f>
        <v>1</v>
      </c>
      <c r="K1961" s="80"/>
    </row>
    <row r="1964" spans="1:11" ht="26.25">
      <c r="A1964" s="1668" t="s">
        <v>3637</v>
      </c>
      <c r="B1964" s="1669"/>
      <c r="C1964" s="1669"/>
      <c r="D1964" s="1669"/>
      <c r="E1964" s="1669"/>
      <c r="F1964" s="1669"/>
      <c r="G1964" s="1669"/>
      <c r="H1964" s="1669"/>
      <c r="I1964" s="1669"/>
      <c r="J1964" s="1669"/>
      <c r="K1964" s="1670"/>
    </row>
    <row r="1965" spans="1:11" ht="31.5">
      <c r="A1965" s="375" t="s">
        <v>1941</v>
      </c>
      <c r="B1965" s="378" t="s">
        <v>1942</v>
      </c>
      <c r="C1965" s="378" t="s">
        <v>1943</v>
      </c>
      <c r="D1965" s="378" t="s">
        <v>1944</v>
      </c>
      <c r="E1965" s="452" t="s">
        <v>1945</v>
      </c>
      <c r="F1965" s="378" t="s">
        <v>1946</v>
      </c>
      <c r="G1965" s="378" t="s">
        <v>2590</v>
      </c>
      <c r="H1965" s="378" t="s">
        <v>1947</v>
      </c>
      <c r="I1965" s="378" t="s">
        <v>1948</v>
      </c>
      <c r="J1965" s="453" t="s">
        <v>1949</v>
      </c>
      <c r="K1965" s="378" t="s">
        <v>1950</v>
      </c>
    </row>
    <row r="1966" spans="1:11" ht="15.75">
      <c r="A1966" s="1059">
        <v>44745</v>
      </c>
      <c r="B1966" s="1060" t="s">
        <v>2182</v>
      </c>
      <c r="C1966" s="1061" t="s">
        <v>3638</v>
      </c>
      <c r="D1966" s="1062" t="s">
        <v>3059</v>
      </c>
      <c r="E1966" s="1063">
        <v>350000000</v>
      </c>
      <c r="F1966" s="1064" t="s">
        <v>1968</v>
      </c>
      <c r="G1966" s="1064" t="s">
        <v>2593</v>
      </c>
      <c r="H1966" s="1065" t="s">
        <v>1955</v>
      </c>
      <c r="I1966" s="1065" t="s">
        <v>1644</v>
      </c>
      <c r="J1966" s="1065">
        <v>1</v>
      </c>
      <c r="K1966" s="1064" t="s">
        <v>2629</v>
      </c>
    </row>
    <row r="1967" spans="1:11" ht="15.75">
      <c r="A1967" s="1059">
        <v>44745</v>
      </c>
      <c r="B1967" s="1060" t="s">
        <v>2182</v>
      </c>
      <c r="C1967" s="1061" t="s">
        <v>3639</v>
      </c>
      <c r="D1967" s="1062" t="s">
        <v>3059</v>
      </c>
      <c r="E1967" s="1063">
        <v>381000000</v>
      </c>
      <c r="F1967" s="1064" t="s">
        <v>1968</v>
      </c>
      <c r="G1967" s="1064" t="s">
        <v>2593</v>
      </c>
      <c r="H1967" s="1065" t="s">
        <v>1955</v>
      </c>
      <c r="I1967" s="1065" t="s">
        <v>1644</v>
      </c>
      <c r="J1967" s="1065">
        <v>1</v>
      </c>
      <c r="K1967" s="1064" t="s">
        <v>2629</v>
      </c>
    </row>
    <row r="1968" spans="1:11" ht="15.75">
      <c r="A1968" s="1059">
        <v>44807</v>
      </c>
      <c r="B1968" s="1060" t="s">
        <v>2182</v>
      </c>
      <c r="C1968" s="1061" t="s">
        <v>3640</v>
      </c>
      <c r="D1968" s="1062" t="s">
        <v>3059</v>
      </c>
      <c r="E1968" s="1063">
        <v>292000000</v>
      </c>
      <c r="F1968" s="1064" t="s">
        <v>1968</v>
      </c>
      <c r="G1968" s="1064" t="s">
        <v>2593</v>
      </c>
      <c r="H1968" s="1065" t="s">
        <v>1955</v>
      </c>
      <c r="I1968" s="1065" t="s">
        <v>1644</v>
      </c>
      <c r="J1968" s="1065">
        <v>1</v>
      </c>
      <c r="K1968" s="1064" t="s">
        <v>2629</v>
      </c>
    </row>
    <row r="1969" spans="1:11" ht="15.75">
      <c r="A1969" s="1059">
        <v>44807</v>
      </c>
      <c r="B1969" s="1064" t="s">
        <v>1966</v>
      </c>
      <c r="C1969" s="1064" t="s">
        <v>3641</v>
      </c>
      <c r="D1969" s="1062" t="s">
        <v>1957</v>
      </c>
      <c r="E1969" s="1066">
        <v>1400000000</v>
      </c>
      <c r="F1969" s="1061" t="s">
        <v>1968</v>
      </c>
      <c r="G1969" s="1061" t="s">
        <v>2593</v>
      </c>
      <c r="H1969" s="1067" t="s">
        <v>1955</v>
      </c>
      <c r="I1969" s="1067" t="s">
        <v>1644</v>
      </c>
      <c r="J1969" s="1067">
        <v>1</v>
      </c>
      <c r="K1969" s="1061" t="s">
        <v>2629</v>
      </c>
    </row>
    <row r="1970" spans="1:11" ht="15.75">
      <c r="A1970" s="443">
        <v>44868</v>
      </c>
      <c r="B1970" s="381" t="s">
        <v>2182</v>
      </c>
      <c r="C1970" s="381" t="s">
        <v>3642</v>
      </c>
      <c r="D1970" s="426" t="s">
        <v>3128</v>
      </c>
      <c r="E1970" s="1023">
        <v>1100000</v>
      </c>
      <c r="F1970" s="385" t="s">
        <v>2290</v>
      </c>
      <c r="G1970" s="385" t="s">
        <v>2593</v>
      </c>
      <c r="H1970" s="387" t="s">
        <v>1955</v>
      </c>
      <c r="I1970" s="387" t="s">
        <v>1644</v>
      </c>
      <c r="J1970" s="387">
        <v>1</v>
      </c>
      <c r="K1970" s="385" t="s">
        <v>1171</v>
      </c>
    </row>
    <row r="1971" spans="1:11" ht="15.75">
      <c r="A1971" s="443" t="s">
        <v>3568</v>
      </c>
      <c r="B1971" s="381" t="s">
        <v>1966</v>
      </c>
      <c r="C1971" s="381" t="s">
        <v>3643</v>
      </c>
      <c r="D1971" s="426" t="s">
        <v>3626</v>
      </c>
      <c r="E1971" s="1023">
        <v>1200000</v>
      </c>
      <c r="F1971" s="385" t="s">
        <v>1968</v>
      </c>
      <c r="G1971" s="385" t="s">
        <v>2593</v>
      </c>
      <c r="H1971" s="387" t="s">
        <v>1625</v>
      </c>
      <c r="I1971" s="387" t="s">
        <v>1644</v>
      </c>
      <c r="J1971" s="387">
        <v>1</v>
      </c>
      <c r="K1971" s="385" t="s">
        <v>1245</v>
      </c>
    </row>
    <row r="1972" spans="1:11" ht="15.75">
      <c r="A1972" s="393" t="s">
        <v>3586</v>
      </c>
      <c r="B1972" s="406" t="s">
        <v>1966</v>
      </c>
      <c r="C1972" s="406" t="s">
        <v>3644</v>
      </c>
      <c r="D1972" s="381" t="s">
        <v>3645</v>
      </c>
      <c r="E1972" s="451">
        <v>650000</v>
      </c>
      <c r="F1972" s="381" t="s">
        <v>1968</v>
      </c>
      <c r="G1972" s="381" t="s">
        <v>2593</v>
      </c>
      <c r="H1972" s="383" t="s">
        <v>1955</v>
      </c>
      <c r="I1972" s="383" t="s">
        <v>1644</v>
      </c>
      <c r="J1972" s="383">
        <v>1</v>
      </c>
      <c r="K1972" s="381" t="s">
        <v>1171</v>
      </c>
    </row>
    <row r="1973" spans="1:11" ht="15.75">
      <c r="A1973" s="456" t="s">
        <v>3607</v>
      </c>
      <c r="B1973" s="457" t="s">
        <v>2182</v>
      </c>
      <c r="C1973" s="457" t="s">
        <v>3646</v>
      </c>
      <c r="D1973" s="457" t="s">
        <v>3647</v>
      </c>
      <c r="E1973" s="451">
        <v>850000</v>
      </c>
      <c r="F1973" s="457" t="s">
        <v>1968</v>
      </c>
      <c r="G1973" s="457" t="s">
        <v>2593</v>
      </c>
      <c r="H1973" s="1022" t="s">
        <v>1625</v>
      </c>
      <c r="I1973" s="153" t="s">
        <v>1644</v>
      </c>
      <c r="J1973" s="530">
        <v>1</v>
      </c>
      <c r="K1973" s="457" t="s">
        <v>1171</v>
      </c>
    </row>
    <row r="1974" spans="1:11" ht="15.75">
      <c r="A1974" s="456" t="s">
        <v>2335</v>
      </c>
      <c r="B1974" s="457" t="s">
        <v>2060</v>
      </c>
      <c r="C1974" s="457" t="s">
        <v>3648</v>
      </c>
      <c r="D1974" s="457" t="s">
        <v>3647</v>
      </c>
      <c r="E1974" s="451">
        <v>7600000</v>
      </c>
      <c r="F1974" s="457" t="s">
        <v>1968</v>
      </c>
      <c r="G1974" s="457" t="s">
        <v>2593</v>
      </c>
      <c r="H1974" s="1022" t="s">
        <v>1625</v>
      </c>
      <c r="I1974" s="153" t="s">
        <v>1644</v>
      </c>
      <c r="J1974" s="530">
        <v>1</v>
      </c>
      <c r="K1974" s="457" t="s">
        <v>1245</v>
      </c>
    </row>
    <row r="1975" spans="1:11" ht="15.75">
      <c r="A1975" s="420"/>
      <c r="B1975" s="420"/>
      <c r="C1975" s="420"/>
      <c r="D1975" s="420"/>
      <c r="E1975" s="451"/>
      <c r="F1975" s="420"/>
      <c r="G1975" s="420"/>
      <c r="H1975" s="1022"/>
      <c r="I1975" s="1022"/>
      <c r="J1975" s="1022"/>
      <c r="K1975" s="420"/>
    </row>
    <row r="1976" spans="1:11" ht="15.75">
      <c r="A1976" s="420"/>
      <c r="B1976" s="420"/>
      <c r="C1976" s="420"/>
      <c r="D1976" s="420"/>
      <c r="E1976" s="451"/>
      <c r="F1976" s="420"/>
      <c r="G1976" s="420"/>
      <c r="H1976" s="1022"/>
      <c r="I1976" s="1022"/>
      <c r="J1976" s="493">
        <f>SUM(J1966:J1975)</f>
        <v>9</v>
      </c>
      <c r="K1976" s="420"/>
    </row>
    <row r="1979" spans="1:11" ht="26.25">
      <c r="A1979" s="1668" t="s">
        <v>3649</v>
      </c>
      <c r="B1979" s="1669"/>
      <c r="C1979" s="1669"/>
      <c r="D1979" s="1669"/>
      <c r="E1979" s="1669"/>
      <c r="F1979" s="1669"/>
      <c r="G1979" s="1669"/>
      <c r="H1979" s="1669"/>
      <c r="I1979" s="1669"/>
      <c r="J1979" s="1669"/>
      <c r="K1979" s="1670"/>
    </row>
    <row r="1980" spans="1:11" ht="31.5">
      <c r="A1980" s="375" t="s">
        <v>1941</v>
      </c>
      <c r="B1980" s="378" t="s">
        <v>1942</v>
      </c>
      <c r="C1980" s="378" t="s">
        <v>1943</v>
      </c>
      <c r="D1980" s="378" t="s">
        <v>1944</v>
      </c>
      <c r="E1980" s="452" t="s">
        <v>1945</v>
      </c>
      <c r="F1980" s="378" t="s">
        <v>1946</v>
      </c>
      <c r="G1980" s="378" t="s">
        <v>2590</v>
      </c>
      <c r="H1980" s="378" t="s">
        <v>1947</v>
      </c>
      <c r="I1980" s="378" t="s">
        <v>1948</v>
      </c>
      <c r="J1980" s="453" t="s">
        <v>1949</v>
      </c>
      <c r="K1980" s="378" t="s">
        <v>1950</v>
      </c>
    </row>
    <row r="1981" spans="1:11" ht="15.75">
      <c r="A1981" s="1068">
        <v>44868</v>
      </c>
      <c r="B1981" s="1069" t="s">
        <v>2182</v>
      </c>
      <c r="C1981" s="1070" t="s">
        <v>3650</v>
      </c>
      <c r="D1981" s="1071" t="s">
        <v>2966</v>
      </c>
      <c r="E1981" s="1072">
        <v>265000000</v>
      </c>
      <c r="F1981" s="1073" t="s">
        <v>1968</v>
      </c>
      <c r="G1981" s="1073" t="s">
        <v>2593</v>
      </c>
      <c r="H1981" s="1074" t="s">
        <v>1955</v>
      </c>
      <c r="I1981" s="1074" t="s">
        <v>1644</v>
      </c>
      <c r="J1981" s="1074">
        <v>1</v>
      </c>
      <c r="K1981" s="1073" t="s">
        <v>2629</v>
      </c>
    </row>
    <row r="1982" spans="1:11" ht="15.75">
      <c r="A1982" s="443" t="s">
        <v>3568</v>
      </c>
      <c r="B1982" s="381" t="s">
        <v>2182</v>
      </c>
      <c r="C1982" s="381" t="s">
        <v>3651</v>
      </c>
      <c r="D1982" s="426" t="s">
        <v>3636</v>
      </c>
      <c r="E1982" s="1023">
        <v>1500000</v>
      </c>
      <c r="F1982" s="385" t="s">
        <v>1968</v>
      </c>
      <c r="G1982" s="385" t="s">
        <v>2593</v>
      </c>
      <c r="H1982" s="387" t="s">
        <v>1955</v>
      </c>
      <c r="I1982" s="387" t="s">
        <v>1644</v>
      </c>
      <c r="J1982" s="387">
        <v>1</v>
      </c>
      <c r="K1982" s="385" t="s">
        <v>1171</v>
      </c>
    </row>
    <row r="1983" spans="1:11">
      <c r="A1983" s="108"/>
      <c r="B1983" s="604"/>
      <c r="C1983" s="604"/>
      <c r="D1983" s="604"/>
      <c r="E1983" s="118"/>
      <c r="F1983" s="617"/>
      <c r="G1983" s="617"/>
      <c r="H1983" s="604"/>
      <c r="I1983" s="604"/>
      <c r="J1983" s="604"/>
      <c r="K1983" s="604"/>
    </row>
    <row r="1984" spans="1:11" ht="15.75">
      <c r="A1984" s="109"/>
      <c r="B1984" s="80"/>
      <c r="C1984" s="80"/>
      <c r="D1984" s="80"/>
      <c r="E1984" s="119"/>
      <c r="F1984" s="71"/>
      <c r="G1984" s="71"/>
      <c r="H1984" s="80"/>
      <c r="I1984" s="80"/>
      <c r="J1984" s="493">
        <f>SUM(J1981:J1983)</f>
        <v>2</v>
      </c>
      <c r="K1984" s="80"/>
    </row>
    <row r="1987" spans="1:11" ht="26.25">
      <c r="A1987" s="1668" t="s">
        <v>3652</v>
      </c>
      <c r="B1987" s="1669"/>
      <c r="C1987" s="1669"/>
      <c r="D1987" s="1669"/>
      <c r="E1987" s="1669"/>
      <c r="F1987" s="1669"/>
      <c r="G1987" s="1669"/>
      <c r="H1987" s="1669"/>
      <c r="I1987" s="1669"/>
      <c r="J1987" s="1669"/>
      <c r="K1987" s="1670"/>
    </row>
    <row r="1988" spans="1:11" ht="30.75">
      <c r="A1988" s="375" t="s">
        <v>1941</v>
      </c>
      <c r="B1988" s="378" t="s">
        <v>1942</v>
      </c>
      <c r="C1988" s="378" t="s">
        <v>1943</v>
      </c>
      <c r="D1988" s="378" t="s">
        <v>1944</v>
      </c>
      <c r="E1988" s="452" t="s">
        <v>1945</v>
      </c>
      <c r="F1988" s="378" t="s">
        <v>1946</v>
      </c>
      <c r="G1988" s="378" t="s">
        <v>2590</v>
      </c>
      <c r="H1988" s="378" t="s">
        <v>1947</v>
      </c>
      <c r="I1988" s="378" t="s">
        <v>1948</v>
      </c>
      <c r="J1988" s="453" t="s">
        <v>1949</v>
      </c>
      <c r="K1988" s="378" t="s">
        <v>1950</v>
      </c>
    </row>
    <row r="1989" spans="1:11" ht="15.75">
      <c r="A1989" s="443">
        <v>44595</v>
      </c>
      <c r="B1989" s="653" t="s">
        <v>1952</v>
      </c>
      <c r="C1989" s="381" t="s">
        <v>868</v>
      </c>
      <c r="D1989" s="426" t="s">
        <v>2669</v>
      </c>
      <c r="E1989" s="462">
        <v>1300000</v>
      </c>
      <c r="F1989" s="385" t="s">
        <v>1968</v>
      </c>
      <c r="G1989" s="385" t="s">
        <v>30</v>
      </c>
      <c r="H1989" s="387" t="s">
        <v>1625</v>
      </c>
      <c r="I1989" s="387" t="s">
        <v>1625</v>
      </c>
      <c r="J1989" s="387">
        <v>1</v>
      </c>
      <c r="K1989" s="385" t="s">
        <v>856</v>
      </c>
    </row>
    <row r="1990" spans="1:11" ht="15.75">
      <c r="A1990" s="443">
        <v>44622</v>
      </c>
      <c r="B1990" s="653" t="s">
        <v>1952</v>
      </c>
      <c r="C1990" s="381" t="s">
        <v>165</v>
      </c>
      <c r="D1990" s="426" t="s">
        <v>2711</v>
      </c>
      <c r="E1990" s="462">
        <v>1300000</v>
      </c>
      <c r="F1990" s="385" t="s">
        <v>1968</v>
      </c>
      <c r="G1990" s="385" t="s">
        <v>30</v>
      </c>
      <c r="H1990" s="387" t="s">
        <v>1625</v>
      </c>
      <c r="I1990" s="387" t="s">
        <v>1625</v>
      </c>
      <c r="J1990" s="387">
        <v>1</v>
      </c>
      <c r="K1990" s="385" t="s">
        <v>856</v>
      </c>
    </row>
    <row r="1991" spans="1:11" ht="15.75">
      <c r="A1991" s="443">
        <v>44622</v>
      </c>
      <c r="B1991" s="653" t="s">
        <v>2182</v>
      </c>
      <c r="C1991" s="381" t="s">
        <v>126</v>
      </c>
      <c r="D1991" s="426" t="s">
        <v>2711</v>
      </c>
      <c r="E1991" s="462">
        <v>1350000</v>
      </c>
      <c r="F1991" s="385" t="s">
        <v>1968</v>
      </c>
      <c r="G1991" s="385" t="s">
        <v>30</v>
      </c>
      <c r="H1991" s="387" t="s">
        <v>1625</v>
      </c>
      <c r="I1991" s="387" t="s">
        <v>2984</v>
      </c>
      <c r="J1991" s="387">
        <v>1</v>
      </c>
      <c r="K1991" s="385" t="s">
        <v>856</v>
      </c>
    </row>
    <row r="1992" spans="1:11" ht="15.75">
      <c r="A1992" s="443">
        <v>44898</v>
      </c>
      <c r="B1992" s="653" t="s">
        <v>2182</v>
      </c>
      <c r="C1992" s="381" t="s">
        <v>3653</v>
      </c>
      <c r="D1992" s="426" t="s">
        <v>3654</v>
      </c>
      <c r="E1992" s="462">
        <v>800000</v>
      </c>
      <c r="F1992" s="385" t="s">
        <v>1968</v>
      </c>
      <c r="G1992" s="385" t="s">
        <v>30</v>
      </c>
      <c r="H1992" s="387" t="s">
        <v>1625</v>
      </c>
      <c r="I1992" s="387" t="s">
        <v>1644</v>
      </c>
      <c r="J1992" s="387">
        <v>1</v>
      </c>
      <c r="K1992" s="385" t="s">
        <v>856</v>
      </c>
    </row>
    <row r="1993" spans="1:11" ht="15.75">
      <c r="A1993" s="443" t="s">
        <v>3479</v>
      </c>
      <c r="B1993" s="385" t="s">
        <v>2182</v>
      </c>
      <c r="C1993" s="385" t="s">
        <v>3655</v>
      </c>
      <c r="D1993" s="426" t="s">
        <v>2167</v>
      </c>
      <c r="E1993" s="451">
        <v>1350000</v>
      </c>
      <c r="F1993" s="381" t="s">
        <v>1968</v>
      </c>
      <c r="G1993" s="381" t="s">
        <v>30</v>
      </c>
      <c r="H1993" s="383" t="s">
        <v>1625</v>
      </c>
      <c r="I1993" s="383" t="s">
        <v>1644</v>
      </c>
      <c r="J1993" s="383">
        <v>1</v>
      </c>
      <c r="K1993" s="381" t="s">
        <v>856</v>
      </c>
    </row>
    <row r="1994" spans="1:11" ht="15.75">
      <c r="A1994" s="443" t="s">
        <v>3607</v>
      </c>
      <c r="B1994" s="381" t="s">
        <v>2182</v>
      </c>
      <c r="C1994" s="385" t="s">
        <v>941</v>
      </c>
      <c r="D1994" s="426" t="s">
        <v>2659</v>
      </c>
      <c r="E1994" s="1023">
        <v>1300000</v>
      </c>
      <c r="F1994" s="385" t="s">
        <v>1968</v>
      </c>
      <c r="G1994" s="385" t="s">
        <v>30</v>
      </c>
      <c r="H1994" s="387" t="s">
        <v>1625</v>
      </c>
      <c r="I1994" s="387" t="s">
        <v>1644</v>
      </c>
      <c r="J1994" s="387">
        <v>1</v>
      </c>
      <c r="K1994" s="385" t="s">
        <v>856</v>
      </c>
    </row>
    <row r="1995" spans="1:11" ht="15.75">
      <c r="A1995" s="443"/>
      <c r="B1995" s="381"/>
      <c r="C1995" s="381"/>
      <c r="D1995" s="426"/>
      <c r="E1995" s="1023"/>
      <c r="F1995" s="385"/>
      <c r="G1995" s="385"/>
      <c r="H1995" s="387"/>
      <c r="I1995" s="387"/>
      <c r="J1995" s="387"/>
      <c r="K1995" s="385"/>
    </row>
    <row r="1996" spans="1:11" ht="15.75">
      <c r="A1996" s="393"/>
      <c r="B1996" s="406"/>
      <c r="C1996" s="406"/>
      <c r="D1996" s="381"/>
      <c r="E1996" s="451"/>
      <c r="F1996" s="381"/>
      <c r="G1996" s="381"/>
      <c r="H1996" s="383"/>
      <c r="I1996" s="383"/>
      <c r="J1996" s="383"/>
      <c r="K1996" s="381"/>
    </row>
    <row r="1997" spans="1:11" ht="15.75">
      <c r="A1997" s="456"/>
      <c r="B1997" s="457"/>
      <c r="C1997" s="457"/>
      <c r="D1997" s="457"/>
      <c r="E1997" s="451"/>
      <c r="F1997" s="457"/>
      <c r="G1997" s="457"/>
      <c r="H1997" s="1022"/>
      <c r="I1997" s="153"/>
      <c r="J1997" s="530"/>
      <c r="K1997" s="457"/>
    </row>
    <row r="1998" spans="1:11" ht="15.75">
      <c r="A1998" s="456"/>
      <c r="B1998" s="457"/>
      <c r="C1998" s="457"/>
      <c r="D1998" s="457"/>
      <c r="E1998" s="451"/>
      <c r="F1998" s="457"/>
      <c r="G1998" s="457"/>
      <c r="H1998" s="1022"/>
      <c r="I1998" s="153"/>
      <c r="J1998" s="530"/>
      <c r="K1998" s="457"/>
    </row>
    <row r="1999" spans="1:11" ht="15.75">
      <c r="A1999" s="420"/>
      <c r="B1999" s="420"/>
      <c r="C1999" s="420"/>
      <c r="D1999" s="420"/>
      <c r="E1999" s="451"/>
      <c r="F1999" s="420"/>
      <c r="G1999" s="420"/>
      <c r="H1999" s="1022"/>
      <c r="I1999" s="1022"/>
      <c r="J1999" s="1022"/>
      <c r="K1999" s="420"/>
    </row>
    <row r="2000" spans="1:11" ht="15.75">
      <c r="A2000" s="420"/>
      <c r="B2000" s="420"/>
      <c r="C2000" s="420"/>
      <c r="D2000" s="420"/>
      <c r="E2000" s="451"/>
      <c r="F2000" s="420"/>
      <c r="G2000" s="420"/>
      <c r="H2000" s="1022"/>
      <c r="I2000" s="1022"/>
      <c r="J2000" s="1022"/>
      <c r="K2000" s="420"/>
    </row>
    <row r="2003" spans="1:11">
      <c r="A2003" s="1665" t="s">
        <v>3656</v>
      </c>
      <c r="B2003" s="1665"/>
      <c r="C2003" s="1665"/>
      <c r="D2003" s="1665"/>
      <c r="E2003" s="1665"/>
      <c r="F2003" s="1665"/>
      <c r="G2003" s="1665"/>
      <c r="H2003" s="1665"/>
      <c r="I2003" s="1665"/>
      <c r="J2003" s="1665"/>
      <c r="K2003" s="1665"/>
    </row>
    <row r="2004" spans="1:11">
      <c r="A2004" s="1666"/>
      <c r="B2004" s="1666"/>
      <c r="C2004" s="1666"/>
      <c r="D2004" s="1666"/>
      <c r="E2004" s="1666"/>
      <c r="F2004" s="1666"/>
      <c r="G2004" s="1666"/>
      <c r="H2004" s="1666"/>
      <c r="I2004" s="1666"/>
      <c r="J2004" s="1666"/>
      <c r="K2004" s="1666"/>
    </row>
    <row r="2006" spans="1:11" ht="26.25">
      <c r="A2006" s="1667" t="s">
        <v>3657</v>
      </c>
      <c r="B2006" s="1667"/>
      <c r="C2006" s="1667"/>
      <c r="D2006" s="1667"/>
      <c r="E2006" s="1667"/>
      <c r="F2006" s="1667"/>
      <c r="G2006" s="1667"/>
      <c r="H2006" s="1667"/>
      <c r="I2006" s="1667"/>
      <c r="J2006" s="1667"/>
      <c r="K2006" s="1667"/>
    </row>
    <row r="2007" spans="1:11" ht="30.75">
      <c r="A2007" s="375" t="s">
        <v>1941</v>
      </c>
      <c r="B2007" s="378" t="s">
        <v>1942</v>
      </c>
      <c r="C2007" s="378" t="s">
        <v>1943</v>
      </c>
      <c r="D2007" s="378" t="s">
        <v>1944</v>
      </c>
      <c r="E2007" s="452" t="s">
        <v>1945</v>
      </c>
      <c r="F2007" s="378" t="s">
        <v>1946</v>
      </c>
      <c r="G2007" s="378" t="s">
        <v>2590</v>
      </c>
      <c r="H2007" s="378" t="s">
        <v>1947</v>
      </c>
      <c r="I2007" s="378" t="s">
        <v>1948</v>
      </c>
      <c r="J2007" s="453" t="s">
        <v>1949</v>
      </c>
      <c r="K2007" s="378" t="s">
        <v>10</v>
      </c>
    </row>
    <row r="2008" spans="1:11" ht="15.75">
      <c r="A2008" s="454">
        <v>44899</v>
      </c>
      <c r="B2008" s="472" t="s">
        <v>2182</v>
      </c>
      <c r="C2008" s="455" t="s">
        <v>805</v>
      </c>
      <c r="D2008" s="455" t="s">
        <v>3059</v>
      </c>
      <c r="E2008" s="461">
        <v>250000000</v>
      </c>
      <c r="F2008" s="464" t="s">
        <v>2292</v>
      </c>
      <c r="G2008" s="464" t="s">
        <v>2593</v>
      </c>
      <c r="H2008" s="460" t="s">
        <v>1955</v>
      </c>
      <c r="I2008" s="460" t="s">
        <v>1644</v>
      </c>
      <c r="J2008" s="460">
        <v>1</v>
      </c>
      <c r="K2008" s="455" t="s">
        <v>2629</v>
      </c>
    </row>
    <row r="2009" spans="1:11" ht="15.75">
      <c r="A2009" s="454" t="s">
        <v>3658</v>
      </c>
      <c r="B2009" s="472" t="s">
        <v>2182</v>
      </c>
      <c r="C2009" s="455" t="s">
        <v>3659</v>
      </c>
      <c r="D2009" s="455" t="s">
        <v>3660</v>
      </c>
      <c r="E2009" s="461">
        <v>720000000</v>
      </c>
      <c r="F2009" s="464" t="s">
        <v>1968</v>
      </c>
      <c r="G2009" s="464" t="s">
        <v>2593</v>
      </c>
      <c r="H2009" s="460" t="s">
        <v>1955</v>
      </c>
      <c r="I2009" s="460" t="s">
        <v>1644</v>
      </c>
      <c r="J2009" s="460">
        <v>1</v>
      </c>
      <c r="K2009" s="455" t="s">
        <v>2629</v>
      </c>
    </row>
    <row r="2010" spans="1:11" ht="15.75">
      <c r="A2010" s="454" t="s">
        <v>3658</v>
      </c>
      <c r="B2010" s="472" t="s">
        <v>2182</v>
      </c>
      <c r="C2010" s="455" t="s">
        <v>3661</v>
      </c>
      <c r="D2010" s="455" t="s">
        <v>3662</v>
      </c>
      <c r="E2010" s="461">
        <v>150000000</v>
      </c>
      <c r="F2010" s="464" t="s">
        <v>1968</v>
      </c>
      <c r="G2010" s="464" t="s">
        <v>2593</v>
      </c>
      <c r="H2010" s="460" t="s">
        <v>1955</v>
      </c>
      <c r="I2010" s="460" t="s">
        <v>1644</v>
      </c>
      <c r="J2010" s="460">
        <v>1</v>
      </c>
      <c r="K2010" s="455" t="s">
        <v>2629</v>
      </c>
    </row>
    <row r="2011" spans="1:11" ht="15.75">
      <c r="A2011" s="412" t="s">
        <v>3663</v>
      </c>
      <c r="B2011" s="381" t="s">
        <v>2182</v>
      </c>
      <c r="C2011" s="381" t="s">
        <v>3664</v>
      </c>
      <c r="D2011" s="381" t="s">
        <v>2326</v>
      </c>
      <c r="E2011" s="451">
        <v>1100000</v>
      </c>
      <c r="F2011" s="275" t="s">
        <v>2292</v>
      </c>
      <c r="G2011" s="275" t="s">
        <v>2605</v>
      </c>
      <c r="H2011" s="383" t="s">
        <v>1955</v>
      </c>
      <c r="I2011" s="383" t="s">
        <v>1644</v>
      </c>
      <c r="J2011" s="383">
        <v>1</v>
      </c>
      <c r="K2011" s="381" t="s">
        <v>1171</v>
      </c>
    </row>
    <row r="2012" spans="1:11" ht="15.75">
      <c r="A2012" s="479">
        <v>44655</v>
      </c>
      <c r="B2012" s="612" t="s">
        <v>1966</v>
      </c>
      <c r="C2012" s="381" t="s">
        <v>3665</v>
      </c>
      <c r="D2012" s="381" t="s">
        <v>2841</v>
      </c>
      <c r="E2012" s="451">
        <v>950000</v>
      </c>
      <c r="F2012" s="304" t="s">
        <v>1968</v>
      </c>
      <c r="G2012" s="275" t="s">
        <v>2593</v>
      </c>
      <c r="H2012" s="531" t="s">
        <v>1625</v>
      </c>
      <c r="I2012" s="383" t="s">
        <v>1644</v>
      </c>
      <c r="J2012" s="383">
        <v>1</v>
      </c>
      <c r="K2012" s="381" t="s">
        <v>1245</v>
      </c>
    </row>
    <row r="2013" spans="1:11" ht="15.75">
      <c r="A2013" s="479">
        <v>44655</v>
      </c>
      <c r="B2013" s="612" t="s">
        <v>2060</v>
      </c>
      <c r="C2013" s="381" t="s">
        <v>3666</v>
      </c>
      <c r="D2013" s="381" t="s">
        <v>1590</v>
      </c>
      <c r="E2013" s="451">
        <v>2800000</v>
      </c>
      <c r="F2013" s="304" t="s">
        <v>2290</v>
      </c>
      <c r="G2013" s="275" t="s">
        <v>2593</v>
      </c>
      <c r="H2013" s="531" t="s">
        <v>1955</v>
      </c>
      <c r="I2013" s="383" t="s">
        <v>1644</v>
      </c>
      <c r="J2013" s="383">
        <v>1</v>
      </c>
      <c r="K2013" s="381" t="s">
        <v>1171</v>
      </c>
    </row>
    <row r="2014" spans="1:11" ht="15.75">
      <c r="A2014" s="393">
        <v>44655</v>
      </c>
      <c r="B2014" s="381" t="s">
        <v>2060</v>
      </c>
      <c r="C2014" s="381" t="s">
        <v>3667</v>
      </c>
      <c r="D2014" s="381" t="s">
        <v>1590</v>
      </c>
      <c r="E2014" s="451">
        <v>2800000</v>
      </c>
      <c r="F2014" s="381" t="s">
        <v>2292</v>
      </c>
      <c r="G2014" s="381" t="s">
        <v>2593</v>
      </c>
      <c r="H2014" s="383" t="s">
        <v>1955</v>
      </c>
      <c r="I2014" s="383" t="s">
        <v>1644</v>
      </c>
      <c r="J2014" s="383">
        <v>1</v>
      </c>
      <c r="K2014" s="381" t="s">
        <v>1245</v>
      </c>
    </row>
    <row r="2015" spans="1:11" ht="15.75">
      <c r="A2015" s="479">
        <v>44655</v>
      </c>
      <c r="B2015" s="612" t="s">
        <v>2060</v>
      </c>
      <c r="C2015" s="381" t="s">
        <v>3668</v>
      </c>
      <c r="D2015" s="381" t="s">
        <v>1590</v>
      </c>
      <c r="E2015" s="451">
        <v>2800000</v>
      </c>
      <c r="F2015" s="304" t="s">
        <v>2292</v>
      </c>
      <c r="G2015" s="275" t="s">
        <v>2593</v>
      </c>
      <c r="H2015" s="531" t="s">
        <v>1955</v>
      </c>
      <c r="I2015" s="383" t="s">
        <v>1644</v>
      </c>
      <c r="J2015" s="383">
        <v>1</v>
      </c>
      <c r="K2015" s="381" t="s">
        <v>1171</v>
      </c>
    </row>
    <row r="2016" spans="1:11" ht="15.75">
      <c r="A2016" s="479">
        <v>44655</v>
      </c>
      <c r="B2016" s="612" t="s">
        <v>2060</v>
      </c>
      <c r="C2016" s="381" t="s">
        <v>3669</v>
      </c>
      <c r="D2016" s="381" t="s">
        <v>1590</v>
      </c>
      <c r="E2016" s="451">
        <v>2800000</v>
      </c>
      <c r="F2016" s="304" t="s">
        <v>2292</v>
      </c>
      <c r="G2016" s="275" t="s">
        <v>2593</v>
      </c>
      <c r="H2016" s="531" t="s">
        <v>1955</v>
      </c>
      <c r="I2016" s="383" t="s">
        <v>1644</v>
      </c>
      <c r="J2016" s="383">
        <v>1</v>
      </c>
      <c r="K2016" s="381" t="s">
        <v>1245</v>
      </c>
    </row>
    <row r="2017" spans="1:11" ht="15.75">
      <c r="A2017" s="479">
        <v>44685</v>
      </c>
      <c r="B2017" s="612" t="s">
        <v>2182</v>
      </c>
      <c r="C2017" s="381" t="s">
        <v>920</v>
      </c>
      <c r="D2017" s="381" t="s">
        <v>75</v>
      </c>
      <c r="E2017" s="451">
        <v>1650000</v>
      </c>
      <c r="F2017" s="304" t="s">
        <v>2292</v>
      </c>
      <c r="G2017" s="275" t="s">
        <v>2593</v>
      </c>
      <c r="H2017" s="531" t="s">
        <v>1955</v>
      </c>
      <c r="I2017" s="383" t="s">
        <v>1644</v>
      </c>
      <c r="J2017" s="383">
        <v>1</v>
      </c>
      <c r="K2017" s="381" t="s">
        <v>1171</v>
      </c>
    </row>
    <row r="2018" spans="1:11" ht="15.75">
      <c r="A2018" s="479">
        <v>44685</v>
      </c>
      <c r="B2018" s="612" t="s">
        <v>2182</v>
      </c>
      <c r="C2018" s="381" t="s">
        <v>3613</v>
      </c>
      <c r="D2018" s="381" t="s">
        <v>3059</v>
      </c>
      <c r="E2018" s="451">
        <v>1800000</v>
      </c>
      <c r="F2018" s="304" t="s">
        <v>2292</v>
      </c>
      <c r="G2018" s="275" t="s">
        <v>2593</v>
      </c>
      <c r="H2018" s="531" t="s">
        <v>1955</v>
      </c>
      <c r="I2018" s="383" t="s">
        <v>1644</v>
      </c>
      <c r="J2018" s="383">
        <v>1</v>
      </c>
      <c r="K2018" s="381" t="s">
        <v>1245</v>
      </c>
    </row>
    <row r="2019" spans="1:11" ht="15.75">
      <c r="A2019" s="479">
        <v>44746</v>
      </c>
      <c r="B2019" s="612" t="s">
        <v>2182</v>
      </c>
      <c r="C2019" s="381" t="s">
        <v>926</v>
      </c>
      <c r="D2019" s="381" t="s">
        <v>2326</v>
      </c>
      <c r="E2019" s="451">
        <v>1000000</v>
      </c>
      <c r="F2019" s="304" t="s">
        <v>2292</v>
      </c>
      <c r="G2019" s="275" t="s">
        <v>2593</v>
      </c>
      <c r="H2019" s="531" t="s">
        <v>1955</v>
      </c>
      <c r="I2019" s="383" t="s">
        <v>1644</v>
      </c>
      <c r="J2019" s="383">
        <v>1</v>
      </c>
      <c r="K2019" s="381" t="s">
        <v>1171</v>
      </c>
    </row>
    <row r="2020" spans="1:11" ht="15.75">
      <c r="A2020" s="479">
        <v>44746</v>
      </c>
      <c r="B2020" s="612" t="s">
        <v>1952</v>
      </c>
      <c r="C2020" s="381" t="s">
        <v>3670</v>
      </c>
      <c r="D2020" s="381" t="s">
        <v>2326</v>
      </c>
      <c r="E2020" s="451">
        <v>750000</v>
      </c>
      <c r="F2020" s="304" t="s">
        <v>2292</v>
      </c>
      <c r="G2020" s="275" t="s">
        <v>30</v>
      </c>
      <c r="H2020" s="531" t="s">
        <v>1625</v>
      </c>
      <c r="I2020" s="383" t="s">
        <v>1644</v>
      </c>
      <c r="J2020" s="383">
        <v>1</v>
      </c>
      <c r="K2020" s="381" t="s">
        <v>1245</v>
      </c>
    </row>
    <row r="2021" spans="1:11" ht="15.75">
      <c r="A2021" s="479">
        <v>44869</v>
      </c>
      <c r="B2021" s="612" t="s">
        <v>2182</v>
      </c>
      <c r="C2021" s="381" t="s">
        <v>3671</v>
      </c>
      <c r="D2021" s="381" t="s">
        <v>2326</v>
      </c>
      <c r="E2021" s="451">
        <v>850000</v>
      </c>
      <c r="F2021" s="304" t="s">
        <v>2292</v>
      </c>
      <c r="G2021" s="275" t="s">
        <v>2605</v>
      </c>
      <c r="H2021" s="531" t="s">
        <v>1955</v>
      </c>
      <c r="I2021" s="383" t="s">
        <v>1644</v>
      </c>
      <c r="J2021" s="383">
        <v>1</v>
      </c>
      <c r="K2021" s="381" t="s">
        <v>1171</v>
      </c>
    </row>
    <row r="2022" spans="1:11" ht="15.75">
      <c r="A2022" s="479">
        <v>44869</v>
      </c>
      <c r="B2022" s="612" t="s">
        <v>2182</v>
      </c>
      <c r="C2022" s="381" t="s">
        <v>3672</v>
      </c>
      <c r="D2022" s="381" t="s">
        <v>3059</v>
      </c>
      <c r="E2022" s="451">
        <v>1200000</v>
      </c>
      <c r="F2022" s="304" t="s">
        <v>2292</v>
      </c>
      <c r="G2022" s="275" t="s">
        <v>2605</v>
      </c>
      <c r="H2022" s="531" t="s">
        <v>1625</v>
      </c>
      <c r="I2022" s="383" t="s">
        <v>1644</v>
      </c>
      <c r="J2022" s="383">
        <v>1</v>
      </c>
      <c r="K2022" s="381" t="s">
        <v>1245</v>
      </c>
    </row>
    <row r="2023" spans="1:11" ht="15.75">
      <c r="A2023" s="479">
        <v>44899</v>
      </c>
      <c r="B2023" s="612" t="s">
        <v>2182</v>
      </c>
      <c r="C2023" s="381" t="s">
        <v>3673</v>
      </c>
      <c r="D2023" s="381" t="s">
        <v>2326</v>
      </c>
      <c r="E2023" s="451">
        <v>800000</v>
      </c>
      <c r="F2023" s="304" t="s">
        <v>2292</v>
      </c>
      <c r="G2023" s="275" t="s">
        <v>30</v>
      </c>
      <c r="H2023" s="531" t="s">
        <v>1955</v>
      </c>
      <c r="I2023" s="383" t="s">
        <v>1644</v>
      </c>
      <c r="J2023" s="383">
        <v>1</v>
      </c>
      <c r="K2023" s="381" t="s">
        <v>1245</v>
      </c>
    </row>
    <row r="2024" spans="1:11" ht="15.75">
      <c r="A2024" s="479" t="s">
        <v>3674</v>
      </c>
      <c r="B2024" s="612" t="s">
        <v>2182</v>
      </c>
      <c r="C2024" s="381" t="s">
        <v>3675</v>
      </c>
      <c r="D2024" s="381" t="s">
        <v>3059</v>
      </c>
      <c r="E2024" s="451">
        <v>1450000</v>
      </c>
      <c r="F2024" s="304" t="s">
        <v>2292</v>
      </c>
      <c r="G2024" s="275" t="s">
        <v>2605</v>
      </c>
      <c r="H2024" s="531" t="s">
        <v>1625</v>
      </c>
      <c r="I2024" s="383" t="s">
        <v>1644</v>
      </c>
      <c r="J2024" s="383">
        <v>1</v>
      </c>
      <c r="K2024" s="381" t="s">
        <v>1171</v>
      </c>
    </row>
    <row r="2025" spans="1:11" ht="15.75">
      <c r="A2025" s="479" t="s">
        <v>3658</v>
      </c>
      <c r="B2025" s="612" t="s">
        <v>2182</v>
      </c>
      <c r="C2025" s="381" t="s">
        <v>3676</v>
      </c>
      <c r="D2025" s="381" t="s">
        <v>75</v>
      </c>
      <c r="E2025" s="451">
        <v>1600000</v>
      </c>
      <c r="F2025" s="304" t="s">
        <v>2292</v>
      </c>
      <c r="G2025" s="275" t="s">
        <v>2593</v>
      </c>
      <c r="H2025" s="531" t="s">
        <v>1955</v>
      </c>
      <c r="I2025" s="383" t="s">
        <v>1644</v>
      </c>
      <c r="J2025" s="383">
        <v>1</v>
      </c>
      <c r="K2025" s="381" t="s">
        <v>1171</v>
      </c>
    </row>
    <row r="2026" spans="1:11" ht="15.75">
      <c r="A2026" s="479" t="s">
        <v>3677</v>
      </c>
      <c r="B2026" s="612" t="s">
        <v>2182</v>
      </c>
      <c r="C2026" s="381" t="s">
        <v>3678</v>
      </c>
      <c r="D2026" s="381" t="s">
        <v>75</v>
      </c>
      <c r="E2026" s="451">
        <v>1600000</v>
      </c>
      <c r="F2026" s="304" t="s">
        <v>2292</v>
      </c>
      <c r="G2026" s="275" t="s">
        <v>2593</v>
      </c>
      <c r="H2026" s="531" t="s">
        <v>1955</v>
      </c>
      <c r="I2026" s="383" t="s">
        <v>1644</v>
      </c>
      <c r="J2026" s="383">
        <v>1</v>
      </c>
      <c r="K2026" s="381" t="s">
        <v>1245</v>
      </c>
    </row>
    <row r="2027" spans="1:11" ht="15.75">
      <c r="A2027" s="479" t="s">
        <v>3677</v>
      </c>
      <c r="B2027" s="612" t="s">
        <v>2182</v>
      </c>
      <c r="C2027" s="381" t="s">
        <v>3679</v>
      </c>
      <c r="D2027" s="381" t="s">
        <v>3680</v>
      </c>
      <c r="E2027" s="451">
        <v>900000</v>
      </c>
      <c r="F2027" s="304" t="s">
        <v>2292</v>
      </c>
      <c r="G2027" s="275" t="s">
        <v>30</v>
      </c>
      <c r="H2027" s="531" t="s">
        <v>1625</v>
      </c>
      <c r="I2027" s="383" t="s">
        <v>1644</v>
      </c>
      <c r="J2027" s="383">
        <v>1</v>
      </c>
      <c r="K2027" s="381" t="s">
        <v>3681</v>
      </c>
    </row>
    <row r="2028" spans="1:11" ht="15.75">
      <c r="A2028" s="479" t="s">
        <v>3677</v>
      </c>
      <c r="B2028" s="612" t="s">
        <v>2060</v>
      </c>
      <c r="C2028" s="381" t="s">
        <v>3682</v>
      </c>
      <c r="D2028" s="381" t="s">
        <v>75</v>
      </c>
      <c r="E2028" s="451" t="s">
        <v>3683</v>
      </c>
      <c r="F2028" s="304" t="s">
        <v>2292</v>
      </c>
      <c r="G2028" s="275" t="s">
        <v>2873</v>
      </c>
      <c r="H2028" s="531" t="s">
        <v>1955</v>
      </c>
      <c r="I2028" s="383" t="s">
        <v>1644</v>
      </c>
      <c r="J2028" s="383">
        <v>1</v>
      </c>
      <c r="K2028" s="381" t="s">
        <v>3681</v>
      </c>
    </row>
    <row r="2029" spans="1:11" ht="15.75">
      <c r="A2029" s="479" t="s">
        <v>3677</v>
      </c>
      <c r="B2029" s="612" t="s">
        <v>2060</v>
      </c>
      <c r="C2029" s="381" t="s">
        <v>3684</v>
      </c>
      <c r="D2029" s="381" t="s">
        <v>75</v>
      </c>
      <c r="E2029" s="451">
        <v>1756800</v>
      </c>
      <c r="F2029" s="304" t="s">
        <v>2292</v>
      </c>
      <c r="G2029" s="275" t="s">
        <v>2873</v>
      </c>
      <c r="H2029" s="531" t="s">
        <v>1955</v>
      </c>
      <c r="I2029" s="383" t="s">
        <v>1644</v>
      </c>
      <c r="J2029" s="383">
        <v>1</v>
      </c>
      <c r="K2029" s="381" t="s">
        <v>3681</v>
      </c>
    </row>
    <row r="2030" spans="1:11" ht="15.75">
      <c r="A2030" s="479" t="s">
        <v>3677</v>
      </c>
      <c r="B2030" s="612" t="s">
        <v>2060</v>
      </c>
      <c r="C2030" s="381" t="s">
        <v>3685</v>
      </c>
      <c r="D2030" s="381" t="s">
        <v>75</v>
      </c>
      <c r="E2030" s="451">
        <v>1293200</v>
      </c>
      <c r="F2030" s="304" t="s">
        <v>2292</v>
      </c>
      <c r="G2030" s="275" t="s">
        <v>2873</v>
      </c>
      <c r="H2030" s="531" t="s">
        <v>1955</v>
      </c>
      <c r="I2030" s="383" t="s">
        <v>1644</v>
      </c>
      <c r="J2030" s="383">
        <v>1</v>
      </c>
      <c r="K2030" s="381" t="s">
        <v>3681</v>
      </c>
    </row>
    <row r="2031" spans="1:11" ht="15.75">
      <c r="A2031" s="419"/>
      <c r="B2031" s="420"/>
      <c r="C2031" s="420"/>
      <c r="D2031" s="420"/>
      <c r="E2031" s="463"/>
      <c r="F2031" s="466"/>
      <c r="G2031" s="466"/>
      <c r="H2031" s="422"/>
      <c r="I2031" s="422"/>
      <c r="J2031" s="492">
        <f>SUM(J2008:J2030)</f>
        <v>23</v>
      </c>
      <c r="K2031" s="420"/>
    </row>
    <row r="2032" spans="1:11" ht="15.75">
      <c r="A2032" s="394"/>
      <c r="B2032" s="395"/>
      <c r="C2032" s="395"/>
      <c r="D2032" s="395"/>
      <c r="E2032" s="706"/>
      <c r="F2032" s="707"/>
      <c r="G2032" s="707"/>
      <c r="H2032" s="397"/>
      <c r="I2032" s="397"/>
      <c r="J2032" s="397"/>
      <c r="K2032" s="395"/>
    </row>
    <row r="2033" spans="1:11" ht="15.75">
      <c r="A2033" s="394"/>
      <c r="B2033" s="395"/>
      <c r="C2033" s="395"/>
      <c r="D2033" s="395"/>
      <c r="E2033" s="706"/>
      <c r="F2033" s="707"/>
      <c r="G2033" s="707"/>
      <c r="H2033" s="397"/>
      <c r="I2033" s="397"/>
      <c r="J2033" s="397"/>
      <c r="K2033" s="395"/>
    </row>
    <row r="2034" spans="1:11" ht="15.75">
      <c r="A2034" s="394"/>
      <c r="B2034" s="395"/>
      <c r="C2034" s="395"/>
      <c r="D2034" s="395"/>
      <c r="E2034" s="396"/>
      <c r="F2034" s="397"/>
      <c r="G2034" s="397"/>
      <c r="H2034" s="397"/>
      <c r="I2034" s="395"/>
      <c r="J2034" s="395"/>
      <c r="K2034" s="395"/>
    </row>
    <row r="2035" spans="1:11" ht="26.25">
      <c r="A2035" s="1667" t="s">
        <v>3686</v>
      </c>
      <c r="B2035" s="1667"/>
      <c r="C2035" s="1667"/>
      <c r="D2035" s="1667"/>
      <c r="E2035" s="1667"/>
      <c r="F2035" s="1667"/>
      <c r="G2035" s="1667"/>
      <c r="H2035" s="1667"/>
      <c r="I2035" s="1667"/>
      <c r="J2035" s="1667"/>
      <c r="K2035" s="1667"/>
    </row>
    <row r="2036" spans="1:11" ht="30.75">
      <c r="A2036" s="375" t="s">
        <v>1941</v>
      </c>
      <c r="B2036" s="378" t="s">
        <v>1942</v>
      </c>
      <c r="C2036" s="378" t="s">
        <v>1943</v>
      </c>
      <c r="D2036" s="378" t="s">
        <v>1944</v>
      </c>
      <c r="E2036" s="452" t="s">
        <v>1945</v>
      </c>
      <c r="F2036" s="378" t="s">
        <v>1946</v>
      </c>
      <c r="G2036" s="378" t="s">
        <v>2590</v>
      </c>
      <c r="H2036" s="378" t="s">
        <v>1947</v>
      </c>
      <c r="I2036" s="378" t="s">
        <v>1948</v>
      </c>
      <c r="J2036" s="453" t="s">
        <v>1949</v>
      </c>
      <c r="K2036" s="378" t="s">
        <v>1950</v>
      </c>
    </row>
    <row r="2037" spans="1:11" ht="15.75">
      <c r="A2037" s="922" t="s">
        <v>3687</v>
      </c>
      <c r="B2037" s="618" t="s">
        <v>2182</v>
      </c>
      <c r="C2037" s="472" t="s">
        <v>3688</v>
      </c>
      <c r="D2037" s="472" t="s">
        <v>2661</v>
      </c>
      <c r="E2037" s="475">
        <v>190000000</v>
      </c>
      <c r="F2037" s="472" t="s">
        <v>2292</v>
      </c>
      <c r="G2037" s="472" t="s">
        <v>2605</v>
      </c>
      <c r="H2037" s="473" t="s">
        <v>1955</v>
      </c>
      <c r="I2037" s="473" t="s">
        <v>1644</v>
      </c>
      <c r="J2037" s="473">
        <v>1</v>
      </c>
      <c r="K2037" s="472" t="s">
        <v>2629</v>
      </c>
    </row>
    <row r="2038" spans="1:11" ht="15.75">
      <c r="A2038" s="454" t="s">
        <v>3689</v>
      </c>
      <c r="B2038" s="455" t="s">
        <v>2182</v>
      </c>
      <c r="C2038" s="459" t="s">
        <v>3690</v>
      </c>
      <c r="D2038" s="455" t="s">
        <v>2770</v>
      </c>
      <c r="E2038" s="461">
        <v>225000000</v>
      </c>
      <c r="F2038" s="654" t="s">
        <v>2292</v>
      </c>
      <c r="G2038" s="464" t="s">
        <v>2593</v>
      </c>
      <c r="H2038" s="655" t="s">
        <v>1955</v>
      </c>
      <c r="I2038" s="460" t="s">
        <v>1644</v>
      </c>
      <c r="J2038" s="460">
        <v>1</v>
      </c>
      <c r="K2038" s="455" t="s">
        <v>2629</v>
      </c>
    </row>
    <row r="2039" spans="1:11" ht="15.75">
      <c r="A2039" s="937" t="s">
        <v>3691</v>
      </c>
      <c r="B2039" s="472" t="s">
        <v>2182</v>
      </c>
      <c r="C2039" s="472" t="s">
        <v>3692</v>
      </c>
      <c r="D2039" s="472" t="s">
        <v>2661</v>
      </c>
      <c r="E2039" s="475">
        <v>155000000</v>
      </c>
      <c r="F2039" s="472" t="s">
        <v>2292</v>
      </c>
      <c r="G2039" s="472" t="s">
        <v>2605</v>
      </c>
      <c r="H2039" s="473" t="s">
        <v>1955</v>
      </c>
      <c r="I2039" s="473" t="s">
        <v>1644</v>
      </c>
      <c r="J2039" s="473">
        <v>1</v>
      </c>
      <c r="K2039" s="472" t="s">
        <v>2629</v>
      </c>
    </row>
    <row r="2040" spans="1:11" ht="15.75">
      <c r="A2040" s="937" t="s">
        <v>3693</v>
      </c>
      <c r="B2040" s="472" t="s">
        <v>2182</v>
      </c>
      <c r="C2040" s="472" t="s">
        <v>3694</v>
      </c>
      <c r="D2040" s="472" t="s">
        <v>2966</v>
      </c>
      <c r="E2040" s="475">
        <v>270000000</v>
      </c>
      <c r="F2040" s="472" t="s">
        <v>2292</v>
      </c>
      <c r="G2040" s="472" t="s">
        <v>30</v>
      </c>
      <c r="H2040" s="473" t="s">
        <v>1955</v>
      </c>
      <c r="I2040" s="473" t="s">
        <v>1644</v>
      </c>
      <c r="J2040" s="473">
        <v>1</v>
      </c>
      <c r="K2040" s="472" t="s">
        <v>2629</v>
      </c>
    </row>
    <row r="2041" spans="1:11" ht="15.75">
      <c r="A2041" s="579" t="s">
        <v>3695</v>
      </c>
      <c r="B2041" s="381" t="s">
        <v>1952</v>
      </c>
      <c r="C2041" s="381" t="s">
        <v>936</v>
      </c>
      <c r="D2041" s="381" t="s">
        <v>2669</v>
      </c>
      <c r="E2041" s="451">
        <v>1350000</v>
      </c>
      <c r="F2041" s="381" t="s">
        <v>2292</v>
      </c>
      <c r="G2041" s="381" t="s">
        <v>30</v>
      </c>
      <c r="H2041" s="383" t="s">
        <v>1955</v>
      </c>
      <c r="I2041" s="383" t="s">
        <v>1625</v>
      </c>
      <c r="J2041" s="383">
        <v>1</v>
      </c>
      <c r="K2041" s="381" t="s">
        <v>1171</v>
      </c>
    </row>
    <row r="2042" spans="1:11" ht="15.75">
      <c r="A2042" s="393" t="s">
        <v>3695</v>
      </c>
      <c r="B2042" s="381" t="s">
        <v>2182</v>
      </c>
      <c r="C2042" s="381" t="s">
        <v>3696</v>
      </c>
      <c r="D2042" s="381" t="s">
        <v>2661</v>
      </c>
      <c r="E2042" s="451">
        <v>850000</v>
      </c>
      <c r="F2042" s="381" t="s">
        <v>2292</v>
      </c>
      <c r="G2042" s="381" t="s">
        <v>2605</v>
      </c>
      <c r="H2042" s="383" t="s">
        <v>1955</v>
      </c>
      <c r="I2042" s="383" t="s">
        <v>1644</v>
      </c>
      <c r="J2042" s="383">
        <v>1</v>
      </c>
      <c r="K2042" s="381" t="s">
        <v>1171</v>
      </c>
    </row>
    <row r="2043" spans="1:11" ht="15.75">
      <c r="A2043" s="579" t="s">
        <v>3687</v>
      </c>
      <c r="B2043" s="381" t="s">
        <v>2182</v>
      </c>
      <c r="C2043" s="381" t="s">
        <v>3697</v>
      </c>
      <c r="D2043" s="381" t="s">
        <v>2661</v>
      </c>
      <c r="E2043" s="451">
        <v>1100000</v>
      </c>
      <c r="F2043" s="381" t="s">
        <v>2306</v>
      </c>
      <c r="G2043" s="381" t="s">
        <v>2605</v>
      </c>
      <c r="H2043" s="383" t="s">
        <v>1955</v>
      </c>
      <c r="I2043" s="383" t="s">
        <v>1644</v>
      </c>
      <c r="J2043" s="383">
        <v>1</v>
      </c>
      <c r="K2043" s="381" t="s">
        <v>1171</v>
      </c>
    </row>
    <row r="2044" spans="1:11" ht="15.75">
      <c r="A2044" s="579" t="s">
        <v>3689</v>
      </c>
      <c r="B2044" s="381" t="s">
        <v>2182</v>
      </c>
      <c r="C2044" s="381" t="s">
        <v>3698</v>
      </c>
      <c r="D2044" s="381" t="s">
        <v>2576</v>
      </c>
      <c r="E2044" s="451">
        <v>850000</v>
      </c>
      <c r="F2044" s="381" t="s">
        <v>2292</v>
      </c>
      <c r="G2044" s="381" t="s">
        <v>30</v>
      </c>
      <c r="H2044" s="383" t="s">
        <v>1955</v>
      </c>
      <c r="I2044" s="383" t="s">
        <v>1644</v>
      </c>
      <c r="J2044" s="383">
        <v>1</v>
      </c>
      <c r="K2044" s="381" t="s">
        <v>1245</v>
      </c>
    </row>
    <row r="2045" spans="1:11" ht="15.75">
      <c r="A2045" s="579">
        <v>44562</v>
      </c>
      <c r="B2045" s="381" t="s">
        <v>2182</v>
      </c>
      <c r="C2045" s="381" t="s">
        <v>3699</v>
      </c>
      <c r="D2045" s="381" t="s">
        <v>2253</v>
      </c>
      <c r="E2045" s="451">
        <v>800000</v>
      </c>
      <c r="F2045" s="381" t="s">
        <v>2292</v>
      </c>
      <c r="G2045" s="381" t="s">
        <v>30</v>
      </c>
      <c r="H2045" s="383" t="s">
        <v>1955</v>
      </c>
      <c r="I2045" s="383" t="s">
        <v>1644</v>
      </c>
      <c r="J2045" s="383">
        <v>1</v>
      </c>
      <c r="K2045" s="381" t="s">
        <v>1171</v>
      </c>
    </row>
    <row r="2046" spans="1:11" ht="15.75">
      <c r="A2046" s="579">
        <v>44655</v>
      </c>
      <c r="B2046" s="381" t="s">
        <v>2182</v>
      </c>
      <c r="C2046" s="381" t="s">
        <v>986</v>
      </c>
      <c r="D2046" s="381" t="s">
        <v>2253</v>
      </c>
      <c r="E2046" s="451">
        <v>650000</v>
      </c>
      <c r="F2046" s="381" t="s">
        <v>2292</v>
      </c>
      <c r="G2046" s="381" t="s">
        <v>30</v>
      </c>
      <c r="H2046" s="383" t="s">
        <v>1625</v>
      </c>
      <c r="I2046" s="383" t="s">
        <v>1644</v>
      </c>
      <c r="J2046" s="383">
        <v>1</v>
      </c>
      <c r="K2046" s="381" t="s">
        <v>1245</v>
      </c>
    </row>
    <row r="2047" spans="1:11" ht="15.75">
      <c r="A2047" s="579">
        <v>44716</v>
      </c>
      <c r="B2047" s="381" t="s">
        <v>1966</v>
      </c>
      <c r="C2047" s="381" t="s">
        <v>3700</v>
      </c>
      <c r="D2047" s="381" t="s">
        <v>2845</v>
      </c>
      <c r="E2047" s="451">
        <v>2500000</v>
      </c>
      <c r="F2047" s="381" t="s">
        <v>1968</v>
      </c>
      <c r="G2047" s="381" t="s">
        <v>2593</v>
      </c>
      <c r="H2047" s="383" t="s">
        <v>1955</v>
      </c>
      <c r="I2047" s="383" t="s">
        <v>1644</v>
      </c>
      <c r="J2047" s="383">
        <v>1</v>
      </c>
      <c r="K2047" s="381" t="s">
        <v>1171</v>
      </c>
    </row>
    <row r="2048" spans="1:11" ht="15.75">
      <c r="A2048" s="579">
        <v>44746</v>
      </c>
      <c r="B2048" s="381" t="s">
        <v>2182</v>
      </c>
      <c r="C2048" s="381" t="s">
        <v>3701</v>
      </c>
      <c r="D2048" s="381" t="s">
        <v>2661</v>
      </c>
      <c r="E2048" s="451">
        <v>900000</v>
      </c>
      <c r="F2048" s="381" t="s">
        <v>2292</v>
      </c>
      <c r="G2048" s="381" t="s">
        <v>2605</v>
      </c>
      <c r="H2048" s="383" t="s">
        <v>1955</v>
      </c>
      <c r="I2048" s="383" t="s">
        <v>1644</v>
      </c>
      <c r="J2048" s="383">
        <v>1</v>
      </c>
      <c r="K2048" s="381" t="s">
        <v>1245</v>
      </c>
    </row>
    <row r="2049" spans="1:11" ht="15.75">
      <c r="A2049" s="579">
        <v>44777</v>
      </c>
      <c r="B2049" s="381" t="s">
        <v>2182</v>
      </c>
      <c r="C2049" s="381" t="s">
        <v>3702</v>
      </c>
      <c r="D2049" s="381" t="s">
        <v>75</v>
      </c>
      <c r="E2049" s="451">
        <v>1700000</v>
      </c>
      <c r="F2049" s="381" t="s">
        <v>2292</v>
      </c>
      <c r="G2049" s="381" t="s">
        <v>30</v>
      </c>
      <c r="H2049" s="383" t="s">
        <v>1955</v>
      </c>
      <c r="I2049" s="383" t="s">
        <v>1644</v>
      </c>
      <c r="J2049" s="383">
        <v>1</v>
      </c>
      <c r="K2049" s="381" t="s">
        <v>1171</v>
      </c>
    </row>
    <row r="2050" spans="1:11" ht="15.75">
      <c r="A2050" s="579">
        <v>44899</v>
      </c>
      <c r="B2050" s="381" t="s">
        <v>2182</v>
      </c>
      <c r="C2050" s="381" t="s">
        <v>3703</v>
      </c>
      <c r="D2050" s="381" t="s">
        <v>2573</v>
      </c>
      <c r="E2050" s="451">
        <v>1500000</v>
      </c>
      <c r="F2050" s="381" t="s">
        <v>2292</v>
      </c>
      <c r="G2050" s="381" t="s">
        <v>2605</v>
      </c>
      <c r="H2050" s="383" t="s">
        <v>1955</v>
      </c>
      <c r="I2050" s="383" t="s">
        <v>1644</v>
      </c>
      <c r="J2050" s="383">
        <v>1</v>
      </c>
      <c r="K2050" s="381" t="s">
        <v>1245</v>
      </c>
    </row>
    <row r="2051" spans="1:11" ht="15.75">
      <c r="A2051" s="579" t="s">
        <v>3704</v>
      </c>
      <c r="B2051" s="381" t="s">
        <v>2182</v>
      </c>
      <c r="C2051" s="381" t="s">
        <v>3705</v>
      </c>
      <c r="D2051" s="381" t="s">
        <v>2661</v>
      </c>
      <c r="E2051" s="451">
        <v>900000</v>
      </c>
      <c r="F2051" s="381" t="s">
        <v>1968</v>
      </c>
      <c r="G2051" s="381" t="s">
        <v>30</v>
      </c>
      <c r="H2051" s="383" t="s">
        <v>1955</v>
      </c>
      <c r="I2051" s="383" t="s">
        <v>1644</v>
      </c>
      <c r="J2051" s="383">
        <v>1</v>
      </c>
      <c r="K2051" s="381" t="s">
        <v>1171</v>
      </c>
    </row>
    <row r="2052" spans="1:11" ht="15.75">
      <c r="A2052" s="579" t="s">
        <v>3706</v>
      </c>
      <c r="B2052" s="381" t="s">
        <v>2182</v>
      </c>
      <c r="C2052" s="381" t="s">
        <v>3694</v>
      </c>
      <c r="D2052" s="381" t="s">
        <v>2966</v>
      </c>
      <c r="E2052" s="451">
        <v>1400000</v>
      </c>
      <c r="F2052" s="381" t="s">
        <v>2292</v>
      </c>
      <c r="G2052" s="381" t="s">
        <v>30</v>
      </c>
      <c r="H2052" s="383" t="s">
        <v>1625</v>
      </c>
      <c r="I2052" s="383" t="s">
        <v>1644</v>
      </c>
      <c r="J2052" s="383">
        <v>1</v>
      </c>
      <c r="K2052" s="381" t="s">
        <v>1245</v>
      </c>
    </row>
    <row r="2053" spans="1:11" ht="15.75">
      <c r="A2053" s="579" t="s">
        <v>3706</v>
      </c>
      <c r="B2053" s="381" t="s">
        <v>1966</v>
      </c>
      <c r="C2053" s="381" t="s">
        <v>3707</v>
      </c>
      <c r="D2053" s="381" t="s">
        <v>3708</v>
      </c>
      <c r="E2053" s="451">
        <v>700000</v>
      </c>
      <c r="F2053" s="381" t="s">
        <v>1968</v>
      </c>
      <c r="G2053" s="381" t="s">
        <v>2593</v>
      </c>
      <c r="H2053" s="383" t="s">
        <v>1625</v>
      </c>
      <c r="I2053" s="383" t="s">
        <v>1644</v>
      </c>
      <c r="J2053" s="383">
        <v>1</v>
      </c>
      <c r="K2053" s="381" t="s">
        <v>1171</v>
      </c>
    </row>
    <row r="2054" spans="1:11" ht="15.75">
      <c r="A2054" s="579" t="s">
        <v>3709</v>
      </c>
      <c r="B2054" s="381" t="s">
        <v>2182</v>
      </c>
      <c r="C2054" s="381" t="s">
        <v>1708</v>
      </c>
      <c r="D2054" s="381" t="s">
        <v>2770</v>
      </c>
      <c r="E2054" s="451">
        <v>1650000</v>
      </c>
      <c r="F2054" s="381" t="s">
        <v>2292</v>
      </c>
      <c r="G2054" s="381" t="s">
        <v>30</v>
      </c>
      <c r="H2054" s="383" t="s">
        <v>1625</v>
      </c>
      <c r="I2054" s="383" t="s">
        <v>1644</v>
      </c>
      <c r="J2054" s="383">
        <v>1</v>
      </c>
      <c r="K2054" s="381" t="s">
        <v>1245</v>
      </c>
    </row>
    <row r="2055" spans="1:11" ht="15.75">
      <c r="A2055" s="579" t="s">
        <v>3658</v>
      </c>
      <c r="B2055" s="381" t="s">
        <v>2182</v>
      </c>
      <c r="C2055" s="381" t="s">
        <v>979</v>
      </c>
      <c r="D2055" s="381" t="s">
        <v>2669</v>
      </c>
      <c r="E2055" s="451">
        <v>1600000</v>
      </c>
      <c r="F2055" s="381" t="s">
        <v>2292</v>
      </c>
      <c r="G2055" s="381" t="s">
        <v>2605</v>
      </c>
      <c r="H2055" s="383" t="s">
        <v>1955</v>
      </c>
      <c r="I2055" s="383" t="s">
        <v>1644</v>
      </c>
      <c r="J2055" s="383">
        <v>1</v>
      </c>
      <c r="K2055" s="381" t="s">
        <v>1245</v>
      </c>
    </row>
    <row r="2056" spans="1:11" ht="15.75">
      <c r="A2056" s="579" t="s">
        <v>3658</v>
      </c>
      <c r="B2056" s="381" t="s">
        <v>2182</v>
      </c>
      <c r="C2056" s="381" t="s">
        <v>980</v>
      </c>
      <c r="D2056" s="381" t="s">
        <v>2966</v>
      </c>
      <c r="E2056" s="451">
        <v>1450000</v>
      </c>
      <c r="F2056" s="381" t="s">
        <v>2292</v>
      </c>
      <c r="G2056" s="381" t="s">
        <v>30</v>
      </c>
      <c r="H2056" s="383" t="s">
        <v>1955</v>
      </c>
      <c r="I2056" s="383" t="s">
        <v>1644</v>
      </c>
      <c r="J2056" s="383">
        <v>1</v>
      </c>
      <c r="K2056" s="381" t="s">
        <v>1171</v>
      </c>
    </row>
    <row r="2057" spans="1:11" ht="15.75">
      <c r="A2057" s="744" t="s">
        <v>3677</v>
      </c>
      <c r="B2057" s="381" t="s">
        <v>2182</v>
      </c>
      <c r="C2057" s="381" t="s">
        <v>985</v>
      </c>
      <c r="D2057" s="381" t="s">
        <v>2394</v>
      </c>
      <c r="E2057" s="451">
        <v>1250000</v>
      </c>
      <c r="F2057" s="381" t="s">
        <v>2292</v>
      </c>
      <c r="G2057" s="381" t="s">
        <v>30</v>
      </c>
      <c r="H2057" s="383" t="s">
        <v>1955</v>
      </c>
      <c r="I2057" s="383" t="s">
        <v>1644</v>
      </c>
      <c r="J2057" s="383">
        <v>1</v>
      </c>
      <c r="K2057" s="381" t="s">
        <v>1171</v>
      </c>
    </row>
    <row r="2058" spans="1:11" ht="15.75">
      <c r="A2058" s="393" t="s">
        <v>3677</v>
      </c>
      <c r="B2058" s="610" t="s">
        <v>2182</v>
      </c>
      <c r="C2058" s="482" t="s">
        <v>3710</v>
      </c>
      <c r="D2058" s="482" t="s">
        <v>2661</v>
      </c>
      <c r="E2058" s="483">
        <v>1200000</v>
      </c>
      <c r="F2058" s="482" t="s">
        <v>2292</v>
      </c>
      <c r="G2058" s="482" t="s">
        <v>2593</v>
      </c>
      <c r="H2058" s="484" t="s">
        <v>1955</v>
      </c>
      <c r="I2058" s="484" t="s">
        <v>1644</v>
      </c>
      <c r="J2058" s="484">
        <v>1</v>
      </c>
      <c r="K2058" s="482" t="s">
        <v>1245</v>
      </c>
    </row>
    <row r="2059" spans="1:11" ht="15.75">
      <c r="A2059" s="412" t="s">
        <v>3677</v>
      </c>
      <c r="B2059" s="411" t="s">
        <v>2182</v>
      </c>
      <c r="C2059" s="381" t="s">
        <v>1709</v>
      </c>
      <c r="D2059" s="381" t="s">
        <v>2770</v>
      </c>
      <c r="E2059" s="451">
        <v>1650000</v>
      </c>
      <c r="F2059" s="381" t="s">
        <v>2292</v>
      </c>
      <c r="G2059" s="381" t="s">
        <v>2605</v>
      </c>
      <c r="H2059" s="383" t="s">
        <v>1955</v>
      </c>
      <c r="I2059" s="383" t="s">
        <v>1644</v>
      </c>
      <c r="J2059" s="383">
        <v>1</v>
      </c>
      <c r="K2059" s="381" t="s">
        <v>1171</v>
      </c>
    </row>
    <row r="2060" spans="1:11" ht="15.75">
      <c r="A2060" s="928" t="s">
        <v>3677</v>
      </c>
      <c r="B2060" s="420" t="s">
        <v>2182</v>
      </c>
      <c r="C2060" s="743" t="s">
        <v>3711</v>
      </c>
      <c r="D2060" s="633" t="s">
        <v>2966</v>
      </c>
      <c r="E2060" s="644">
        <v>1300000</v>
      </c>
      <c r="F2060" s="633" t="s">
        <v>1968</v>
      </c>
      <c r="G2060" s="633" t="s">
        <v>2605</v>
      </c>
      <c r="H2060" s="635" t="s">
        <v>1955</v>
      </c>
      <c r="I2060" s="635" t="s">
        <v>1644</v>
      </c>
      <c r="J2060" s="387">
        <v>1</v>
      </c>
      <c r="K2060" s="385" t="s">
        <v>1245</v>
      </c>
    </row>
    <row r="2061" spans="1:11" ht="15.75">
      <c r="A2061" s="456"/>
      <c r="B2061" s="457"/>
      <c r="C2061" s="457"/>
      <c r="D2061" s="457"/>
      <c r="E2061" s="476"/>
      <c r="F2061" s="457"/>
      <c r="G2061" s="457"/>
      <c r="H2061" s="153"/>
      <c r="I2061" s="153"/>
      <c r="J2061" s="493">
        <f>SUM(J2037:J2060)</f>
        <v>24</v>
      </c>
      <c r="K2061" s="457"/>
    </row>
    <row r="2062" spans="1:11" ht="15.75">
      <c r="A2062" s="394"/>
      <c r="B2062" s="395"/>
      <c r="C2062" s="395"/>
      <c r="D2062" s="395"/>
      <c r="E2062" s="396"/>
      <c r="F2062" s="397"/>
      <c r="G2062" s="397"/>
      <c r="H2062" s="395"/>
      <c r="I2062" s="395"/>
      <c r="J2062" s="395"/>
      <c r="K2062" s="395"/>
    </row>
    <row r="2063" spans="1:11" ht="15.75">
      <c r="A2063" s="394"/>
      <c r="B2063" s="395"/>
      <c r="C2063" s="395"/>
      <c r="D2063" s="395"/>
      <c r="E2063" s="396"/>
      <c r="F2063" s="397"/>
      <c r="G2063" s="397"/>
      <c r="H2063" s="395"/>
      <c r="I2063" s="395"/>
      <c r="J2063" s="395"/>
      <c r="K2063" s="395"/>
    </row>
    <row r="2065" spans="1:11" ht="26.25">
      <c r="A2065" s="1668" t="s">
        <v>3712</v>
      </c>
      <c r="B2065" s="1669"/>
      <c r="C2065" s="1669"/>
      <c r="D2065" s="1669"/>
      <c r="E2065" s="1669"/>
      <c r="F2065" s="1669"/>
      <c r="G2065" s="1669"/>
      <c r="H2065" s="1669"/>
      <c r="I2065" s="1669"/>
      <c r="J2065" s="1669"/>
      <c r="K2065" s="1670"/>
    </row>
    <row r="2066" spans="1:11" ht="30.75">
      <c r="A2066" s="378" t="s">
        <v>1941</v>
      </c>
      <c r="B2066" s="378" t="s">
        <v>1942</v>
      </c>
      <c r="C2066" s="378" t="s">
        <v>1943</v>
      </c>
      <c r="D2066" s="378" t="s">
        <v>1944</v>
      </c>
      <c r="E2066" s="452" t="s">
        <v>1945</v>
      </c>
      <c r="F2066" s="378" t="s">
        <v>1946</v>
      </c>
      <c r="G2066" s="378" t="s">
        <v>2590</v>
      </c>
      <c r="H2066" s="378" t="s">
        <v>1947</v>
      </c>
      <c r="I2066" s="378" t="s">
        <v>1948</v>
      </c>
      <c r="J2066" s="453" t="s">
        <v>1949</v>
      </c>
      <c r="K2066" s="378" t="s">
        <v>1950</v>
      </c>
    </row>
    <row r="2067" spans="1:11" ht="15.75">
      <c r="A2067" s="922" t="s">
        <v>3663</v>
      </c>
      <c r="B2067" s="618" t="s">
        <v>2182</v>
      </c>
      <c r="C2067" s="472" t="s">
        <v>3713</v>
      </c>
      <c r="D2067" s="472" t="s">
        <v>3549</v>
      </c>
      <c r="E2067" s="475">
        <v>240000000</v>
      </c>
      <c r="F2067" s="472" t="s">
        <v>2292</v>
      </c>
      <c r="G2067" s="472" t="s">
        <v>2605</v>
      </c>
      <c r="H2067" s="473" t="s">
        <v>1955</v>
      </c>
      <c r="I2067" s="473" t="s">
        <v>1644</v>
      </c>
      <c r="J2067" s="473">
        <v>1</v>
      </c>
      <c r="K2067" s="472" t="s">
        <v>2629</v>
      </c>
    </row>
    <row r="2068" spans="1:11" ht="15.75">
      <c r="A2068" s="922" t="s">
        <v>3663</v>
      </c>
      <c r="B2068" s="618" t="s">
        <v>2182</v>
      </c>
      <c r="C2068" s="578" t="s">
        <v>3714</v>
      </c>
      <c r="D2068" s="472" t="s">
        <v>75</v>
      </c>
      <c r="E2068" s="475">
        <v>310000000</v>
      </c>
      <c r="F2068" s="472" t="s">
        <v>2292</v>
      </c>
      <c r="G2068" s="472" t="s">
        <v>2605</v>
      </c>
      <c r="H2068" s="473" t="s">
        <v>1625</v>
      </c>
      <c r="I2068" s="473" t="s">
        <v>1644</v>
      </c>
      <c r="J2068" s="473">
        <v>1</v>
      </c>
      <c r="K2068" s="472" t="s">
        <v>2629</v>
      </c>
    </row>
    <row r="2069" spans="1:11" ht="15.75">
      <c r="A2069" s="611">
        <v>44565</v>
      </c>
      <c r="B2069" s="472" t="s">
        <v>2182</v>
      </c>
      <c r="C2069" s="472" t="s">
        <v>3715</v>
      </c>
      <c r="D2069" s="472" t="s">
        <v>2253</v>
      </c>
      <c r="E2069" s="475">
        <v>160000000</v>
      </c>
      <c r="F2069" s="472" t="s">
        <v>1968</v>
      </c>
      <c r="G2069" s="472" t="s">
        <v>2593</v>
      </c>
      <c r="H2069" s="473" t="s">
        <v>1955</v>
      </c>
      <c r="I2069" s="473" t="s">
        <v>1644</v>
      </c>
      <c r="J2069" s="473">
        <v>1</v>
      </c>
      <c r="K2069" s="472" t="s">
        <v>2629</v>
      </c>
    </row>
    <row r="2070" spans="1:11" ht="15.75">
      <c r="A2070" s="474">
        <v>44899</v>
      </c>
      <c r="B2070" s="472" t="s">
        <v>2182</v>
      </c>
      <c r="C2070" s="472" t="s">
        <v>3716</v>
      </c>
      <c r="D2070" s="472" t="s">
        <v>75</v>
      </c>
      <c r="E2070" s="475">
        <v>335000000</v>
      </c>
      <c r="F2070" s="472" t="s">
        <v>2536</v>
      </c>
      <c r="G2070" s="472" t="s">
        <v>2593</v>
      </c>
      <c r="H2070" s="473" t="s">
        <v>1955</v>
      </c>
      <c r="I2070" s="473" t="s">
        <v>1644</v>
      </c>
      <c r="J2070" s="473">
        <v>1</v>
      </c>
      <c r="K2070" s="472" t="s">
        <v>2629</v>
      </c>
    </row>
    <row r="2071" spans="1:11" ht="15.75">
      <c r="A2071" s="384" t="s">
        <v>3695</v>
      </c>
      <c r="B2071" s="577" t="s">
        <v>1966</v>
      </c>
      <c r="C2071" s="385" t="s">
        <v>3717</v>
      </c>
      <c r="D2071" s="385" t="s">
        <v>2845</v>
      </c>
      <c r="E2071" s="462">
        <v>3000000</v>
      </c>
      <c r="F2071" s="385" t="s">
        <v>1968</v>
      </c>
      <c r="G2071" s="385" t="s">
        <v>2593</v>
      </c>
      <c r="H2071" s="387" t="s">
        <v>1955</v>
      </c>
      <c r="I2071" s="387" t="s">
        <v>1625</v>
      </c>
      <c r="J2071" s="387">
        <v>1</v>
      </c>
      <c r="K2071" s="385" t="s">
        <v>1245</v>
      </c>
    </row>
    <row r="2072" spans="1:11" ht="15.75">
      <c r="A2072" s="384" t="s">
        <v>3695</v>
      </c>
      <c r="B2072" s="577" t="s">
        <v>2182</v>
      </c>
      <c r="C2072" s="426" t="s">
        <v>909</v>
      </c>
      <c r="D2072" s="385" t="s">
        <v>75</v>
      </c>
      <c r="E2072" s="462">
        <v>1400000</v>
      </c>
      <c r="F2072" s="385" t="s">
        <v>2290</v>
      </c>
      <c r="G2072" s="385" t="s">
        <v>2593</v>
      </c>
      <c r="H2072" s="387" t="s">
        <v>1625</v>
      </c>
      <c r="I2072" s="387" t="s">
        <v>1644</v>
      </c>
      <c r="J2072" s="387">
        <v>1</v>
      </c>
      <c r="K2072" s="385" t="s">
        <v>1171</v>
      </c>
    </row>
    <row r="2073" spans="1:11" ht="15.75">
      <c r="A2073" s="384" t="s">
        <v>3663</v>
      </c>
      <c r="B2073" s="577" t="s">
        <v>2182</v>
      </c>
      <c r="C2073" s="426" t="s">
        <v>1964</v>
      </c>
      <c r="D2073" s="385" t="s">
        <v>75</v>
      </c>
      <c r="E2073" s="462">
        <v>1500000</v>
      </c>
      <c r="F2073" s="385" t="s">
        <v>2292</v>
      </c>
      <c r="G2073" s="385" t="s">
        <v>2605</v>
      </c>
      <c r="H2073" s="387" t="s">
        <v>1625</v>
      </c>
      <c r="I2073" s="387" t="s">
        <v>1644</v>
      </c>
      <c r="J2073" s="387">
        <v>1</v>
      </c>
      <c r="K2073" s="385" t="s">
        <v>1171</v>
      </c>
    </row>
    <row r="2074" spans="1:11" ht="15.75">
      <c r="A2074" s="412" t="s">
        <v>3663</v>
      </c>
      <c r="B2074" s="381" t="s">
        <v>2182</v>
      </c>
      <c r="C2074" s="426" t="s">
        <v>3713</v>
      </c>
      <c r="D2074" s="385" t="s">
        <v>3549</v>
      </c>
      <c r="E2074" s="462">
        <v>1350000</v>
      </c>
      <c r="F2074" s="385" t="s">
        <v>2292</v>
      </c>
      <c r="G2074" s="385" t="s">
        <v>2605</v>
      </c>
      <c r="H2074" s="387" t="s">
        <v>1955</v>
      </c>
      <c r="I2074" s="387" t="s">
        <v>1644</v>
      </c>
      <c r="J2074" s="387">
        <v>1</v>
      </c>
      <c r="K2074" s="385" t="s">
        <v>1171</v>
      </c>
    </row>
    <row r="2075" spans="1:11" ht="15.75">
      <c r="A2075" s="412" t="s">
        <v>3663</v>
      </c>
      <c r="B2075" s="381" t="s">
        <v>2182</v>
      </c>
      <c r="C2075" s="426" t="s">
        <v>3718</v>
      </c>
      <c r="D2075" s="385" t="s">
        <v>75</v>
      </c>
      <c r="E2075" s="462">
        <v>1350000</v>
      </c>
      <c r="F2075" s="385" t="s">
        <v>2292</v>
      </c>
      <c r="G2075" s="385" t="s">
        <v>2605</v>
      </c>
      <c r="H2075" s="387" t="s">
        <v>1625</v>
      </c>
      <c r="I2075" s="387" t="s">
        <v>1644</v>
      </c>
      <c r="J2075" s="387">
        <v>1</v>
      </c>
      <c r="K2075" s="385" t="s">
        <v>1171</v>
      </c>
    </row>
    <row r="2076" spans="1:11" ht="15.75">
      <c r="A2076" s="412" t="s">
        <v>3689</v>
      </c>
      <c r="B2076" s="381" t="s">
        <v>2182</v>
      </c>
      <c r="C2076" s="426" t="s">
        <v>3719</v>
      </c>
      <c r="D2076" s="385" t="s">
        <v>3720</v>
      </c>
      <c r="E2076" s="462">
        <v>4400000</v>
      </c>
      <c r="F2076" s="385" t="s">
        <v>1968</v>
      </c>
      <c r="G2076" s="385" t="s">
        <v>2593</v>
      </c>
      <c r="H2076" s="387" t="s">
        <v>1955</v>
      </c>
      <c r="I2076" s="387" t="s">
        <v>1644</v>
      </c>
      <c r="J2076" s="387">
        <v>1</v>
      </c>
      <c r="K2076" s="385" t="s">
        <v>1245</v>
      </c>
    </row>
    <row r="2077" spans="1:11" ht="15.75">
      <c r="A2077" s="928" t="s">
        <v>3689</v>
      </c>
      <c r="B2077" s="420" t="s">
        <v>2182</v>
      </c>
      <c r="C2077" s="743" t="s">
        <v>3721</v>
      </c>
      <c r="D2077" s="633" t="s">
        <v>2711</v>
      </c>
      <c r="E2077" s="644">
        <v>1250000</v>
      </c>
      <c r="F2077" s="633" t="s">
        <v>2292</v>
      </c>
      <c r="G2077" s="633" t="s">
        <v>2605</v>
      </c>
      <c r="H2077" s="635" t="s">
        <v>1625</v>
      </c>
      <c r="I2077" s="635" t="s">
        <v>1644</v>
      </c>
      <c r="J2077" s="387">
        <v>1</v>
      </c>
      <c r="K2077" s="385" t="s">
        <v>1245</v>
      </c>
    </row>
    <row r="2078" spans="1:11" ht="15.75">
      <c r="A2078" s="928" t="s">
        <v>3689</v>
      </c>
      <c r="B2078" s="420" t="s">
        <v>2182</v>
      </c>
      <c r="C2078" s="743" t="s">
        <v>3722</v>
      </c>
      <c r="D2078" s="633" t="s">
        <v>3723</v>
      </c>
      <c r="E2078" s="644">
        <v>950000</v>
      </c>
      <c r="F2078" s="633" t="s">
        <v>1968</v>
      </c>
      <c r="G2078" s="633" t="s">
        <v>2593</v>
      </c>
      <c r="H2078" s="635" t="s">
        <v>1955</v>
      </c>
      <c r="I2078" s="635" t="s">
        <v>1644</v>
      </c>
      <c r="J2078" s="387">
        <v>1</v>
      </c>
      <c r="K2078" s="385" t="s">
        <v>1171</v>
      </c>
    </row>
    <row r="2079" spans="1:11" ht="15.75">
      <c r="A2079" s="928">
        <v>44565</v>
      </c>
      <c r="B2079" s="420" t="s">
        <v>2182</v>
      </c>
      <c r="C2079" s="743" t="s">
        <v>3724</v>
      </c>
      <c r="D2079" s="633" t="s">
        <v>2711</v>
      </c>
      <c r="E2079" s="644">
        <v>1400000</v>
      </c>
      <c r="F2079" s="633" t="s">
        <v>2290</v>
      </c>
      <c r="G2079" s="633" t="s">
        <v>3378</v>
      </c>
      <c r="H2079" s="635" t="s">
        <v>1955</v>
      </c>
      <c r="I2079" s="635" t="s">
        <v>1644</v>
      </c>
      <c r="J2079" s="387">
        <v>1</v>
      </c>
      <c r="K2079" s="385" t="s">
        <v>1171</v>
      </c>
    </row>
    <row r="2080" spans="1:11" ht="15.75">
      <c r="A2080" s="412">
        <v>44565</v>
      </c>
      <c r="B2080" s="411" t="s">
        <v>2182</v>
      </c>
      <c r="C2080" s="381" t="s">
        <v>930</v>
      </c>
      <c r="D2080" s="381" t="s">
        <v>2711</v>
      </c>
      <c r="E2080" s="451">
        <v>1700000</v>
      </c>
      <c r="F2080" s="381" t="s">
        <v>2292</v>
      </c>
      <c r="G2080" s="381" t="s">
        <v>2605</v>
      </c>
      <c r="H2080" s="383" t="s">
        <v>1955</v>
      </c>
      <c r="I2080" s="383" t="s">
        <v>1644</v>
      </c>
      <c r="J2080" s="383">
        <v>1</v>
      </c>
      <c r="K2080" s="381" t="s">
        <v>1245</v>
      </c>
    </row>
    <row r="2081" spans="1:11" ht="15.75">
      <c r="A2081" s="479">
        <v>44565</v>
      </c>
      <c r="B2081" s="612" t="s">
        <v>1966</v>
      </c>
      <c r="C2081" s="426" t="s">
        <v>3725</v>
      </c>
      <c r="D2081" s="385" t="s">
        <v>75</v>
      </c>
      <c r="E2081" s="462">
        <v>1050000</v>
      </c>
      <c r="F2081" s="385" t="s">
        <v>1968</v>
      </c>
      <c r="G2081" s="385" t="s">
        <v>2605</v>
      </c>
      <c r="H2081" s="387" t="s">
        <v>1625</v>
      </c>
      <c r="I2081" s="387" t="s">
        <v>1644</v>
      </c>
      <c r="J2081" s="387">
        <v>1</v>
      </c>
      <c r="K2081" s="385" t="s">
        <v>1171</v>
      </c>
    </row>
    <row r="2082" spans="1:11" ht="15.75">
      <c r="A2082" s="928">
        <v>44655</v>
      </c>
      <c r="B2082" s="420" t="s">
        <v>2182</v>
      </c>
      <c r="C2082" s="743" t="s">
        <v>3715</v>
      </c>
      <c r="D2082" s="633" t="s">
        <v>2253</v>
      </c>
      <c r="E2082" s="644">
        <v>800000</v>
      </c>
      <c r="F2082" s="633" t="s">
        <v>1968</v>
      </c>
      <c r="G2082" s="633" t="s">
        <v>2593</v>
      </c>
      <c r="H2082" s="635" t="s">
        <v>1955</v>
      </c>
      <c r="I2082" s="635" t="s">
        <v>1644</v>
      </c>
      <c r="J2082" s="387">
        <v>1</v>
      </c>
      <c r="K2082" s="385" t="s">
        <v>1245</v>
      </c>
    </row>
    <row r="2083" spans="1:11" ht="15.75">
      <c r="A2083" s="928">
        <v>44716</v>
      </c>
      <c r="B2083" s="420" t="s">
        <v>2182</v>
      </c>
      <c r="C2083" s="743" t="s">
        <v>3726</v>
      </c>
      <c r="D2083" s="633" t="s">
        <v>2326</v>
      </c>
      <c r="E2083" s="644">
        <v>800000</v>
      </c>
      <c r="F2083" s="633" t="s">
        <v>1968</v>
      </c>
      <c r="G2083" s="633" t="s">
        <v>30</v>
      </c>
      <c r="H2083" s="635" t="s">
        <v>1955</v>
      </c>
      <c r="I2083" s="635" t="s">
        <v>1644</v>
      </c>
      <c r="J2083" s="387">
        <v>1</v>
      </c>
      <c r="K2083" s="385" t="s">
        <v>1171</v>
      </c>
    </row>
    <row r="2084" spans="1:11" ht="15.75">
      <c r="A2084" s="928">
        <v>44808</v>
      </c>
      <c r="B2084" s="420" t="s">
        <v>2182</v>
      </c>
      <c r="C2084" s="743" t="s">
        <v>3727</v>
      </c>
      <c r="D2084" s="633" t="s">
        <v>75</v>
      </c>
      <c r="E2084" s="644">
        <v>1500000</v>
      </c>
      <c r="F2084" s="633" t="s">
        <v>2292</v>
      </c>
      <c r="G2084" s="633" t="s">
        <v>2593</v>
      </c>
      <c r="H2084" s="635" t="s">
        <v>1955</v>
      </c>
      <c r="I2084" s="635" t="s">
        <v>1644</v>
      </c>
      <c r="J2084" s="387">
        <v>1</v>
      </c>
      <c r="K2084" s="385" t="s">
        <v>1245</v>
      </c>
    </row>
    <row r="2085" spans="1:11" ht="15.75">
      <c r="A2085" s="928" t="s">
        <v>3706</v>
      </c>
      <c r="B2085" s="420" t="s">
        <v>2182</v>
      </c>
      <c r="C2085" s="743" t="s">
        <v>3716</v>
      </c>
      <c r="D2085" s="633" t="s">
        <v>75</v>
      </c>
      <c r="E2085" s="644">
        <v>1600000</v>
      </c>
      <c r="F2085" s="633" t="s">
        <v>2292</v>
      </c>
      <c r="G2085" s="633" t="s">
        <v>2605</v>
      </c>
      <c r="H2085" s="635" t="s">
        <v>1625</v>
      </c>
      <c r="I2085" s="635" t="s">
        <v>1644</v>
      </c>
      <c r="J2085" s="387">
        <v>1</v>
      </c>
      <c r="K2085" s="385" t="s">
        <v>1245</v>
      </c>
    </row>
    <row r="2086" spans="1:11" ht="15.75">
      <c r="A2086" s="928" t="s">
        <v>3706</v>
      </c>
      <c r="B2086" s="420" t="s">
        <v>2182</v>
      </c>
      <c r="C2086" s="743" t="s">
        <v>927</v>
      </c>
      <c r="D2086" s="633" t="s">
        <v>2347</v>
      </c>
      <c r="E2086" s="644">
        <v>1600000</v>
      </c>
      <c r="F2086" s="633" t="s">
        <v>2292</v>
      </c>
      <c r="G2086" s="633" t="s">
        <v>2605</v>
      </c>
      <c r="H2086" s="635" t="s">
        <v>1625</v>
      </c>
      <c r="I2086" s="635" t="s">
        <v>1644</v>
      </c>
      <c r="J2086" s="387">
        <v>1</v>
      </c>
      <c r="K2086" s="385" t="s">
        <v>1171</v>
      </c>
    </row>
    <row r="2087" spans="1:11" ht="15.75">
      <c r="A2087" s="928" t="s">
        <v>3728</v>
      </c>
      <c r="B2087" s="420" t="s">
        <v>2182</v>
      </c>
      <c r="C2087" s="743" t="s">
        <v>999</v>
      </c>
      <c r="D2087" s="633" t="s">
        <v>3059</v>
      </c>
      <c r="E2087" s="644">
        <v>1750000</v>
      </c>
      <c r="F2087" s="633" t="s">
        <v>2292</v>
      </c>
      <c r="G2087" s="633" t="s">
        <v>2593</v>
      </c>
      <c r="H2087" s="635" t="s">
        <v>1625</v>
      </c>
      <c r="I2087" s="635" t="s">
        <v>1644</v>
      </c>
      <c r="J2087" s="387">
        <v>1</v>
      </c>
      <c r="K2087" s="385" t="s">
        <v>1245</v>
      </c>
    </row>
    <row r="2088" spans="1:11" ht="15.75">
      <c r="A2088" s="928" t="s">
        <v>3658</v>
      </c>
      <c r="B2088" s="420" t="s">
        <v>2060</v>
      </c>
      <c r="C2088" s="743" t="s">
        <v>3729</v>
      </c>
      <c r="D2088" s="633" t="s">
        <v>3730</v>
      </c>
      <c r="E2088" s="644">
        <v>680000</v>
      </c>
      <c r="F2088" s="633" t="s">
        <v>1968</v>
      </c>
      <c r="G2088" s="633" t="s">
        <v>2593</v>
      </c>
      <c r="H2088" s="635" t="s">
        <v>1625</v>
      </c>
      <c r="I2088" s="635" t="s">
        <v>1644</v>
      </c>
      <c r="J2088" s="387">
        <v>1</v>
      </c>
      <c r="K2088" s="385" t="s">
        <v>1171</v>
      </c>
    </row>
    <row r="2089" spans="1:11" ht="15.75">
      <c r="A2089" s="928" t="s">
        <v>3658</v>
      </c>
      <c r="B2089" s="420" t="s">
        <v>2182</v>
      </c>
      <c r="C2089" s="743" t="s">
        <v>3731</v>
      </c>
      <c r="D2089" s="633" t="s">
        <v>3017</v>
      </c>
      <c r="E2089" s="644">
        <v>1350000</v>
      </c>
      <c r="F2089" s="633" t="s">
        <v>2292</v>
      </c>
      <c r="G2089" s="633" t="s">
        <v>2605</v>
      </c>
      <c r="H2089" s="635" t="s">
        <v>1955</v>
      </c>
      <c r="I2089" s="635" t="s">
        <v>1644</v>
      </c>
      <c r="J2089" s="387">
        <v>1</v>
      </c>
      <c r="K2089" s="385" t="s">
        <v>1171</v>
      </c>
    </row>
    <row r="2090" spans="1:11" ht="15.75">
      <c r="A2090" s="928" t="s">
        <v>3732</v>
      </c>
      <c r="B2090" s="420" t="s">
        <v>2060</v>
      </c>
      <c r="C2090" s="743" t="s">
        <v>3733</v>
      </c>
      <c r="D2090" s="633" t="s">
        <v>2719</v>
      </c>
      <c r="E2090" s="644">
        <v>2500000</v>
      </c>
      <c r="F2090" s="633" t="s">
        <v>1968</v>
      </c>
      <c r="G2090" s="633" t="s">
        <v>2593</v>
      </c>
      <c r="H2090" s="635" t="s">
        <v>1955</v>
      </c>
      <c r="I2090" s="635" t="s">
        <v>1644</v>
      </c>
      <c r="J2090" s="387">
        <v>1</v>
      </c>
      <c r="K2090" s="385" t="s">
        <v>1245</v>
      </c>
    </row>
    <row r="2091" spans="1:11" ht="15.75">
      <c r="A2091" s="419"/>
      <c r="B2091" s="420"/>
      <c r="C2091" s="457"/>
      <c r="D2091" s="457"/>
      <c r="E2091" s="458"/>
      <c r="F2091" s="457"/>
      <c r="G2091" s="457"/>
      <c r="H2091" s="457"/>
      <c r="I2091" s="457"/>
      <c r="J2091" s="493">
        <f>SUM(J2067:J2089)</f>
        <v>23</v>
      </c>
      <c r="K2091" s="457"/>
    </row>
    <row r="2094" spans="1:11" ht="26.25">
      <c r="A2094" s="1668" t="s">
        <v>3734</v>
      </c>
      <c r="B2094" s="1669"/>
      <c r="C2094" s="1669"/>
      <c r="D2094" s="1669"/>
      <c r="E2094" s="1669"/>
      <c r="F2094" s="1669"/>
      <c r="G2094" s="1669"/>
      <c r="H2094" s="1669"/>
      <c r="I2094" s="1669"/>
      <c r="J2094" s="1669"/>
      <c r="K2094" s="1670"/>
    </row>
    <row r="2095" spans="1:11" ht="30.75">
      <c r="A2095" s="375" t="s">
        <v>1941</v>
      </c>
      <c r="B2095" s="378" t="s">
        <v>1942</v>
      </c>
      <c r="C2095" s="378" t="s">
        <v>1943</v>
      </c>
      <c r="D2095" s="378" t="s">
        <v>1944</v>
      </c>
      <c r="E2095" s="452" t="s">
        <v>1945</v>
      </c>
      <c r="F2095" s="378" t="s">
        <v>1946</v>
      </c>
      <c r="G2095" s="378" t="s">
        <v>2590</v>
      </c>
      <c r="H2095" s="378" t="s">
        <v>1947</v>
      </c>
      <c r="I2095" s="378" t="s">
        <v>1948</v>
      </c>
      <c r="J2095" s="453" t="s">
        <v>1949</v>
      </c>
      <c r="K2095" s="378" t="s">
        <v>1950</v>
      </c>
    </row>
    <row r="2096" spans="1:11" ht="15.75">
      <c r="A2096" s="443">
        <v>44565</v>
      </c>
      <c r="B2096" s="653" t="s">
        <v>2182</v>
      </c>
      <c r="C2096" s="381" t="s">
        <v>487</v>
      </c>
      <c r="D2096" s="426" t="s">
        <v>3059</v>
      </c>
      <c r="E2096" s="462">
        <v>1750000</v>
      </c>
      <c r="F2096" s="385" t="s">
        <v>1968</v>
      </c>
      <c r="G2096" s="385" t="s">
        <v>30</v>
      </c>
      <c r="H2096" s="387" t="s">
        <v>1955</v>
      </c>
      <c r="I2096" s="387" t="s">
        <v>1644</v>
      </c>
      <c r="J2096" s="387">
        <v>1</v>
      </c>
      <c r="K2096" s="385" t="s">
        <v>856</v>
      </c>
    </row>
    <row r="2097" spans="1:11" ht="15.75">
      <c r="A2097" s="443" t="s">
        <v>3735</v>
      </c>
      <c r="B2097" s="653" t="s">
        <v>2182</v>
      </c>
      <c r="C2097" s="381" t="s">
        <v>919</v>
      </c>
      <c r="D2097" s="426" t="s">
        <v>75</v>
      </c>
      <c r="E2097" s="462">
        <v>1600000</v>
      </c>
      <c r="F2097" s="385" t="s">
        <v>1968</v>
      </c>
      <c r="G2097" s="385" t="s">
        <v>30</v>
      </c>
      <c r="H2097" s="387" t="s">
        <v>1955</v>
      </c>
      <c r="I2097" s="387" t="s">
        <v>1644</v>
      </c>
      <c r="J2097" s="387">
        <v>1</v>
      </c>
      <c r="K2097" s="385" t="s">
        <v>856</v>
      </c>
    </row>
    <row r="2098" spans="1:11" ht="15.75">
      <c r="A2098" s="443">
        <v>44655</v>
      </c>
      <c r="B2098" s="653" t="s">
        <v>2182</v>
      </c>
      <c r="C2098" s="381" t="s">
        <v>961</v>
      </c>
      <c r="D2098" s="426" t="s">
        <v>2711</v>
      </c>
      <c r="E2098" s="462">
        <v>1300000</v>
      </c>
      <c r="F2098" s="385" t="s">
        <v>1968</v>
      </c>
      <c r="G2098" s="385" t="s">
        <v>30</v>
      </c>
      <c r="H2098" s="387" t="s">
        <v>1955</v>
      </c>
      <c r="I2098" s="387" t="s">
        <v>1644</v>
      </c>
      <c r="J2098" s="387">
        <v>1</v>
      </c>
      <c r="K2098" s="385" t="s">
        <v>856</v>
      </c>
    </row>
    <row r="2099" spans="1:11" ht="15.75">
      <c r="A2099" s="443">
        <v>44685</v>
      </c>
      <c r="B2099" s="653" t="s">
        <v>2182</v>
      </c>
      <c r="C2099" s="381" t="s">
        <v>2159</v>
      </c>
      <c r="D2099" s="426" t="s">
        <v>2711</v>
      </c>
      <c r="E2099" s="462">
        <v>1300000</v>
      </c>
      <c r="F2099" s="385" t="s">
        <v>1968</v>
      </c>
      <c r="G2099" s="385" t="s">
        <v>30</v>
      </c>
      <c r="H2099" s="387" t="s">
        <v>1955</v>
      </c>
      <c r="I2099" s="387" t="s">
        <v>1644</v>
      </c>
      <c r="J2099" s="387">
        <v>1</v>
      </c>
      <c r="K2099" s="385" t="s">
        <v>856</v>
      </c>
    </row>
    <row r="2100" spans="1:11" ht="15.75">
      <c r="A2100" s="443" t="s">
        <v>3736</v>
      </c>
      <c r="B2100" s="385" t="s">
        <v>2182</v>
      </c>
      <c r="C2100" s="385" t="s">
        <v>3737</v>
      </c>
      <c r="D2100" s="426" t="s">
        <v>2770</v>
      </c>
      <c r="E2100" s="462">
        <v>1200000</v>
      </c>
      <c r="F2100" s="385" t="s">
        <v>1968</v>
      </c>
      <c r="G2100" s="385" t="s">
        <v>30</v>
      </c>
      <c r="H2100" s="387" t="s">
        <v>1955</v>
      </c>
      <c r="I2100" s="387" t="s">
        <v>1644</v>
      </c>
      <c r="J2100" s="387">
        <v>1</v>
      </c>
      <c r="K2100" s="385" t="s">
        <v>856</v>
      </c>
    </row>
    <row r="2101" spans="1:11" ht="15.75">
      <c r="A2101" s="393" t="s">
        <v>3738</v>
      </c>
      <c r="B2101" s="381" t="s">
        <v>2182</v>
      </c>
      <c r="C2101" s="381" t="s">
        <v>971</v>
      </c>
      <c r="D2101" s="381" t="s">
        <v>3059</v>
      </c>
      <c r="E2101" s="451">
        <v>1300000</v>
      </c>
      <c r="F2101" s="381" t="s">
        <v>1968</v>
      </c>
      <c r="G2101" s="381" t="s">
        <v>30</v>
      </c>
      <c r="H2101" s="383" t="s">
        <v>1955</v>
      </c>
      <c r="I2101" s="383" t="s">
        <v>1644</v>
      </c>
      <c r="J2101" s="383">
        <v>1</v>
      </c>
      <c r="K2101" s="381" t="s">
        <v>856</v>
      </c>
    </row>
    <row r="2104" spans="1:11">
      <c r="A2104" s="1665" t="s">
        <v>3739</v>
      </c>
      <c r="B2104" s="1665"/>
      <c r="C2104" s="1665"/>
      <c r="D2104" s="1665"/>
      <c r="E2104" s="1665"/>
      <c r="F2104" s="1665"/>
      <c r="G2104" s="1665"/>
      <c r="H2104" s="1665"/>
      <c r="I2104" s="1665"/>
      <c r="J2104" s="1665"/>
      <c r="K2104" s="1665"/>
    </row>
    <row r="2105" spans="1:11">
      <c r="A2105" s="1666"/>
      <c r="B2105" s="1666"/>
      <c r="C2105" s="1666"/>
      <c r="D2105" s="1666"/>
      <c r="E2105" s="1666"/>
      <c r="F2105" s="1666"/>
      <c r="G2105" s="1666"/>
      <c r="H2105" s="1666"/>
      <c r="I2105" s="1666"/>
      <c r="J2105" s="1666"/>
      <c r="K2105" s="1666"/>
    </row>
    <row r="2107" spans="1:11" ht="26.25">
      <c r="A2107" s="1667" t="s">
        <v>3740</v>
      </c>
      <c r="B2107" s="1667"/>
      <c r="C2107" s="1667"/>
      <c r="D2107" s="1667"/>
      <c r="E2107" s="1667"/>
      <c r="F2107" s="1667"/>
      <c r="G2107" s="1667"/>
      <c r="H2107" s="1667"/>
      <c r="I2107" s="1667"/>
      <c r="J2107" s="1667"/>
      <c r="K2107" s="1667"/>
    </row>
    <row r="2108" spans="1:11" ht="30.75">
      <c r="A2108" s="375" t="s">
        <v>1941</v>
      </c>
      <c r="B2108" s="378" t="s">
        <v>1942</v>
      </c>
      <c r="C2108" s="378" t="s">
        <v>1943</v>
      </c>
      <c r="D2108" s="378" t="s">
        <v>1944</v>
      </c>
      <c r="E2108" s="452" t="s">
        <v>1945</v>
      </c>
      <c r="F2108" s="378" t="s">
        <v>1946</v>
      </c>
      <c r="G2108" s="378" t="s">
        <v>2590</v>
      </c>
      <c r="H2108" s="378" t="s">
        <v>1947</v>
      </c>
      <c r="I2108" s="378" t="s">
        <v>1948</v>
      </c>
      <c r="J2108" s="453" t="s">
        <v>1949</v>
      </c>
      <c r="K2108" s="378" t="s">
        <v>10</v>
      </c>
    </row>
    <row r="2109" spans="1:11" ht="15.75">
      <c r="A2109" s="454" t="s">
        <v>3741</v>
      </c>
      <c r="B2109" s="472" t="s">
        <v>2182</v>
      </c>
      <c r="C2109" s="455" t="s">
        <v>974</v>
      </c>
      <c r="D2109" s="455" t="s">
        <v>75</v>
      </c>
      <c r="E2109" s="461">
        <v>320000000</v>
      </c>
      <c r="F2109" s="464" t="s">
        <v>2292</v>
      </c>
      <c r="G2109" s="464" t="s">
        <v>2605</v>
      </c>
      <c r="H2109" s="460" t="s">
        <v>1955</v>
      </c>
      <c r="I2109" s="460" t="s">
        <v>1644</v>
      </c>
      <c r="J2109" s="460">
        <v>1</v>
      </c>
      <c r="K2109" s="455" t="s">
        <v>2629</v>
      </c>
    </row>
    <row r="2110" spans="1:11" ht="15.75">
      <c r="A2110" s="454" t="s">
        <v>3741</v>
      </c>
      <c r="B2110" s="472" t="s">
        <v>2182</v>
      </c>
      <c r="C2110" s="455" t="s">
        <v>3742</v>
      </c>
      <c r="D2110" s="455" t="s">
        <v>75</v>
      </c>
      <c r="E2110" s="461">
        <v>500000000</v>
      </c>
      <c r="F2110" s="464" t="s">
        <v>2292</v>
      </c>
      <c r="G2110" s="464" t="s">
        <v>2593</v>
      </c>
      <c r="H2110" s="460" t="s">
        <v>1955</v>
      </c>
      <c r="I2110" s="460" t="s">
        <v>1644</v>
      </c>
      <c r="J2110" s="460">
        <v>1</v>
      </c>
      <c r="K2110" s="455" t="s">
        <v>2629</v>
      </c>
    </row>
    <row r="2111" spans="1:11" ht="15.75">
      <c r="A2111" s="412" t="s">
        <v>3743</v>
      </c>
      <c r="B2111" s="381" t="s">
        <v>2182</v>
      </c>
      <c r="C2111" s="381" t="s">
        <v>974</v>
      </c>
      <c r="D2111" s="381" t="s">
        <v>75</v>
      </c>
      <c r="E2111" s="451">
        <v>1600000</v>
      </c>
      <c r="F2111" s="275" t="s">
        <v>2292</v>
      </c>
      <c r="G2111" s="275" t="s">
        <v>2605</v>
      </c>
      <c r="H2111" s="383" t="s">
        <v>1955</v>
      </c>
      <c r="I2111" s="383" t="s">
        <v>1644</v>
      </c>
      <c r="J2111" s="383">
        <v>1</v>
      </c>
      <c r="K2111" s="411" t="s">
        <v>3681</v>
      </c>
    </row>
    <row r="2112" spans="1:11" ht="15.75">
      <c r="A2112" s="479" t="s">
        <v>3741</v>
      </c>
      <c r="B2112" s="612" t="s">
        <v>2182</v>
      </c>
      <c r="C2112" s="406" t="s">
        <v>972</v>
      </c>
      <c r="D2112" s="406" t="s">
        <v>3089</v>
      </c>
      <c r="E2112" s="490">
        <v>1100000</v>
      </c>
      <c r="F2112" s="1126" t="s">
        <v>2292</v>
      </c>
      <c r="G2112" s="491" t="s">
        <v>30</v>
      </c>
      <c r="H2112" s="1127" t="s">
        <v>1955</v>
      </c>
      <c r="I2112" s="408" t="s">
        <v>1644</v>
      </c>
      <c r="J2112" s="408">
        <v>1</v>
      </c>
      <c r="K2112" s="381" t="s">
        <v>3681</v>
      </c>
    </row>
    <row r="2113" spans="1:11" ht="15.75">
      <c r="A2113" s="479" t="s">
        <v>3744</v>
      </c>
      <c r="B2113" s="612" t="s">
        <v>1966</v>
      </c>
      <c r="C2113" s="381" t="s">
        <v>2302</v>
      </c>
      <c r="D2113" s="381" t="s">
        <v>2326</v>
      </c>
      <c r="E2113" s="451">
        <v>5000000</v>
      </c>
      <c r="F2113" s="304" t="s">
        <v>1968</v>
      </c>
      <c r="G2113" s="275" t="s">
        <v>2593</v>
      </c>
      <c r="H2113" s="531" t="s">
        <v>1955</v>
      </c>
      <c r="I2113" s="383" t="s">
        <v>1644</v>
      </c>
      <c r="J2113" s="383">
        <v>1</v>
      </c>
      <c r="K2113" s="381" t="s">
        <v>1171</v>
      </c>
    </row>
    <row r="2114" spans="1:11" ht="15.75">
      <c r="A2114" s="393">
        <v>44597</v>
      </c>
      <c r="B2114" s="381" t="s">
        <v>2182</v>
      </c>
      <c r="C2114" s="381" t="s">
        <v>1077</v>
      </c>
      <c r="D2114" s="381" t="s">
        <v>2661</v>
      </c>
      <c r="E2114" s="451">
        <v>1000000</v>
      </c>
      <c r="F2114" s="381" t="s">
        <v>1968</v>
      </c>
      <c r="G2114" s="381" t="s">
        <v>30</v>
      </c>
      <c r="H2114" s="383" t="s">
        <v>1625</v>
      </c>
      <c r="I2114" s="383" t="s">
        <v>1644</v>
      </c>
      <c r="J2114" s="383">
        <v>1</v>
      </c>
      <c r="K2114" s="381" t="s">
        <v>3681</v>
      </c>
    </row>
    <row r="2115" spans="1:11" ht="15.75">
      <c r="A2115" s="419"/>
      <c r="B2115" s="420"/>
      <c r="C2115" s="420"/>
      <c r="D2115" s="420"/>
      <c r="E2115" s="463"/>
      <c r="F2115" s="466"/>
      <c r="G2115" s="466"/>
      <c r="H2115" s="422"/>
      <c r="I2115" s="422"/>
      <c r="J2115" s="492">
        <f>SUM(J2109:J2114)</f>
        <v>6</v>
      </c>
      <c r="K2115" s="420"/>
    </row>
    <row r="2116" spans="1:11" ht="15.75">
      <c r="A2116" s="394"/>
      <c r="B2116" s="395"/>
      <c r="C2116" s="395"/>
      <c r="D2116" s="395"/>
      <c r="E2116" s="706"/>
      <c r="F2116" s="707"/>
      <c r="G2116" s="707"/>
      <c r="H2116" s="397"/>
      <c r="I2116" s="397"/>
      <c r="J2116" s="397"/>
      <c r="K2116" s="395"/>
    </row>
    <row r="2117" spans="1:11" ht="15.75">
      <c r="A2117" s="394"/>
      <c r="B2117" s="395"/>
      <c r="C2117" s="395"/>
      <c r="D2117" s="395"/>
      <c r="E2117" s="706"/>
      <c r="F2117" s="707"/>
      <c r="G2117" s="707"/>
      <c r="H2117" s="397"/>
      <c r="I2117" s="397"/>
      <c r="J2117" s="397"/>
      <c r="K2117" s="395"/>
    </row>
    <row r="2118" spans="1:11" ht="15.75">
      <c r="A2118" s="394"/>
      <c r="B2118" s="395"/>
      <c r="C2118" s="395"/>
      <c r="D2118" s="395"/>
      <c r="E2118" s="396"/>
      <c r="F2118" s="397"/>
      <c r="G2118" s="397"/>
      <c r="H2118" s="397"/>
      <c r="I2118" s="395"/>
      <c r="J2118" s="395"/>
      <c r="K2118" s="395"/>
    </row>
    <row r="2119" spans="1:11" ht="26.25">
      <c r="A2119" s="1667" t="s">
        <v>3745</v>
      </c>
      <c r="B2119" s="1667"/>
      <c r="C2119" s="1667"/>
      <c r="D2119" s="1667"/>
      <c r="E2119" s="1667"/>
      <c r="F2119" s="1667"/>
      <c r="G2119" s="1667"/>
      <c r="H2119" s="1667"/>
      <c r="I2119" s="1667"/>
      <c r="J2119" s="1667"/>
      <c r="K2119" s="1667"/>
    </row>
    <row r="2120" spans="1:11" ht="30.75">
      <c r="A2120" s="375" t="s">
        <v>1941</v>
      </c>
      <c r="B2120" s="378" t="s">
        <v>1942</v>
      </c>
      <c r="C2120" s="378" t="s">
        <v>1943</v>
      </c>
      <c r="D2120" s="378" t="s">
        <v>1944</v>
      </c>
      <c r="E2120" s="452" t="s">
        <v>1945</v>
      </c>
      <c r="F2120" s="378" t="s">
        <v>1946</v>
      </c>
      <c r="G2120" s="378" t="s">
        <v>2590</v>
      </c>
      <c r="H2120" s="378" t="s">
        <v>1947</v>
      </c>
      <c r="I2120" s="378" t="s">
        <v>1948</v>
      </c>
      <c r="J2120" s="453" t="s">
        <v>1949</v>
      </c>
      <c r="K2120" s="378" t="s">
        <v>1950</v>
      </c>
    </row>
    <row r="2121" spans="1:11" ht="15.75">
      <c r="A2121" s="930" t="s">
        <v>3746</v>
      </c>
      <c r="B2121" s="1259" t="s">
        <v>2182</v>
      </c>
      <c r="C2121" s="472" t="s">
        <v>3747</v>
      </c>
      <c r="D2121" s="472" t="s">
        <v>2659</v>
      </c>
      <c r="E2121" s="475">
        <v>255000000</v>
      </c>
      <c r="F2121" s="472" t="s">
        <v>2292</v>
      </c>
      <c r="G2121" s="472" t="s">
        <v>2593</v>
      </c>
      <c r="H2121" s="473" t="s">
        <v>1955</v>
      </c>
      <c r="I2121" s="473" t="s">
        <v>1644</v>
      </c>
      <c r="J2121" s="473">
        <v>1</v>
      </c>
      <c r="K2121" s="472" t="s">
        <v>2629</v>
      </c>
    </row>
    <row r="2122" spans="1:11" ht="15.75">
      <c r="A2122" s="930">
        <v>44597</v>
      </c>
      <c r="B2122" s="578" t="s">
        <v>2182</v>
      </c>
      <c r="C2122" s="472" t="s">
        <v>3748</v>
      </c>
      <c r="D2122" s="472" t="s">
        <v>3043</v>
      </c>
      <c r="E2122" s="475">
        <v>450000000</v>
      </c>
      <c r="F2122" s="472" t="s">
        <v>2292</v>
      </c>
      <c r="G2122" s="472" t="s">
        <v>2593</v>
      </c>
      <c r="H2122" s="473" t="s">
        <v>1955</v>
      </c>
      <c r="I2122" s="473" t="s">
        <v>1644</v>
      </c>
      <c r="J2122" s="473">
        <v>1</v>
      </c>
      <c r="K2122" s="472" t="s">
        <v>2629</v>
      </c>
    </row>
    <row r="2123" spans="1:11" ht="15.75">
      <c r="A2123" s="937">
        <v>44625</v>
      </c>
      <c r="B2123" s="578" t="s">
        <v>2182</v>
      </c>
      <c r="C2123" s="472" t="s">
        <v>3749</v>
      </c>
      <c r="D2123" s="472" t="s">
        <v>2573</v>
      </c>
      <c r="E2123" s="475">
        <v>270000000</v>
      </c>
      <c r="F2123" s="472" t="s">
        <v>2292</v>
      </c>
      <c r="G2123" s="472" t="s">
        <v>2593</v>
      </c>
      <c r="H2123" s="473" t="s">
        <v>1955</v>
      </c>
      <c r="I2123" s="473" t="s">
        <v>1644</v>
      </c>
      <c r="J2123" s="473">
        <v>1</v>
      </c>
      <c r="K2123" s="472" t="s">
        <v>2629</v>
      </c>
    </row>
    <row r="2124" spans="1:11" ht="15.75">
      <c r="A2124" s="937" t="s">
        <v>3750</v>
      </c>
      <c r="B2124" s="472" t="s">
        <v>2182</v>
      </c>
      <c r="C2124" s="472" t="s">
        <v>734</v>
      </c>
      <c r="D2124" s="472" t="s">
        <v>75</v>
      </c>
      <c r="E2124" s="475">
        <v>380000000</v>
      </c>
      <c r="F2124" s="472" t="s">
        <v>1968</v>
      </c>
      <c r="G2124" s="472" t="s">
        <v>2593</v>
      </c>
      <c r="H2124" s="473" t="s">
        <v>1955</v>
      </c>
      <c r="I2124" s="473" t="s">
        <v>1644</v>
      </c>
      <c r="J2124" s="473">
        <v>1</v>
      </c>
      <c r="K2124" s="472" t="s">
        <v>2629</v>
      </c>
    </row>
    <row r="2125" spans="1:11" ht="15.75">
      <c r="A2125" s="412" t="s">
        <v>3743</v>
      </c>
      <c r="B2125" s="381" t="s">
        <v>2182</v>
      </c>
      <c r="C2125" s="381" t="s">
        <v>3751</v>
      </c>
      <c r="D2125" s="381" t="s">
        <v>2669</v>
      </c>
      <c r="E2125" s="451">
        <v>1600000</v>
      </c>
      <c r="F2125" s="275" t="s">
        <v>2292</v>
      </c>
      <c r="G2125" s="275" t="s">
        <v>2605</v>
      </c>
      <c r="H2125" s="383" t="s">
        <v>1955</v>
      </c>
      <c r="I2125" s="383" t="s">
        <v>1644</v>
      </c>
      <c r="J2125" s="383">
        <v>1</v>
      </c>
      <c r="K2125" s="411" t="s">
        <v>3681</v>
      </c>
    </row>
    <row r="2126" spans="1:11" ht="15.75">
      <c r="A2126" s="393" t="s">
        <v>3741</v>
      </c>
      <c r="B2126" s="381" t="s">
        <v>2182</v>
      </c>
      <c r="C2126" s="381" t="s">
        <v>984</v>
      </c>
      <c r="D2126" s="381" t="s">
        <v>2573</v>
      </c>
      <c r="E2126" s="451">
        <v>1500000</v>
      </c>
      <c r="F2126" s="381" t="s">
        <v>3752</v>
      </c>
      <c r="G2126" s="381" t="s">
        <v>2605</v>
      </c>
      <c r="H2126" s="383" t="s">
        <v>1955</v>
      </c>
      <c r="I2126" s="383" t="s">
        <v>1644</v>
      </c>
      <c r="J2126" s="383">
        <v>1</v>
      </c>
      <c r="K2126" s="381" t="s">
        <v>3681</v>
      </c>
    </row>
    <row r="2127" spans="1:11" ht="15.75">
      <c r="A2127" s="579">
        <v>44597</v>
      </c>
      <c r="B2127" s="381" t="s">
        <v>2182</v>
      </c>
      <c r="C2127" s="381" t="s">
        <v>982</v>
      </c>
      <c r="D2127" s="381" t="s">
        <v>2347</v>
      </c>
      <c r="E2127" s="451">
        <v>1500000</v>
      </c>
      <c r="F2127" s="381" t="s">
        <v>2292</v>
      </c>
      <c r="G2127" s="381" t="s">
        <v>2593</v>
      </c>
      <c r="H2127" s="383" t="s">
        <v>1955</v>
      </c>
      <c r="I2127" s="383" t="s">
        <v>1644</v>
      </c>
      <c r="J2127" s="383">
        <v>1</v>
      </c>
      <c r="K2127" s="381" t="s">
        <v>1245</v>
      </c>
    </row>
    <row r="2128" spans="1:11" ht="15.75">
      <c r="A2128" s="579">
        <v>44809</v>
      </c>
      <c r="B2128" s="381" t="s">
        <v>2182</v>
      </c>
      <c r="C2128" s="381" t="s">
        <v>3753</v>
      </c>
      <c r="D2128" s="381" t="s">
        <v>2661</v>
      </c>
      <c r="E2128" s="451">
        <v>900000</v>
      </c>
      <c r="F2128" s="381" t="s">
        <v>2292</v>
      </c>
      <c r="G2128" s="381" t="s">
        <v>2605</v>
      </c>
      <c r="H2128" s="383" t="s">
        <v>1955</v>
      </c>
      <c r="I2128" s="383" t="s">
        <v>1644</v>
      </c>
      <c r="J2128" s="383">
        <v>1</v>
      </c>
      <c r="K2128" s="381" t="s">
        <v>1171</v>
      </c>
    </row>
    <row r="2129" spans="1:11" ht="15.75">
      <c r="A2129" s="579">
        <v>44809</v>
      </c>
      <c r="B2129" s="381" t="s">
        <v>2182</v>
      </c>
      <c r="C2129" s="381" t="s">
        <v>988</v>
      </c>
      <c r="D2129" s="381" t="s">
        <v>2966</v>
      </c>
      <c r="E2129" s="451">
        <v>1400000</v>
      </c>
      <c r="F2129" s="381" t="s">
        <v>2292</v>
      </c>
      <c r="G2129" s="381" t="s">
        <v>30</v>
      </c>
      <c r="H2129" s="383" t="s">
        <v>1955</v>
      </c>
      <c r="I2129" s="383" t="s">
        <v>1644</v>
      </c>
      <c r="J2129" s="383">
        <v>1</v>
      </c>
      <c r="K2129" s="381" t="s">
        <v>3681</v>
      </c>
    </row>
    <row r="2130" spans="1:11" ht="15.75">
      <c r="A2130" s="579">
        <v>44870</v>
      </c>
      <c r="B2130" s="381" t="s">
        <v>2182</v>
      </c>
      <c r="C2130" s="381" t="s">
        <v>3754</v>
      </c>
      <c r="D2130" s="381" t="s">
        <v>3755</v>
      </c>
      <c r="E2130" s="451">
        <v>900000</v>
      </c>
      <c r="F2130" s="381" t="s">
        <v>1968</v>
      </c>
      <c r="G2130" s="381" t="s">
        <v>2593</v>
      </c>
      <c r="H2130" s="383" t="s">
        <v>1955</v>
      </c>
      <c r="I2130" s="383" t="s">
        <v>1644</v>
      </c>
      <c r="J2130" s="383">
        <v>1</v>
      </c>
      <c r="K2130" s="381" t="s">
        <v>1245</v>
      </c>
    </row>
    <row r="2131" spans="1:11" ht="15.75">
      <c r="A2131" s="579">
        <v>44870</v>
      </c>
      <c r="B2131" s="381" t="s">
        <v>2182</v>
      </c>
      <c r="C2131" s="381" t="s">
        <v>3756</v>
      </c>
      <c r="D2131" s="381" t="s">
        <v>2661</v>
      </c>
      <c r="E2131" s="451">
        <v>1100000</v>
      </c>
      <c r="F2131" s="381" t="s">
        <v>2292</v>
      </c>
      <c r="G2131" s="381" t="s">
        <v>2593</v>
      </c>
      <c r="H2131" s="383" t="s">
        <v>1955</v>
      </c>
      <c r="I2131" s="383" t="s">
        <v>1644</v>
      </c>
      <c r="J2131" s="383">
        <v>1</v>
      </c>
      <c r="K2131" s="381" t="s">
        <v>1171</v>
      </c>
    </row>
    <row r="2132" spans="1:11" ht="15.75">
      <c r="A2132" s="579">
        <v>44900</v>
      </c>
      <c r="B2132" s="381" t="s">
        <v>2182</v>
      </c>
      <c r="C2132" s="381" t="s">
        <v>3757</v>
      </c>
      <c r="D2132" s="381" t="s">
        <v>3758</v>
      </c>
      <c r="E2132" s="451">
        <v>1200000</v>
      </c>
      <c r="F2132" s="381" t="s">
        <v>2292</v>
      </c>
      <c r="G2132" s="381" t="s">
        <v>2593</v>
      </c>
      <c r="H2132" s="383" t="s">
        <v>1955</v>
      </c>
      <c r="I2132" s="383" t="s">
        <v>1644</v>
      </c>
      <c r="J2132" s="383">
        <v>1</v>
      </c>
      <c r="K2132" s="381" t="s">
        <v>3681</v>
      </c>
    </row>
    <row r="2133" spans="1:11" ht="15.75">
      <c r="A2133" s="579">
        <v>44900</v>
      </c>
      <c r="B2133" s="381" t="s">
        <v>2182</v>
      </c>
      <c r="C2133" s="381" t="s">
        <v>3759</v>
      </c>
      <c r="D2133" s="381" t="s">
        <v>3758</v>
      </c>
      <c r="E2133" s="451">
        <v>1200000</v>
      </c>
      <c r="F2133" s="381" t="s">
        <v>2292</v>
      </c>
      <c r="G2133" s="381" t="s">
        <v>2593</v>
      </c>
      <c r="H2133" s="383" t="s">
        <v>1955</v>
      </c>
      <c r="I2133" s="383" t="s">
        <v>1644</v>
      </c>
      <c r="J2133" s="383">
        <v>1</v>
      </c>
      <c r="K2133" s="381" t="s">
        <v>1245</v>
      </c>
    </row>
    <row r="2134" spans="1:11" ht="15.75">
      <c r="A2134" s="579">
        <v>44900</v>
      </c>
      <c r="B2134" s="381" t="s">
        <v>2182</v>
      </c>
      <c r="C2134" s="381" t="s">
        <v>3760</v>
      </c>
      <c r="D2134" s="381" t="s">
        <v>3758</v>
      </c>
      <c r="E2134" s="451">
        <v>1050000</v>
      </c>
      <c r="F2134" s="381" t="s">
        <v>2292</v>
      </c>
      <c r="G2134" s="381" t="s">
        <v>2593</v>
      </c>
      <c r="H2134" s="383" t="s">
        <v>1955</v>
      </c>
      <c r="I2134" s="383" t="s">
        <v>1644</v>
      </c>
      <c r="J2134" s="383">
        <v>1</v>
      </c>
      <c r="K2134" s="381" t="s">
        <v>1171</v>
      </c>
    </row>
    <row r="2135" spans="1:11" ht="15.75">
      <c r="A2135" s="579" t="s">
        <v>3761</v>
      </c>
      <c r="B2135" s="381" t="s">
        <v>2182</v>
      </c>
      <c r="C2135" s="381" t="s">
        <v>991</v>
      </c>
      <c r="D2135" s="381" t="s">
        <v>3043</v>
      </c>
      <c r="E2135" s="451">
        <v>1800000</v>
      </c>
      <c r="F2135" s="381" t="s">
        <v>2292</v>
      </c>
      <c r="G2135" s="381" t="s">
        <v>30</v>
      </c>
      <c r="H2135" s="383" t="s">
        <v>1955</v>
      </c>
      <c r="I2135" s="383" t="s">
        <v>1644</v>
      </c>
      <c r="J2135" s="383">
        <v>1</v>
      </c>
      <c r="K2135" s="381" t="s">
        <v>3681</v>
      </c>
    </row>
    <row r="2136" spans="1:11" ht="15.75">
      <c r="A2136" s="579" t="s">
        <v>3762</v>
      </c>
      <c r="B2136" s="381" t="s">
        <v>2694</v>
      </c>
      <c r="C2136" s="381" t="s">
        <v>3763</v>
      </c>
      <c r="D2136" s="381" t="s">
        <v>3764</v>
      </c>
      <c r="E2136" s="451">
        <v>750000</v>
      </c>
      <c r="F2136" s="381" t="s">
        <v>1968</v>
      </c>
      <c r="G2136" s="381" t="s">
        <v>30</v>
      </c>
      <c r="H2136" s="383" t="s">
        <v>1625</v>
      </c>
      <c r="I2136" s="383" t="s">
        <v>1644</v>
      </c>
      <c r="J2136" s="383">
        <v>1</v>
      </c>
      <c r="K2136" s="381" t="s">
        <v>1245</v>
      </c>
    </row>
    <row r="2137" spans="1:11" ht="15.75">
      <c r="A2137" s="579" t="s">
        <v>3762</v>
      </c>
      <c r="B2137" s="381" t="s">
        <v>1966</v>
      </c>
      <c r="C2137" s="381" t="s">
        <v>3765</v>
      </c>
      <c r="D2137" s="381" t="s">
        <v>3107</v>
      </c>
      <c r="E2137" s="451">
        <v>1200000</v>
      </c>
      <c r="F2137" s="381" t="s">
        <v>2292</v>
      </c>
      <c r="G2137" s="381" t="s">
        <v>2593</v>
      </c>
      <c r="H2137" s="383" t="s">
        <v>1955</v>
      </c>
      <c r="I2137" s="383" t="s">
        <v>1644</v>
      </c>
      <c r="J2137" s="383">
        <v>1</v>
      </c>
      <c r="K2137" s="381" t="s">
        <v>1171</v>
      </c>
    </row>
    <row r="2138" spans="1:11" ht="15.75">
      <c r="A2138" s="579" t="s">
        <v>3766</v>
      </c>
      <c r="B2138" s="381" t="s">
        <v>2182</v>
      </c>
      <c r="C2138" s="381" t="s">
        <v>3767</v>
      </c>
      <c r="D2138" s="381" t="s">
        <v>2253</v>
      </c>
      <c r="E2138" s="451">
        <v>750000</v>
      </c>
      <c r="F2138" s="381" t="s">
        <v>1968</v>
      </c>
      <c r="G2138" s="381" t="s">
        <v>30</v>
      </c>
      <c r="H2138" s="383" t="s">
        <v>1625</v>
      </c>
      <c r="I2138" s="383" t="s">
        <v>1644</v>
      </c>
      <c r="J2138" s="383">
        <v>1</v>
      </c>
      <c r="K2138" s="381" t="s">
        <v>3681</v>
      </c>
    </row>
    <row r="2139" spans="1:11" ht="15.75">
      <c r="A2139" s="579" t="s">
        <v>3766</v>
      </c>
      <c r="B2139" s="381" t="s">
        <v>2182</v>
      </c>
      <c r="C2139" s="381" t="s">
        <v>1034</v>
      </c>
      <c r="D2139" s="381" t="s">
        <v>2841</v>
      </c>
      <c r="E2139" s="451">
        <v>900000</v>
      </c>
      <c r="F2139" s="381" t="s">
        <v>2292</v>
      </c>
      <c r="G2139" s="381" t="s">
        <v>30</v>
      </c>
      <c r="H2139" s="383" t="s">
        <v>1955</v>
      </c>
      <c r="I2139" s="383" t="s">
        <v>1644</v>
      </c>
      <c r="J2139" s="383">
        <v>1</v>
      </c>
      <c r="K2139" s="381" t="s">
        <v>1245</v>
      </c>
    </row>
    <row r="2140" spans="1:11" ht="15.75">
      <c r="A2140" s="579" t="s">
        <v>3768</v>
      </c>
      <c r="B2140" s="381" t="s">
        <v>2182</v>
      </c>
      <c r="C2140" s="381" t="s">
        <v>3769</v>
      </c>
      <c r="D2140" s="381" t="s">
        <v>2576</v>
      </c>
      <c r="E2140" s="451">
        <v>850000</v>
      </c>
      <c r="F2140" s="381" t="s">
        <v>1968</v>
      </c>
      <c r="G2140" s="381" t="s">
        <v>30</v>
      </c>
      <c r="H2140" s="383" t="s">
        <v>1955</v>
      </c>
      <c r="I2140" s="383" t="s">
        <v>1644</v>
      </c>
      <c r="J2140" s="383">
        <v>1</v>
      </c>
      <c r="K2140" s="381" t="s">
        <v>3681</v>
      </c>
    </row>
    <row r="2141" spans="1:11" ht="15.75">
      <c r="A2141" s="744" t="s">
        <v>3770</v>
      </c>
      <c r="B2141" s="381" t="s">
        <v>2182</v>
      </c>
      <c r="C2141" s="381" t="s">
        <v>1018</v>
      </c>
      <c r="D2141" s="381" t="s">
        <v>3089</v>
      </c>
      <c r="E2141" s="451">
        <v>1000000</v>
      </c>
      <c r="F2141" s="381" t="s">
        <v>1968</v>
      </c>
      <c r="G2141" s="381" t="s">
        <v>30</v>
      </c>
      <c r="H2141" s="383" t="s">
        <v>1955</v>
      </c>
      <c r="I2141" s="383" t="s">
        <v>1644</v>
      </c>
      <c r="J2141" s="383">
        <v>1</v>
      </c>
      <c r="K2141" s="381" t="s">
        <v>1171</v>
      </c>
    </row>
    <row r="2142" spans="1:11" ht="15.75">
      <c r="A2142" s="393" t="s">
        <v>3771</v>
      </c>
      <c r="B2142" s="610" t="s">
        <v>2182</v>
      </c>
      <c r="C2142" s="482" t="s">
        <v>1104</v>
      </c>
      <c r="D2142" s="482" t="s">
        <v>2573</v>
      </c>
      <c r="E2142" s="483">
        <v>1500000</v>
      </c>
      <c r="F2142" s="482" t="s">
        <v>2292</v>
      </c>
      <c r="G2142" s="482" t="s">
        <v>2605</v>
      </c>
      <c r="H2142" s="484" t="s">
        <v>1955</v>
      </c>
      <c r="I2142" s="484" t="s">
        <v>1644</v>
      </c>
      <c r="J2142" s="484">
        <v>1</v>
      </c>
      <c r="K2142" s="482" t="s">
        <v>1245</v>
      </c>
    </row>
    <row r="2143" spans="1:11" ht="15.75">
      <c r="A2143" s="412" t="s">
        <v>3771</v>
      </c>
      <c r="B2143" s="411" t="s">
        <v>2182</v>
      </c>
      <c r="C2143" s="381" t="s">
        <v>1027</v>
      </c>
      <c r="D2143" s="381" t="s">
        <v>2669</v>
      </c>
      <c r="E2143" s="451">
        <v>1600000</v>
      </c>
      <c r="F2143" s="381" t="s">
        <v>2292</v>
      </c>
      <c r="G2143" s="381" t="s">
        <v>30</v>
      </c>
      <c r="H2143" s="383" t="s">
        <v>1955</v>
      </c>
      <c r="I2143" s="383" t="s">
        <v>1644</v>
      </c>
      <c r="J2143" s="383">
        <v>1</v>
      </c>
      <c r="K2143" s="381" t="s">
        <v>3681</v>
      </c>
    </row>
    <row r="2144" spans="1:11" ht="15.75">
      <c r="A2144" s="928" t="s">
        <v>3771</v>
      </c>
      <c r="B2144" s="420" t="s">
        <v>2182</v>
      </c>
      <c r="C2144" s="743" t="s">
        <v>3772</v>
      </c>
      <c r="D2144" s="633" t="s">
        <v>2661</v>
      </c>
      <c r="E2144" s="644">
        <v>950000</v>
      </c>
      <c r="F2144" s="633" t="s">
        <v>2292</v>
      </c>
      <c r="G2144" s="633" t="s">
        <v>2605</v>
      </c>
      <c r="H2144" s="635" t="s">
        <v>1955</v>
      </c>
      <c r="I2144" s="635" t="s">
        <v>1644</v>
      </c>
      <c r="J2144" s="387">
        <v>1</v>
      </c>
      <c r="K2144" s="385" t="s">
        <v>1171</v>
      </c>
    </row>
    <row r="2145" spans="1:11" ht="15.75">
      <c r="A2145" s="456"/>
      <c r="B2145" s="457"/>
      <c r="C2145" s="457"/>
      <c r="D2145" s="457"/>
      <c r="E2145" s="476"/>
      <c r="F2145" s="457"/>
      <c r="G2145" s="457"/>
      <c r="H2145" s="153"/>
      <c r="I2145" s="153"/>
      <c r="J2145" s="493">
        <f>SUM(J2121:J2144)</f>
        <v>24</v>
      </c>
      <c r="K2145" s="457"/>
    </row>
    <row r="2146" spans="1:11" ht="15.75">
      <c r="A2146" s="394"/>
      <c r="B2146" s="395"/>
      <c r="C2146" s="395"/>
      <c r="D2146" s="395"/>
      <c r="E2146" s="396"/>
      <c r="F2146" s="397"/>
      <c r="G2146" s="397"/>
      <c r="H2146" s="395"/>
      <c r="I2146" s="395"/>
      <c r="J2146" s="395"/>
      <c r="K2146" s="395"/>
    </row>
    <row r="2147" spans="1:11" ht="15.75">
      <c r="A2147" s="394"/>
      <c r="B2147" s="395"/>
      <c r="C2147" s="395"/>
      <c r="D2147" s="395"/>
      <c r="E2147" s="396"/>
      <c r="F2147" s="397"/>
      <c r="G2147" s="397"/>
      <c r="H2147" s="395"/>
      <c r="I2147" s="395"/>
      <c r="J2147" s="395"/>
      <c r="K2147" s="395"/>
    </row>
    <row r="2149" spans="1:11" ht="26.25">
      <c r="A2149" s="1668" t="s">
        <v>3773</v>
      </c>
      <c r="B2149" s="1669"/>
      <c r="C2149" s="1669"/>
      <c r="D2149" s="1669"/>
      <c r="E2149" s="1669"/>
      <c r="F2149" s="1669"/>
      <c r="G2149" s="1669"/>
      <c r="H2149" s="1669"/>
      <c r="I2149" s="1669"/>
      <c r="J2149" s="1669"/>
      <c r="K2149" s="1670"/>
    </row>
    <row r="2150" spans="1:11" ht="30.75">
      <c r="A2150" s="378" t="s">
        <v>1941</v>
      </c>
      <c r="B2150" s="378" t="s">
        <v>1942</v>
      </c>
      <c r="C2150" s="378" t="s">
        <v>1943</v>
      </c>
      <c r="D2150" s="378" t="s">
        <v>1944</v>
      </c>
      <c r="E2150" s="452" t="s">
        <v>1945</v>
      </c>
      <c r="F2150" s="378" t="s">
        <v>1946</v>
      </c>
      <c r="G2150" s="378" t="s">
        <v>2590</v>
      </c>
      <c r="H2150" s="378" t="s">
        <v>1947</v>
      </c>
      <c r="I2150" s="378" t="s">
        <v>1948</v>
      </c>
      <c r="J2150" s="453" t="s">
        <v>1949</v>
      </c>
      <c r="K2150" s="378" t="s">
        <v>1950</v>
      </c>
    </row>
    <row r="2151" spans="1:11" ht="15.75">
      <c r="A2151" s="922" t="s">
        <v>3741</v>
      </c>
      <c r="B2151" s="618" t="s">
        <v>2182</v>
      </c>
      <c r="C2151" s="472" t="s">
        <v>3774</v>
      </c>
      <c r="D2151" s="472" t="s">
        <v>3445</v>
      </c>
      <c r="E2151" s="475">
        <v>120000000</v>
      </c>
      <c r="F2151" s="472" t="s">
        <v>1968</v>
      </c>
      <c r="G2151" s="472" t="s">
        <v>2593</v>
      </c>
      <c r="H2151" s="473" t="s">
        <v>1955</v>
      </c>
      <c r="I2151" s="473" t="s">
        <v>1644</v>
      </c>
      <c r="J2151" s="473">
        <v>1</v>
      </c>
      <c r="K2151" s="472" t="s">
        <v>2629</v>
      </c>
    </row>
    <row r="2152" spans="1:11" ht="15.75">
      <c r="A2152" s="922">
        <v>44809</v>
      </c>
      <c r="B2152" s="618" t="s">
        <v>2182</v>
      </c>
      <c r="C2152" s="578" t="s">
        <v>3775</v>
      </c>
      <c r="D2152" s="472" t="s">
        <v>3776</v>
      </c>
      <c r="E2152" s="475">
        <v>290000000</v>
      </c>
      <c r="F2152" s="472" t="s">
        <v>1968</v>
      </c>
      <c r="G2152" s="472" t="s">
        <v>2593</v>
      </c>
      <c r="H2152" s="473" t="s">
        <v>1955</v>
      </c>
      <c r="I2152" s="473" t="s">
        <v>1644</v>
      </c>
      <c r="J2152" s="473">
        <v>1</v>
      </c>
      <c r="K2152" s="472" t="s">
        <v>2629</v>
      </c>
    </row>
    <row r="2153" spans="1:11" ht="15.75">
      <c r="A2153" s="611" t="s">
        <v>3771</v>
      </c>
      <c r="B2153" s="472" t="s">
        <v>2182</v>
      </c>
      <c r="C2153" s="472" t="s">
        <v>2399</v>
      </c>
      <c r="D2153" s="472" t="s">
        <v>75</v>
      </c>
      <c r="E2153" s="475">
        <v>300000000</v>
      </c>
      <c r="F2153" s="472" t="s">
        <v>1968</v>
      </c>
      <c r="G2153" s="472" t="s">
        <v>2593</v>
      </c>
      <c r="H2153" s="473" t="s">
        <v>1955</v>
      </c>
      <c r="I2153" s="473" t="s">
        <v>1644</v>
      </c>
      <c r="J2153" s="473">
        <v>1</v>
      </c>
      <c r="K2153" s="472" t="s">
        <v>2629</v>
      </c>
    </row>
    <row r="2154" spans="1:11" ht="15.75">
      <c r="A2154" s="384" t="s">
        <v>3777</v>
      </c>
      <c r="B2154" s="577" t="s">
        <v>2182</v>
      </c>
      <c r="C2154" s="385" t="s">
        <v>3778</v>
      </c>
      <c r="D2154" s="385" t="s">
        <v>75</v>
      </c>
      <c r="E2154" s="462">
        <v>2650000</v>
      </c>
      <c r="F2154" s="385" t="s">
        <v>2290</v>
      </c>
      <c r="G2154" s="385" t="s">
        <v>2593</v>
      </c>
      <c r="H2154" s="387" t="s">
        <v>1625</v>
      </c>
      <c r="I2154" s="387" t="s">
        <v>1644</v>
      </c>
      <c r="J2154" s="387">
        <v>1</v>
      </c>
      <c r="K2154" s="385" t="s">
        <v>3681</v>
      </c>
    </row>
    <row r="2155" spans="1:11" ht="15.75">
      <c r="A2155" s="384">
        <v>44597</v>
      </c>
      <c r="B2155" s="577" t="s">
        <v>2182</v>
      </c>
      <c r="C2155" s="426" t="s">
        <v>1000</v>
      </c>
      <c r="D2155" s="385" t="s">
        <v>2326</v>
      </c>
      <c r="E2155" s="462">
        <v>1200000</v>
      </c>
      <c r="F2155" s="385" t="s">
        <v>2292</v>
      </c>
      <c r="G2155" s="385" t="s">
        <v>30</v>
      </c>
      <c r="H2155" s="387" t="s">
        <v>1625</v>
      </c>
      <c r="I2155" s="387" t="s">
        <v>1644</v>
      </c>
      <c r="J2155" s="387">
        <v>1</v>
      </c>
      <c r="K2155" s="385" t="s">
        <v>1171</v>
      </c>
    </row>
    <row r="2156" spans="1:11" ht="15.75">
      <c r="A2156" s="384">
        <v>44686</v>
      </c>
      <c r="B2156" s="577" t="s">
        <v>2182</v>
      </c>
      <c r="C2156" s="426" t="s">
        <v>1002</v>
      </c>
      <c r="D2156" s="385" t="s">
        <v>2326</v>
      </c>
      <c r="E2156" s="462">
        <v>1100000</v>
      </c>
      <c r="F2156" s="385" t="s">
        <v>2292</v>
      </c>
      <c r="G2156" s="385" t="s">
        <v>30</v>
      </c>
      <c r="H2156" s="387" t="s">
        <v>1955</v>
      </c>
      <c r="I2156" s="387" t="s">
        <v>1644</v>
      </c>
      <c r="J2156" s="387">
        <v>1</v>
      </c>
      <c r="K2156" s="385" t="s">
        <v>1245</v>
      </c>
    </row>
    <row r="2157" spans="1:11" ht="15.75">
      <c r="A2157" s="412">
        <v>44809</v>
      </c>
      <c r="B2157" s="381" t="s">
        <v>2182</v>
      </c>
      <c r="C2157" s="426" t="s">
        <v>3779</v>
      </c>
      <c r="D2157" s="385" t="s">
        <v>2326</v>
      </c>
      <c r="E2157" s="462">
        <v>1100000</v>
      </c>
      <c r="F2157" s="385" t="s">
        <v>2292</v>
      </c>
      <c r="G2157" s="385" t="s">
        <v>30</v>
      </c>
      <c r="H2157" s="387" t="s">
        <v>1955</v>
      </c>
      <c r="I2157" s="387" t="s">
        <v>1644</v>
      </c>
      <c r="J2157" s="387">
        <v>1</v>
      </c>
      <c r="K2157" s="385" t="s">
        <v>3681</v>
      </c>
    </row>
    <row r="2158" spans="1:11" ht="15.75">
      <c r="A2158" s="412">
        <v>44809</v>
      </c>
      <c r="B2158" s="381" t="s">
        <v>2182</v>
      </c>
      <c r="C2158" s="426" t="s">
        <v>1004</v>
      </c>
      <c r="D2158" s="385" t="s">
        <v>3059</v>
      </c>
      <c r="E2158" s="462">
        <v>1750000</v>
      </c>
      <c r="F2158" s="385" t="s">
        <v>2292</v>
      </c>
      <c r="G2158" s="385" t="s">
        <v>2605</v>
      </c>
      <c r="H2158" s="387" t="s">
        <v>1955</v>
      </c>
      <c r="I2158" s="387" t="s">
        <v>1644</v>
      </c>
      <c r="J2158" s="387">
        <v>1</v>
      </c>
      <c r="K2158" s="385" t="s">
        <v>3681</v>
      </c>
    </row>
    <row r="2159" spans="1:11" ht="15.75">
      <c r="A2159" s="412">
        <v>44809</v>
      </c>
      <c r="B2159" s="381" t="s">
        <v>2182</v>
      </c>
      <c r="C2159" s="426" t="s">
        <v>1001</v>
      </c>
      <c r="D2159" s="385" t="s">
        <v>2711</v>
      </c>
      <c r="E2159" s="462">
        <v>1150000</v>
      </c>
      <c r="F2159" s="385" t="s">
        <v>2292</v>
      </c>
      <c r="G2159" s="385" t="s">
        <v>30</v>
      </c>
      <c r="H2159" s="387" t="s">
        <v>1955</v>
      </c>
      <c r="I2159" s="387" t="s">
        <v>1644</v>
      </c>
      <c r="J2159" s="387">
        <v>1</v>
      </c>
      <c r="K2159" s="385" t="s">
        <v>1171</v>
      </c>
    </row>
    <row r="2160" spans="1:11" ht="15.75">
      <c r="A2160" s="928">
        <v>44809</v>
      </c>
      <c r="B2160" s="420" t="s">
        <v>2182</v>
      </c>
      <c r="C2160" s="743" t="s">
        <v>3456</v>
      </c>
      <c r="D2160" s="633" t="s">
        <v>3059</v>
      </c>
      <c r="E2160" s="644">
        <v>1250000</v>
      </c>
      <c r="F2160" s="633" t="s">
        <v>2292</v>
      </c>
      <c r="G2160" s="633" t="s">
        <v>2593</v>
      </c>
      <c r="H2160" s="635" t="s">
        <v>1955</v>
      </c>
      <c r="I2160" s="635" t="s">
        <v>1644</v>
      </c>
      <c r="J2160" s="387">
        <v>1</v>
      </c>
      <c r="K2160" s="385" t="s">
        <v>1245</v>
      </c>
    </row>
    <row r="2161" spans="1:11" ht="15.75">
      <c r="A2161" s="928">
        <v>44870</v>
      </c>
      <c r="B2161" s="420" t="s">
        <v>2182</v>
      </c>
      <c r="C2161" s="743" t="s">
        <v>3780</v>
      </c>
      <c r="D2161" s="633" t="s">
        <v>3755</v>
      </c>
      <c r="E2161" s="644">
        <v>900000</v>
      </c>
      <c r="F2161" s="633" t="s">
        <v>1968</v>
      </c>
      <c r="G2161" s="633" t="s">
        <v>2593</v>
      </c>
      <c r="H2161" s="635" t="s">
        <v>1955</v>
      </c>
      <c r="I2161" s="635" t="s">
        <v>1644</v>
      </c>
      <c r="J2161" s="387">
        <v>1</v>
      </c>
      <c r="K2161" s="385" t="s">
        <v>3681</v>
      </c>
    </row>
    <row r="2162" spans="1:11" ht="15.75">
      <c r="A2162" s="928" t="s">
        <v>3781</v>
      </c>
      <c r="B2162" s="420" t="s">
        <v>2060</v>
      </c>
      <c r="C2162" s="743" t="s">
        <v>3782</v>
      </c>
      <c r="D2162" s="633" t="s">
        <v>75</v>
      </c>
      <c r="E2162" s="644">
        <v>2500000</v>
      </c>
      <c r="F2162" s="633" t="s">
        <v>1968</v>
      </c>
      <c r="G2162" s="633" t="s">
        <v>2593</v>
      </c>
      <c r="H2162" s="635" t="s">
        <v>1955</v>
      </c>
      <c r="I2162" s="635" t="s">
        <v>1644</v>
      </c>
      <c r="J2162" s="387">
        <v>1</v>
      </c>
      <c r="K2162" s="385" t="s">
        <v>1171</v>
      </c>
    </row>
    <row r="2163" spans="1:11" ht="15.75">
      <c r="A2163" s="412" t="s">
        <v>3781</v>
      </c>
      <c r="B2163" s="411" t="s">
        <v>2182</v>
      </c>
      <c r="C2163" s="381" t="s">
        <v>3783</v>
      </c>
      <c r="D2163" s="381" t="s">
        <v>75</v>
      </c>
      <c r="E2163" s="451">
        <v>1300000</v>
      </c>
      <c r="F2163" s="381" t="s">
        <v>1968</v>
      </c>
      <c r="G2163" s="381" t="s">
        <v>2593</v>
      </c>
      <c r="H2163" s="383" t="s">
        <v>1955</v>
      </c>
      <c r="I2163" s="383" t="s">
        <v>1644</v>
      </c>
      <c r="J2163" s="383">
        <v>1</v>
      </c>
      <c r="K2163" s="381" t="s">
        <v>1245</v>
      </c>
    </row>
    <row r="2164" spans="1:11" ht="15.75">
      <c r="A2164" s="479" t="s">
        <v>3762</v>
      </c>
      <c r="B2164" s="612" t="s">
        <v>2694</v>
      </c>
      <c r="C2164" s="426" t="s">
        <v>3784</v>
      </c>
      <c r="D2164" s="385" t="s">
        <v>3017</v>
      </c>
      <c r="E2164" s="462">
        <v>800000</v>
      </c>
      <c r="F2164" s="385" t="s">
        <v>1968</v>
      </c>
      <c r="G2164" s="385" t="s">
        <v>2593</v>
      </c>
      <c r="H2164" s="387" t="s">
        <v>1625</v>
      </c>
      <c r="I2164" s="387" t="s">
        <v>1644</v>
      </c>
      <c r="J2164" s="387">
        <v>1</v>
      </c>
      <c r="K2164" s="385" t="s">
        <v>3681</v>
      </c>
    </row>
    <row r="2165" spans="1:11" ht="15.75">
      <c r="A2165" s="928" t="s">
        <v>3762</v>
      </c>
      <c r="B2165" s="420" t="s">
        <v>2182</v>
      </c>
      <c r="C2165" s="743" t="s">
        <v>3785</v>
      </c>
      <c r="D2165" s="633" t="s">
        <v>3059</v>
      </c>
      <c r="E2165" s="644">
        <v>1700000</v>
      </c>
      <c r="F2165" s="633" t="s">
        <v>2292</v>
      </c>
      <c r="G2165" s="633" t="s">
        <v>2605</v>
      </c>
      <c r="H2165" s="635" t="s">
        <v>1955</v>
      </c>
      <c r="I2165" s="635" t="s">
        <v>1644</v>
      </c>
      <c r="J2165" s="387">
        <v>1</v>
      </c>
      <c r="K2165" s="385" t="s">
        <v>1171</v>
      </c>
    </row>
    <row r="2166" spans="1:11" ht="15.75">
      <c r="A2166" s="928" t="s">
        <v>3766</v>
      </c>
      <c r="B2166" s="420" t="s">
        <v>2182</v>
      </c>
      <c r="C2166" s="743" t="s">
        <v>1003</v>
      </c>
      <c r="D2166" s="633" t="s">
        <v>75</v>
      </c>
      <c r="E2166" s="644">
        <v>1600000</v>
      </c>
      <c r="F2166" s="633" t="s">
        <v>2292</v>
      </c>
      <c r="G2166" s="633" t="s">
        <v>2605</v>
      </c>
      <c r="H2166" s="635" t="s">
        <v>1625</v>
      </c>
      <c r="I2166" s="635" t="s">
        <v>1644</v>
      </c>
      <c r="J2166" s="387">
        <v>1</v>
      </c>
      <c r="K2166" s="385" t="s">
        <v>1245</v>
      </c>
    </row>
    <row r="2167" spans="1:11" ht="15.75">
      <c r="A2167" s="928" t="s">
        <v>3768</v>
      </c>
      <c r="B2167" s="420" t="s">
        <v>2182</v>
      </c>
      <c r="C2167" s="743" t="s">
        <v>3786</v>
      </c>
      <c r="D2167" s="633" t="s">
        <v>2326</v>
      </c>
      <c r="E2167" s="644">
        <v>1100000</v>
      </c>
      <c r="F2167" s="633" t="s">
        <v>1968</v>
      </c>
      <c r="G2167" s="633" t="s">
        <v>2593</v>
      </c>
      <c r="H2167" s="635" t="s">
        <v>1955</v>
      </c>
      <c r="I2167" s="635" t="s">
        <v>1644</v>
      </c>
      <c r="J2167" s="387">
        <v>1</v>
      </c>
      <c r="K2167" s="385" t="s">
        <v>3681</v>
      </c>
    </row>
    <row r="2168" spans="1:11" ht="15.75">
      <c r="A2168" s="928" t="s">
        <v>3768</v>
      </c>
      <c r="B2168" s="420" t="s">
        <v>3787</v>
      </c>
      <c r="C2168" s="743" t="s">
        <v>3788</v>
      </c>
      <c r="D2168" s="633" t="s">
        <v>2326</v>
      </c>
      <c r="E2168" s="644">
        <v>2000000</v>
      </c>
      <c r="F2168" s="633" t="s">
        <v>1968</v>
      </c>
      <c r="G2168" s="633" t="s">
        <v>2593</v>
      </c>
      <c r="H2168" s="635" t="s">
        <v>1955</v>
      </c>
      <c r="I2168" s="635" t="s">
        <v>1644</v>
      </c>
      <c r="J2168" s="387">
        <v>1</v>
      </c>
      <c r="K2168" s="385" t="s">
        <v>1171</v>
      </c>
    </row>
    <row r="2169" spans="1:11" ht="15.75">
      <c r="A2169" s="928" t="s">
        <v>3768</v>
      </c>
      <c r="B2169" s="420" t="s">
        <v>2182</v>
      </c>
      <c r="C2169" s="743" t="s">
        <v>3789</v>
      </c>
      <c r="D2169" s="633" t="s">
        <v>2326</v>
      </c>
      <c r="E2169" s="644">
        <v>1300000</v>
      </c>
      <c r="F2169" s="633" t="s">
        <v>2292</v>
      </c>
      <c r="G2169" s="633" t="s">
        <v>2593</v>
      </c>
      <c r="H2169" s="635" t="s">
        <v>1955</v>
      </c>
      <c r="I2169" s="635" t="s">
        <v>1644</v>
      </c>
      <c r="J2169" s="387">
        <v>1</v>
      </c>
      <c r="K2169" s="385" t="s">
        <v>1171</v>
      </c>
    </row>
    <row r="2170" spans="1:11" ht="15.75">
      <c r="A2170" s="928" t="s">
        <v>3770</v>
      </c>
      <c r="B2170" s="420" t="s">
        <v>2694</v>
      </c>
      <c r="C2170" s="743" t="s">
        <v>3790</v>
      </c>
      <c r="D2170" s="633" t="s">
        <v>2032</v>
      </c>
      <c r="E2170" s="644">
        <v>800000</v>
      </c>
      <c r="F2170" s="633" t="s">
        <v>1968</v>
      </c>
      <c r="G2170" s="633" t="s">
        <v>2593</v>
      </c>
      <c r="H2170" s="635" t="s">
        <v>1955</v>
      </c>
      <c r="I2170" s="635" t="s">
        <v>1644</v>
      </c>
      <c r="J2170" s="387">
        <v>1</v>
      </c>
      <c r="K2170" s="385" t="s">
        <v>1245</v>
      </c>
    </row>
    <row r="2171" spans="1:11" ht="15.75">
      <c r="A2171" s="928" t="s">
        <v>3771</v>
      </c>
      <c r="B2171" s="420" t="s">
        <v>2060</v>
      </c>
      <c r="C2171" s="743" t="s">
        <v>3791</v>
      </c>
      <c r="D2171" s="633" t="s">
        <v>2167</v>
      </c>
      <c r="E2171" s="644">
        <v>2000000</v>
      </c>
      <c r="F2171" s="633" t="s">
        <v>1968</v>
      </c>
      <c r="G2171" s="633" t="s">
        <v>2593</v>
      </c>
      <c r="H2171" s="635" t="s">
        <v>1955</v>
      </c>
      <c r="I2171" s="635" t="s">
        <v>1644</v>
      </c>
      <c r="J2171" s="387">
        <v>1</v>
      </c>
      <c r="K2171" s="385" t="s">
        <v>3681</v>
      </c>
    </row>
    <row r="2172" spans="1:11" ht="15.75">
      <c r="A2172" s="928" t="s">
        <v>3771</v>
      </c>
      <c r="B2172" s="420" t="s">
        <v>2182</v>
      </c>
      <c r="C2172" s="743" t="s">
        <v>1050</v>
      </c>
      <c r="D2172" s="633" t="s">
        <v>75</v>
      </c>
      <c r="E2172" s="644">
        <v>1600000</v>
      </c>
      <c r="F2172" s="633" t="s">
        <v>2292</v>
      </c>
      <c r="G2172" s="633" t="s">
        <v>2593</v>
      </c>
      <c r="H2172" s="635" t="s">
        <v>1955</v>
      </c>
      <c r="I2172" s="635" t="s">
        <v>1644</v>
      </c>
      <c r="J2172" s="387">
        <v>1</v>
      </c>
      <c r="K2172" s="385" t="s">
        <v>3681</v>
      </c>
    </row>
    <row r="2173" spans="1:11" ht="15.75">
      <c r="A2173" s="928" t="s">
        <v>3771</v>
      </c>
      <c r="B2173" s="420" t="s">
        <v>2182</v>
      </c>
      <c r="C2173" s="743" t="s">
        <v>1055</v>
      </c>
      <c r="D2173" s="633" t="s">
        <v>2711</v>
      </c>
      <c r="E2173" s="644">
        <v>1450000</v>
      </c>
      <c r="F2173" s="633" t="s">
        <v>2292</v>
      </c>
      <c r="G2173" s="633" t="s">
        <v>2593</v>
      </c>
      <c r="H2173" s="635" t="s">
        <v>1955</v>
      </c>
      <c r="I2173" s="635" t="s">
        <v>1644</v>
      </c>
      <c r="J2173" s="387">
        <v>1</v>
      </c>
      <c r="K2173" s="385" t="s">
        <v>1171</v>
      </c>
    </row>
    <row r="2174" spans="1:11" ht="15.75">
      <c r="A2174" s="419"/>
      <c r="B2174" s="420"/>
      <c r="C2174" s="457"/>
      <c r="D2174" s="457"/>
      <c r="E2174" s="458"/>
      <c r="F2174" s="457"/>
      <c r="G2174" s="457"/>
      <c r="H2174" s="457"/>
      <c r="I2174" s="457"/>
      <c r="J2174" s="493">
        <f>SUM(J2151:J2173)</f>
        <v>23</v>
      </c>
      <c r="K2174" s="457"/>
    </row>
    <row r="2177" spans="1:11" ht="26.25">
      <c r="A2177" s="1668" t="s">
        <v>3792</v>
      </c>
      <c r="B2177" s="1669"/>
      <c r="C2177" s="1669"/>
      <c r="D2177" s="1669"/>
      <c r="E2177" s="1669"/>
      <c r="F2177" s="1669"/>
      <c r="G2177" s="1669"/>
      <c r="H2177" s="1669"/>
      <c r="I2177" s="1669"/>
      <c r="J2177" s="1669"/>
      <c r="K2177" s="1670"/>
    </row>
    <row r="2178" spans="1:11" ht="30.75">
      <c r="A2178" s="375" t="s">
        <v>1941</v>
      </c>
      <c r="B2178" s="378" t="s">
        <v>1942</v>
      </c>
      <c r="C2178" s="378" t="s">
        <v>1943</v>
      </c>
      <c r="D2178" s="378" t="s">
        <v>1944</v>
      </c>
      <c r="E2178" s="452" t="s">
        <v>1945</v>
      </c>
      <c r="F2178" s="378" t="s">
        <v>1946</v>
      </c>
      <c r="G2178" s="378" t="s">
        <v>2590</v>
      </c>
      <c r="H2178" s="378" t="s">
        <v>1947</v>
      </c>
      <c r="I2178" s="378" t="s">
        <v>1948</v>
      </c>
      <c r="J2178" s="453" t="s">
        <v>1949</v>
      </c>
      <c r="K2178" s="378" t="s">
        <v>1950</v>
      </c>
    </row>
    <row r="2179" spans="1:11" ht="15.75">
      <c r="A2179" s="1068" t="s">
        <v>3781</v>
      </c>
      <c r="B2179" s="1069" t="s">
        <v>2182</v>
      </c>
      <c r="C2179" s="1070" t="s">
        <v>3793</v>
      </c>
      <c r="D2179" s="1071" t="s">
        <v>1590</v>
      </c>
      <c r="E2179" s="1072">
        <v>250000000</v>
      </c>
      <c r="F2179" s="1073" t="s">
        <v>1968</v>
      </c>
      <c r="G2179" s="1073" t="s">
        <v>2593</v>
      </c>
      <c r="H2179" s="1074" t="s">
        <v>1955</v>
      </c>
      <c r="I2179" s="1074" t="s">
        <v>1644</v>
      </c>
      <c r="J2179" s="1074">
        <v>1</v>
      </c>
      <c r="K2179" s="1073" t="s">
        <v>2629</v>
      </c>
    </row>
    <row r="2180" spans="1:11" ht="15.75">
      <c r="A2180" s="1068" t="s">
        <v>3768</v>
      </c>
      <c r="B2180" s="1069" t="s">
        <v>1966</v>
      </c>
      <c r="C2180" s="1070" t="s">
        <v>3794</v>
      </c>
      <c r="D2180" s="1071" t="s">
        <v>3795</v>
      </c>
      <c r="E2180" s="1072">
        <v>400000000</v>
      </c>
      <c r="F2180" s="1073" t="s">
        <v>1968</v>
      </c>
      <c r="G2180" s="1073" t="s">
        <v>2593</v>
      </c>
      <c r="H2180" s="1074" t="s">
        <v>1955</v>
      </c>
      <c r="I2180" s="1074" t="s">
        <v>1644</v>
      </c>
      <c r="J2180" s="1074">
        <v>1</v>
      </c>
      <c r="K2180" s="1073" t="s">
        <v>2629</v>
      </c>
    </row>
    <row r="2181" spans="1:11" ht="15.75">
      <c r="A2181" s="443" t="s">
        <v>3781</v>
      </c>
      <c r="B2181" s="653" t="s">
        <v>1966</v>
      </c>
      <c r="C2181" s="381" t="s">
        <v>3796</v>
      </c>
      <c r="D2181" s="426" t="s">
        <v>2924</v>
      </c>
      <c r="E2181" s="462">
        <v>1800000</v>
      </c>
      <c r="F2181" s="385" t="s">
        <v>1968</v>
      </c>
      <c r="G2181" s="385" t="s">
        <v>2593</v>
      </c>
      <c r="H2181" s="387" t="s">
        <v>1625</v>
      </c>
      <c r="I2181" s="387" t="s">
        <v>1644</v>
      </c>
      <c r="J2181" s="387">
        <v>1</v>
      </c>
      <c r="K2181" s="385" t="s">
        <v>3681</v>
      </c>
    </row>
    <row r="2182" spans="1:11" ht="15.75">
      <c r="A2182" s="443" t="s">
        <v>3781</v>
      </c>
      <c r="B2182" s="653" t="s">
        <v>2060</v>
      </c>
      <c r="C2182" s="381" t="s">
        <v>3797</v>
      </c>
      <c r="D2182" s="426" t="s">
        <v>3645</v>
      </c>
      <c r="E2182" s="462">
        <v>9000000</v>
      </c>
      <c r="F2182" s="385" t="s">
        <v>1968</v>
      </c>
      <c r="G2182" s="385" t="s">
        <v>2593</v>
      </c>
      <c r="H2182" s="387" t="s">
        <v>1955</v>
      </c>
      <c r="I2182" s="387" t="s">
        <v>1644</v>
      </c>
      <c r="J2182" s="387">
        <v>1</v>
      </c>
      <c r="K2182" s="385" t="s">
        <v>1245</v>
      </c>
    </row>
    <row r="2183" spans="1:11" ht="15.75">
      <c r="A2183" s="443" t="s">
        <v>3781</v>
      </c>
      <c r="B2183" s="577" t="s">
        <v>2060</v>
      </c>
      <c r="C2183" s="385" t="s">
        <v>3798</v>
      </c>
      <c r="D2183" s="426" t="s">
        <v>3535</v>
      </c>
      <c r="E2183" s="462">
        <v>5000000</v>
      </c>
      <c r="F2183" s="385" t="s">
        <v>1968</v>
      </c>
      <c r="G2183" s="385" t="s">
        <v>2593</v>
      </c>
      <c r="H2183" s="387" t="s">
        <v>1625</v>
      </c>
      <c r="I2183" s="387" t="s">
        <v>1644</v>
      </c>
      <c r="J2183" s="387">
        <v>1</v>
      </c>
      <c r="K2183" s="385" t="s">
        <v>1171</v>
      </c>
    </row>
    <row r="2184" spans="1:11" ht="15.75">
      <c r="A2184" s="393"/>
      <c r="B2184" s="653"/>
      <c r="C2184" s="381"/>
      <c r="D2184" s="381"/>
      <c r="E2184" s="451"/>
      <c r="F2184" s="381"/>
      <c r="G2184" s="381"/>
      <c r="H2184" s="383"/>
      <c r="I2184" s="383"/>
      <c r="J2184" s="1246">
        <f>SUM(J2179:J2183)</f>
        <v>5</v>
      </c>
      <c r="K2184" s="381"/>
    </row>
    <row r="2187" spans="1:11" ht="26.25">
      <c r="A2187" s="1668" t="s">
        <v>3799</v>
      </c>
      <c r="B2187" s="1669"/>
      <c r="C2187" s="1669"/>
      <c r="D2187" s="1669"/>
      <c r="E2187" s="1669"/>
      <c r="F2187" s="1669"/>
      <c r="G2187" s="1669"/>
      <c r="H2187" s="1669"/>
      <c r="I2187" s="1669"/>
      <c r="J2187" s="1669"/>
      <c r="K2187" s="1670"/>
    </row>
    <row r="2188" spans="1:11" ht="30.75">
      <c r="A2188" s="375" t="s">
        <v>1941</v>
      </c>
      <c r="B2188" s="378" t="s">
        <v>1942</v>
      </c>
      <c r="C2188" s="378" t="s">
        <v>1943</v>
      </c>
      <c r="D2188" s="378" t="s">
        <v>1944</v>
      </c>
      <c r="E2188" s="452" t="s">
        <v>1945</v>
      </c>
      <c r="F2188" s="378" t="s">
        <v>1946</v>
      </c>
      <c r="G2188" s="378" t="s">
        <v>2590</v>
      </c>
      <c r="H2188" s="378" t="s">
        <v>1947</v>
      </c>
      <c r="I2188" s="378" t="s">
        <v>1948</v>
      </c>
      <c r="J2188" s="453" t="s">
        <v>1949</v>
      </c>
      <c r="K2188" s="378" t="s">
        <v>1950</v>
      </c>
    </row>
    <row r="2189" spans="1:11" ht="15.75">
      <c r="A2189" s="1068" t="s">
        <v>3768</v>
      </c>
      <c r="B2189" s="1069" t="s">
        <v>2182</v>
      </c>
      <c r="C2189" s="1070" t="s">
        <v>1016</v>
      </c>
      <c r="D2189" s="1071" t="s">
        <v>3329</v>
      </c>
      <c r="E2189" s="1072">
        <v>330000000</v>
      </c>
      <c r="F2189" s="1073" t="s">
        <v>1968</v>
      </c>
      <c r="G2189" s="1073" t="s">
        <v>2593</v>
      </c>
      <c r="H2189" s="1074" t="s">
        <v>1955</v>
      </c>
      <c r="I2189" s="1074" t="s">
        <v>1625</v>
      </c>
      <c r="J2189" s="1074">
        <v>1</v>
      </c>
      <c r="K2189" s="1073" t="s">
        <v>2629</v>
      </c>
    </row>
    <row r="2190" spans="1:11" ht="15.75">
      <c r="A2190" s="1068" t="s">
        <v>3771</v>
      </c>
      <c r="B2190" s="1069" t="s">
        <v>1966</v>
      </c>
      <c r="C2190" s="1070" t="s">
        <v>3800</v>
      </c>
      <c r="D2190" s="1071" t="s">
        <v>3801</v>
      </c>
      <c r="E2190" s="1072">
        <v>370000000</v>
      </c>
      <c r="F2190" s="1073" t="s">
        <v>1968</v>
      </c>
      <c r="G2190" s="1073" t="s">
        <v>2593</v>
      </c>
      <c r="H2190" s="1074" t="s">
        <v>1955</v>
      </c>
      <c r="I2190" s="1074" t="s">
        <v>1644</v>
      </c>
      <c r="J2190" s="1074">
        <v>1</v>
      </c>
      <c r="K2190" s="1073" t="s">
        <v>2629</v>
      </c>
    </row>
    <row r="2191" spans="1:11" ht="15.75">
      <c r="A2191" s="443">
        <v>44686</v>
      </c>
      <c r="B2191" s="653" t="s">
        <v>2182</v>
      </c>
      <c r="C2191" s="381" t="s">
        <v>3802</v>
      </c>
      <c r="D2191" s="426" t="s">
        <v>2326</v>
      </c>
      <c r="E2191" s="462">
        <v>850000</v>
      </c>
      <c r="F2191" s="385" t="s">
        <v>2290</v>
      </c>
      <c r="G2191" s="385" t="s">
        <v>2593</v>
      </c>
      <c r="H2191" s="387" t="s">
        <v>1955</v>
      </c>
      <c r="I2191" s="387" t="s">
        <v>1625</v>
      </c>
      <c r="J2191" s="387">
        <v>1</v>
      </c>
      <c r="K2191" s="385" t="s">
        <v>3681</v>
      </c>
    </row>
    <row r="2192" spans="1:11" ht="15.75">
      <c r="A2192" s="443">
        <v>44839</v>
      </c>
      <c r="B2192" s="653" t="s">
        <v>2182</v>
      </c>
      <c r="C2192" s="381" t="s">
        <v>3803</v>
      </c>
      <c r="D2192" s="426" t="s">
        <v>2326</v>
      </c>
      <c r="E2192" s="462">
        <v>950000</v>
      </c>
      <c r="F2192" s="385" t="s">
        <v>2292</v>
      </c>
      <c r="G2192" s="385" t="s">
        <v>2593</v>
      </c>
      <c r="H2192" s="387" t="s">
        <v>1955</v>
      </c>
      <c r="I2192" s="387" t="s">
        <v>1644</v>
      </c>
      <c r="J2192" s="387">
        <v>1</v>
      </c>
      <c r="K2192" s="385" t="s">
        <v>856</v>
      </c>
    </row>
    <row r="2193" spans="1:11" ht="15.75">
      <c r="A2193" s="443">
        <v>44839</v>
      </c>
      <c r="B2193" s="653" t="s">
        <v>2182</v>
      </c>
      <c r="C2193" s="381" t="s">
        <v>1016</v>
      </c>
      <c r="D2193" s="426" t="s">
        <v>3329</v>
      </c>
      <c r="E2193" s="462">
        <v>1800000</v>
      </c>
      <c r="F2193" s="385" t="s">
        <v>1968</v>
      </c>
      <c r="G2193" s="385" t="s">
        <v>2593</v>
      </c>
      <c r="H2193" s="387" t="s">
        <v>1955</v>
      </c>
      <c r="I2193" s="387" t="s">
        <v>1625</v>
      </c>
      <c r="J2193" s="387">
        <v>1</v>
      </c>
      <c r="K2193" s="385" t="s">
        <v>1171</v>
      </c>
    </row>
    <row r="2194" spans="1:11" ht="15.75">
      <c r="A2194" s="443" t="s">
        <v>3781</v>
      </c>
      <c r="B2194" s="653" t="s">
        <v>2182</v>
      </c>
      <c r="C2194" s="381" t="s">
        <v>3804</v>
      </c>
      <c r="D2194" s="426" t="s">
        <v>2326</v>
      </c>
      <c r="E2194" s="462">
        <v>1300000</v>
      </c>
      <c r="F2194" s="385" t="s">
        <v>2292</v>
      </c>
      <c r="G2194" s="385" t="s">
        <v>2605</v>
      </c>
      <c r="H2194" s="387" t="s">
        <v>1625</v>
      </c>
      <c r="I2194" s="387" t="s">
        <v>1625</v>
      </c>
      <c r="J2194" s="387">
        <v>1</v>
      </c>
      <c r="K2194" s="385" t="s">
        <v>1245</v>
      </c>
    </row>
    <row r="2195" spans="1:11" ht="15.75">
      <c r="A2195" s="443" t="s">
        <v>3781</v>
      </c>
      <c r="B2195" s="653" t="s">
        <v>2182</v>
      </c>
      <c r="C2195" s="381" t="s">
        <v>1014</v>
      </c>
      <c r="D2195" s="426" t="s">
        <v>2326</v>
      </c>
      <c r="E2195" s="462">
        <v>900000</v>
      </c>
      <c r="F2195" s="385" t="s">
        <v>1968</v>
      </c>
      <c r="G2195" s="385" t="s">
        <v>2593</v>
      </c>
      <c r="H2195" s="387" t="s">
        <v>1955</v>
      </c>
      <c r="I2195" s="387" t="s">
        <v>1644</v>
      </c>
      <c r="J2195" s="387">
        <v>1</v>
      </c>
      <c r="K2195" s="385" t="s">
        <v>3681</v>
      </c>
    </row>
    <row r="2196" spans="1:11" ht="15.75">
      <c r="A2196" s="443" t="s">
        <v>3766</v>
      </c>
      <c r="B2196" s="385" t="s">
        <v>2182</v>
      </c>
      <c r="C2196" s="385" t="s">
        <v>1078</v>
      </c>
      <c r="D2196" s="426" t="s">
        <v>2770</v>
      </c>
      <c r="E2196" s="451">
        <v>2000000</v>
      </c>
      <c r="F2196" s="381" t="s">
        <v>2292</v>
      </c>
      <c r="G2196" s="381" t="s">
        <v>2593</v>
      </c>
      <c r="H2196" s="383" t="s">
        <v>1955</v>
      </c>
      <c r="I2196" s="383" t="s">
        <v>1644</v>
      </c>
      <c r="J2196" s="383">
        <v>1</v>
      </c>
      <c r="K2196" s="381" t="s">
        <v>1171</v>
      </c>
    </row>
    <row r="2197" spans="1:11" ht="15.75">
      <c r="A2197" s="443" t="s">
        <v>3768</v>
      </c>
      <c r="B2197" s="381" t="s">
        <v>2182</v>
      </c>
      <c r="C2197" s="385" t="s">
        <v>1019</v>
      </c>
      <c r="D2197" s="426" t="s">
        <v>2326</v>
      </c>
      <c r="E2197" s="1023">
        <v>700000</v>
      </c>
      <c r="F2197" s="385" t="s">
        <v>2292</v>
      </c>
      <c r="G2197" s="385" t="s">
        <v>2593</v>
      </c>
      <c r="H2197" s="387" t="s">
        <v>1955</v>
      </c>
      <c r="I2197" s="387" t="s">
        <v>1644</v>
      </c>
      <c r="J2197" s="387">
        <v>1</v>
      </c>
      <c r="K2197" s="385" t="s">
        <v>1245</v>
      </c>
    </row>
    <row r="2198" spans="1:11" ht="15.75">
      <c r="A2198" s="443" t="s">
        <v>3771</v>
      </c>
      <c r="B2198" s="381" t="s">
        <v>2182</v>
      </c>
      <c r="C2198" s="381" t="s">
        <v>1079</v>
      </c>
      <c r="D2198" s="426" t="s">
        <v>3059</v>
      </c>
      <c r="E2198" s="1023">
        <v>1600000</v>
      </c>
      <c r="F2198" s="385" t="s">
        <v>2292</v>
      </c>
      <c r="G2198" s="385" t="s">
        <v>2593</v>
      </c>
      <c r="H2198" s="387" t="s">
        <v>1955</v>
      </c>
      <c r="I2198" s="387" t="s">
        <v>1644</v>
      </c>
      <c r="J2198" s="387">
        <v>1</v>
      </c>
      <c r="K2198" s="385" t="s">
        <v>1171</v>
      </c>
    </row>
    <row r="2199" spans="1:11" ht="15.75">
      <c r="A2199" s="443"/>
      <c r="B2199" s="406"/>
      <c r="C2199" s="406"/>
      <c r="D2199" s="426"/>
      <c r="E2199" s="1023"/>
      <c r="F2199" s="385"/>
      <c r="G2199" s="385"/>
      <c r="H2199" s="387"/>
      <c r="I2199" s="387"/>
      <c r="J2199" s="1074">
        <f>SUM(J2189:J2198)</f>
        <v>10</v>
      </c>
      <c r="K2199" s="385"/>
    </row>
    <row r="2200" spans="1:11" ht="15.75" customHeight="1">
      <c r="A2200" s="1671"/>
      <c r="B2200" s="1671"/>
      <c r="C2200" s="1671"/>
      <c r="D2200" s="1671"/>
      <c r="E2200" s="1671"/>
      <c r="F2200" s="1671"/>
      <c r="G2200" s="1671"/>
      <c r="H2200" s="1671"/>
      <c r="I2200" s="1671"/>
      <c r="J2200" s="1671"/>
      <c r="K2200" s="1671"/>
    </row>
    <row r="2201" spans="1:11">
      <c r="A2201" s="1672"/>
      <c r="B2201" s="1672"/>
      <c r="C2201" s="1672"/>
      <c r="D2201" s="1672"/>
      <c r="E2201" s="1672"/>
      <c r="F2201" s="1672"/>
      <c r="G2201" s="1672"/>
      <c r="H2201" s="1672"/>
      <c r="I2201" s="1672"/>
      <c r="J2201" s="1672"/>
      <c r="K2201" s="1672"/>
    </row>
    <row r="2202" spans="1:11" ht="26.25">
      <c r="A2202" s="1668" t="s">
        <v>3805</v>
      </c>
      <c r="B2202" s="1669"/>
      <c r="C2202" s="1669"/>
      <c r="D2202" s="1669"/>
      <c r="E2202" s="1669"/>
      <c r="F2202" s="1669"/>
      <c r="G2202" s="1669"/>
      <c r="H2202" s="1669"/>
      <c r="I2202" s="1669"/>
      <c r="J2202" s="1669"/>
      <c r="K2202" s="1670"/>
    </row>
    <row r="2203" spans="1:11" ht="15.75">
      <c r="A2203" s="443">
        <v>44597</v>
      </c>
      <c r="B2203" s="653" t="s">
        <v>1952</v>
      </c>
      <c r="C2203" s="381" t="s">
        <v>3806</v>
      </c>
      <c r="D2203" s="426" t="s">
        <v>2669</v>
      </c>
      <c r="E2203" s="462">
        <v>1350000</v>
      </c>
      <c r="F2203" s="385" t="s">
        <v>30</v>
      </c>
      <c r="G2203" s="385" t="s">
        <v>30</v>
      </c>
      <c r="H2203" s="387" t="s">
        <v>1955</v>
      </c>
      <c r="I2203" s="387" t="s">
        <v>1625</v>
      </c>
      <c r="J2203" s="387">
        <v>1</v>
      </c>
      <c r="K2203" s="385" t="s">
        <v>856</v>
      </c>
    </row>
    <row r="2204" spans="1:11" ht="15.75">
      <c r="A2204" s="479">
        <v>44597</v>
      </c>
      <c r="B2204" s="612" t="s">
        <v>2182</v>
      </c>
      <c r="C2204" s="381" t="s">
        <v>975</v>
      </c>
      <c r="D2204" s="426" t="s">
        <v>75</v>
      </c>
      <c r="E2204" s="462">
        <v>1350000</v>
      </c>
      <c r="F2204" s="385" t="s">
        <v>30</v>
      </c>
      <c r="G2204" s="385" t="s">
        <v>30</v>
      </c>
      <c r="H2204" s="387" t="s">
        <v>1955</v>
      </c>
      <c r="I2204" s="387" t="s">
        <v>1625</v>
      </c>
      <c r="J2204" s="387">
        <v>1</v>
      </c>
      <c r="K2204" s="385" t="s">
        <v>856</v>
      </c>
    </row>
    <row r="2205" spans="1:11" ht="15.75">
      <c r="A2205" s="443" t="s">
        <v>3781</v>
      </c>
      <c r="B2205" s="653" t="s">
        <v>2182</v>
      </c>
      <c r="C2205" s="381" t="s">
        <v>238</v>
      </c>
      <c r="D2205" s="426" t="s">
        <v>2669</v>
      </c>
      <c r="E2205" s="462">
        <v>1200000</v>
      </c>
      <c r="F2205" s="385" t="s">
        <v>30</v>
      </c>
      <c r="G2205" s="385" t="s">
        <v>30</v>
      </c>
      <c r="H2205" s="387" t="s">
        <v>1955</v>
      </c>
      <c r="I2205" s="387" t="s">
        <v>1644</v>
      </c>
      <c r="J2205" s="387">
        <v>1</v>
      </c>
      <c r="K2205" s="385" t="s">
        <v>856</v>
      </c>
    </row>
    <row r="2206" spans="1:11" ht="15.75">
      <c r="A2206" s="443" t="s">
        <v>3766</v>
      </c>
      <c r="B2206" s="385" t="s">
        <v>2182</v>
      </c>
      <c r="C2206" s="385" t="s">
        <v>992</v>
      </c>
      <c r="D2206" s="426" t="s">
        <v>2669</v>
      </c>
      <c r="E2206" s="451">
        <v>1400000</v>
      </c>
      <c r="F2206" s="381" t="s">
        <v>30</v>
      </c>
      <c r="G2206" s="381" t="s">
        <v>30</v>
      </c>
      <c r="H2206" s="383" t="s">
        <v>1955</v>
      </c>
      <c r="I2206" s="383" t="s">
        <v>1644</v>
      </c>
      <c r="J2206" s="383">
        <v>1</v>
      </c>
      <c r="K2206" s="381" t="s">
        <v>856</v>
      </c>
    </row>
    <row r="2207" spans="1:11" ht="15.75">
      <c r="A2207" s="443" t="s">
        <v>3807</v>
      </c>
      <c r="B2207" s="381" t="s">
        <v>2182</v>
      </c>
      <c r="C2207" s="385" t="s">
        <v>1728</v>
      </c>
      <c r="D2207" s="426" t="s">
        <v>2347</v>
      </c>
      <c r="E2207" s="1023">
        <v>1400000</v>
      </c>
      <c r="F2207" s="385" t="s">
        <v>30</v>
      </c>
      <c r="G2207" s="385" t="s">
        <v>30</v>
      </c>
      <c r="H2207" s="387" t="s">
        <v>1955</v>
      </c>
      <c r="I2207" s="387" t="s">
        <v>1644</v>
      </c>
      <c r="J2207" s="387">
        <v>1</v>
      </c>
      <c r="K2207" s="385" t="s">
        <v>856</v>
      </c>
    </row>
    <row r="2208" spans="1:11" ht="15.75">
      <c r="A2208" s="443"/>
      <c r="B2208" s="381"/>
      <c r="C2208" s="381"/>
      <c r="D2208" s="426"/>
      <c r="E2208" s="1023"/>
      <c r="F2208" s="385"/>
      <c r="G2208" s="385"/>
      <c r="H2208" s="387"/>
      <c r="I2208" s="387"/>
      <c r="J2208" s="1074">
        <f>SUM(J2203:J2207)</f>
        <v>5</v>
      </c>
      <c r="K2208" s="385"/>
    </row>
    <row r="2209" spans="1:11" ht="15.75">
      <c r="A2209" s="393"/>
      <c r="B2209" s="406"/>
      <c r="C2209" s="406"/>
      <c r="D2209" s="381"/>
      <c r="E2209" s="451"/>
      <c r="F2209" s="381"/>
      <c r="G2209" s="381"/>
      <c r="H2209" s="383"/>
      <c r="I2209" s="383"/>
      <c r="J2209" s="383"/>
      <c r="K2209" s="381"/>
    </row>
    <row r="2212" spans="1:11" ht="26.25">
      <c r="A2212" s="1668" t="s">
        <v>3808</v>
      </c>
      <c r="B2212" s="1669"/>
      <c r="C2212" s="1669"/>
      <c r="D2212" s="1669"/>
      <c r="E2212" s="1669"/>
      <c r="F2212" s="1669"/>
      <c r="G2212" s="1669"/>
      <c r="H2212" s="1669"/>
      <c r="I2212" s="1669"/>
      <c r="J2212" s="1669"/>
      <c r="K2212" s="1670"/>
    </row>
    <row r="2213" spans="1:11" ht="30.75">
      <c r="A2213" s="375" t="s">
        <v>1941</v>
      </c>
      <c r="B2213" s="378" t="s">
        <v>1942</v>
      </c>
      <c r="C2213" s="378" t="s">
        <v>1943</v>
      </c>
      <c r="D2213" s="378" t="s">
        <v>1944</v>
      </c>
      <c r="E2213" s="452" t="s">
        <v>1945</v>
      </c>
      <c r="F2213" s="378" t="s">
        <v>1946</v>
      </c>
      <c r="G2213" s="378" t="s">
        <v>2590</v>
      </c>
      <c r="H2213" s="378" t="s">
        <v>1947</v>
      </c>
      <c r="I2213" s="378" t="s">
        <v>1948</v>
      </c>
      <c r="J2213" s="453" t="s">
        <v>1949</v>
      </c>
      <c r="K2213" s="378" t="s">
        <v>1950</v>
      </c>
    </row>
    <row r="2214" spans="1:11" ht="15.75">
      <c r="A2214" s="1244">
        <v>44656</v>
      </c>
      <c r="B2214" s="1069" t="s">
        <v>1952</v>
      </c>
      <c r="C2214" s="1070" t="s">
        <v>3809</v>
      </c>
      <c r="D2214" s="1070" t="s">
        <v>2770</v>
      </c>
      <c r="E2214" s="1245">
        <v>245000000</v>
      </c>
      <c r="F2214" s="1070" t="s">
        <v>1968</v>
      </c>
      <c r="G2214" s="1070" t="s">
        <v>2593</v>
      </c>
      <c r="H2214" s="1246" t="s">
        <v>1955</v>
      </c>
      <c r="I2214" s="1246" t="s">
        <v>1625</v>
      </c>
      <c r="J2214" s="1246">
        <v>1</v>
      </c>
      <c r="K2214" s="1070" t="s">
        <v>2629</v>
      </c>
    </row>
    <row r="2215" spans="1:11" ht="15.75">
      <c r="A2215" s="109"/>
      <c r="B2215" s="80"/>
      <c r="C2215" s="80"/>
      <c r="D2215" s="80"/>
      <c r="E2215" s="119"/>
      <c r="F2215" s="71"/>
      <c r="G2215" s="71"/>
      <c r="H2215" s="80"/>
      <c r="I2215" s="80"/>
      <c r="J2215" s="1246">
        <v>1</v>
      </c>
      <c r="K2215" s="80"/>
    </row>
    <row r="2218" spans="1:11">
      <c r="A2218" s="1665" t="s">
        <v>3810</v>
      </c>
      <c r="B2218" s="1665"/>
      <c r="C2218" s="1665"/>
      <c r="D2218" s="1665"/>
      <c r="E2218" s="1665"/>
      <c r="F2218" s="1665"/>
      <c r="G2218" s="1665"/>
      <c r="H2218" s="1665"/>
      <c r="I2218" s="1665"/>
      <c r="J2218" s="1665"/>
      <c r="K2218" s="1665"/>
    </row>
    <row r="2219" spans="1:11">
      <c r="A2219" s="1666"/>
      <c r="B2219" s="1666"/>
      <c r="C2219" s="1666"/>
      <c r="D2219" s="1666"/>
      <c r="E2219" s="1666"/>
      <c r="F2219" s="1666"/>
      <c r="G2219" s="1666"/>
      <c r="H2219" s="1666"/>
      <c r="I2219" s="1666"/>
      <c r="J2219" s="1666"/>
      <c r="K2219" s="1666"/>
    </row>
    <row r="2221" spans="1:11" ht="15.75">
      <c r="A2221" s="394"/>
      <c r="B2221" s="395"/>
      <c r="C2221" s="395"/>
      <c r="D2221" s="395"/>
      <c r="E2221" s="706"/>
      <c r="F2221" s="707"/>
      <c r="G2221" s="707"/>
      <c r="H2221" s="397"/>
      <c r="I2221" s="397"/>
      <c r="J2221" s="397"/>
      <c r="K2221" s="395"/>
    </row>
    <row r="2222" spans="1:11" ht="26.25">
      <c r="A2222" s="1667" t="s">
        <v>3811</v>
      </c>
      <c r="B2222" s="1667"/>
      <c r="C2222" s="1667"/>
      <c r="D2222" s="1667"/>
      <c r="E2222" s="1667"/>
      <c r="F2222" s="1667"/>
      <c r="G2222" s="1667"/>
      <c r="H2222" s="1667"/>
      <c r="I2222" s="1667"/>
      <c r="J2222" s="1667"/>
      <c r="K2222" s="1667"/>
    </row>
    <row r="2223" spans="1:11" ht="30.75">
      <c r="A2223" s="375" t="s">
        <v>1941</v>
      </c>
      <c r="B2223" s="378" t="s">
        <v>1942</v>
      </c>
      <c r="C2223" s="378" t="s">
        <v>1943</v>
      </c>
      <c r="D2223" s="378" t="s">
        <v>1944</v>
      </c>
      <c r="E2223" s="452" t="s">
        <v>1945</v>
      </c>
      <c r="F2223" s="378" t="s">
        <v>1946</v>
      </c>
      <c r="G2223" s="378" t="s">
        <v>2590</v>
      </c>
      <c r="H2223" s="378" t="s">
        <v>1947</v>
      </c>
      <c r="I2223" s="378" t="s">
        <v>1948</v>
      </c>
      <c r="J2223" s="453" t="s">
        <v>1949</v>
      </c>
      <c r="K2223" s="378" t="s">
        <v>1950</v>
      </c>
    </row>
    <row r="2224" spans="1:11" ht="15.75">
      <c r="A2224" s="611" t="s">
        <v>3812</v>
      </c>
      <c r="B2224" s="455" t="s">
        <v>2182</v>
      </c>
      <c r="C2224" s="578" t="s">
        <v>3813</v>
      </c>
      <c r="D2224" s="472" t="s">
        <v>2770</v>
      </c>
      <c r="E2224" s="475">
        <v>210000000</v>
      </c>
      <c r="F2224" s="472" t="s">
        <v>2292</v>
      </c>
      <c r="G2224" s="472" t="s">
        <v>2741</v>
      </c>
      <c r="H2224" s="473" t="s">
        <v>1955</v>
      </c>
      <c r="I2224" s="473" t="s">
        <v>1644</v>
      </c>
      <c r="J2224" s="473">
        <v>1</v>
      </c>
      <c r="K2224" s="472" t="s">
        <v>2629</v>
      </c>
    </row>
    <row r="2225" spans="1:11" ht="15.75">
      <c r="A2225" s="937" t="s">
        <v>3814</v>
      </c>
      <c r="B2225" s="455" t="s">
        <v>2182</v>
      </c>
      <c r="C2225" s="578" t="s">
        <v>230</v>
      </c>
      <c r="D2225" s="472" t="s">
        <v>2711</v>
      </c>
      <c r="E2225" s="475">
        <v>290000000</v>
      </c>
      <c r="F2225" s="472" t="s">
        <v>1968</v>
      </c>
      <c r="G2225" s="472" t="s">
        <v>2741</v>
      </c>
      <c r="H2225" s="473" t="s">
        <v>1955</v>
      </c>
      <c r="I2225" s="473" t="s">
        <v>1644</v>
      </c>
      <c r="J2225" s="473">
        <v>1</v>
      </c>
      <c r="K2225" s="472" t="s">
        <v>2629</v>
      </c>
    </row>
    <row r="2226" spans="1:11" ht="15.75">
      <c r="A2226" s="937" t="s">
        <v>3812</v>
      </c>
      <c r="B2226" s="640" t="s">
        <v>2182</v>
      </c>
      <c r="C2226" s="472" t="s">
        <v>3815</v>
      </c>
      <c r="D2226" s="472" t="s">
        <v>75</v>
      </c>
      <c r="E2226" s="475">
        <v>600000000</v>
      </c>
      <c r="F2226" s="472" t="s">
        <v>2292</v>
      </c>
      <c r="G2226" s="472" t="s">
        <v>2741</v>
      </c>
      <c r="H2226" s="473" t="s">
        <v>1955</v>
      </c>
      <c r="I2226" s="473" t="s">
        <v>1644</v>
      </c>
      <c r="J2226" s="473">
        <v>1</v>
      </c>
      <c r="K2226" s="472" t="s">
        <v>2629</v>
      </c>
    </row>
    <row r="2227" spans="1:11" ht="15.75">
      <c r="A2227" s="393" t="s">
        <v>3816</v>
      </c>
      <c r="B2227" s="1265" t="s">
        <v>2182</v>
      </c>
      <c r="C2227" s="385" t="s">
        <v>1976</v>
      </c>
      <c r="D2227" s="385" t="s">
        <v>75</v>
      </c>
      <c r="E2227" s="462">
        <v>2000000</v>
      </c>
      <c r="F2227" s="385" t="s">
        <v>2290</v>
      </c>
      <c r="G2227" s="385" t="s">
        <v>2593</v>
      </c>
      <c r="H2227" s="387" t="s">
        <v>1955</v>
      </c>
      <c r="I2227" s="387" t="s">
        <v>1644</v>
      </c>
      <c r="J2227" s="387">
        <v>1</v>
      </c>
      <c r="K2227" s="411" t="s">
        <v>1171</v>
      </c>
    </row>
    <row r="2228" spans="1:11" ht="15.75">
      <c r="A2228" s="393" t="s">
        <v>3817</v>
      </c>
      <c r="B2228" s="381" t="s">
        <v>2182</v>
      </c>
      <c r="C2228" s="381" t="s">
        <v>1028</v>
      </c>
      <c r="D2228" s="381" t="s">
        <v>75</v>
      </c>
      <c r="E2228" s="451">
        <v>1800000</v>
      </c>
      <c r="F2228" s="381" t="s">
        <v>2292</v>
      </c>
      <c r="G2228" s="381" t="s">
        <v>2593</v>
      </c>
      <c r="H2228" s="383" t="s">
        <v>1955</v>
      </c>
      <c r="I2228" s="383" t="s">
        <v>1644</v>
      </c>
      <c r="J2228" s="383">
        <v>1</v>
      </c>
      <c r="K2228" s="381" t="s">
        <v>1245</v>
      </c>
    </row>
    <row r="2229" spans="1:11" ht="15.75">
      <c r="A2229" s="579">
        <v>44598</v>
      </c>
      <c r="B2229" s="381" t="s">
        <v>2182</v>
      </c>
      <c r="C2229" s="381" t="s">
        <v>1041</v>
      </c>
      <c r="D2229" s="381" t="s">
        <v>2966</v>
      </c>
      <c r="E2229" s="451">
        <v>1500000</v>
      </c>
      <c r="F2229" s="381" t="s">
        <v>2292</v>
      </c>
      <c r="G2229" s="381" t="s">
        <v>2593</v>
      </c>
      <c r="H2229" s="383" t="s">
        <v>1955</v>
      </c>
      <c r="I2229" s="383" t="s">
        <v>1644</v>
      </c>
      <c r="J2229" s="383">
        <v>1</v>
      </c>
      <c r="K2229" s="381" t="s">
        <v>3681</v>
      </c>
    </row>
    <row r="2230" spans="1:11" ht="15.75">
      <c r="A2230" s="579">
        <v>44598</v>
      </c>
      <c r="B2230" s="381" t="s">
        <v>2182</v>
      </c>
      <c r="C2230" s="381" t="s">
        <v>3818</v>
      </c>
      <c r="D2230" s="381" t="s">
        <v>2669</v>
      </c>
      <c r="E2230" s="451">
        <v>1600000</v>
      </c>
      <c r="F2230" s="381" t="s">
        <v>2292</v>
      </c>
      <c r="G2230" s="381" t="s">
        <v>2593</v>
      </c>
      <c r="H2230" s="383" t="s">
        <v>1955</v>
      </c>
      <c r="I2230" s="383" t="s">
        <v>1644</v>
      </c>
      <c r="J2230" s="383">
        <v>1</v>
      </c>
      <c r="K2230" s="381" t="s">
        <v>1171</v>
      </c>
    </row>
    <row r="2231" spans="1:11" ht="15.75">
      <c r="A2231" s="579">
        <v>44626</v>
      </c>
      <c r="B2231" s="381" t="s">
        <v>2182</v>
      </c>
      <c r="C2231" s="381" t="s">
        <v>3819</v>
      </c>
      <c r="D2231" s="381" t="s">
        <v>3189</v>
      </c>
      <c r="E2231" s="451">
        <v>1700000</v>
      </c>
      <c r="F2231" s="381" t="s">
        <v>2292</v>
      </c>
      <c r="G2231" s="381" t="s">
        <v>30</v>
      </c>
      <c r="H2231" s="383" t="s">
        <v>1955</v>
      </c>
      <c r="I2231" s="383" t="s">
        <v>1644</v>
      </c>
      <c r="J2231" s="383">
        <v>1</v>
      </c>
      <c r="K2231" s="381" t="s">
        <v>1245</v>
      </c>
    </row>
    <row r="2232" spans="1:11" ht="15.75">
      <c r="A2232" s="579">
        <v>44657</v>
      </c>
      <c r="B2232" s="381" t="s">
        <v>2182</v>
      </c>
      <c r="C2232" s="381" t="s">
        <v>1040</v>
      </c>
      <c r="D2232" s="381" t="s">
        <v>2966</v>
      </c>
      <c r="E2232" s="451">
        <v>1500000</v>
      </c>
      <c r="F2232" s="381" t="s">
        <v>2292</v>
      </c>
      <c r="G2232" s="381" t="s">
        <v>2605</v>
      </c>
      <c r="H2232" s="383" t="s">
        <v>1955</v>
      </c>
      <c r="I2232" s="383" t="s">
        <v>1644</v>
      </c>
      <c r="J2232" s="383">
        <v>1</v>
      </c>
      <c r="K2232" s="381" t="s">
        <v>3681</v>
      </c>
    </row>
    <row r="2233" spans="1:11" ht="15.75">
      <c r="A2233" s="579">
        <v>44748</v>
      </c>
      <c r="B2233" s="381" t="s">
        <v>2182</v>
      </c>
      <c r="C2233" s="381" t="s">
        <v>3820</v>
      </c>
      <c r="D2233" s="381" t="s">
        <v>2573</v>
      </c>
      <c r="E2233" s="451">
        <v>1450000</v>
      </c>
      <c r="F2233" s="381" t="s">
        <v>2292</v>
      </c>
      <c r="G2233" s="381" t="s">
        <v>2593</v>
      </c>
      <c r="H2233" s="383" t="s">
        <v>1955</v>
      </c>
      <c r="I2233" s="383" t="s">
        <v>1644</v>
      </c>
      <c r="J2233" s="383">
        <v>1</v>
      </c>
      <c r="K2233" s="381" t="s">
        <v>1171</v>
      </c>
    </row>
    <row r="2234" spans="1:11" ht="15.75">
      <c r="A2234" s="579">
        <v>44779</v>
      </c>
      <c r="B2234" s="381" t="s">
        <v>2182</v>
      </c>
      <c r="C2234" s="381" t="s">
        <v>3821</v>
      </c>
      <c r="D2234" s="381" t="s">
        <v>75</v>
      </c>
      <c r="E2234" s="451">
        <v>1900000</v>
      </c>
      <c r="F2234" s="381" t="s">
        <v>2292</v>
      </c>
      <c r="G2234" s="381" t="s">
        <v>2605</v>
      </c>
      <c r="H2234" s="383" t="s">
        <v>1955</v>
      </c>
      <c r="I2234" s="383" t="s">
        <v>1644</v>
      </c>
      <c r="J2234" s="383">
        <v>1</v>
      </c>
      <c r="K2234" s="381" t="s">
        <v>1245</v>
      </c>
    </row>
    <row r="2235" spans="1:11" ht="15.75">
      <c r="A2235" s="579">
        <v>44810</v>
      </c>
      <c r="B2235" s="381" t="s">
        <v>2182</v>
      </c>
      <c r="C2235" s="381" t="s">
        <v>1032</v>
      </c>
      <c r="D2235" s="381" t="s">
        <v>2347</v>
      </c>
      <c r="E2235" s="451">
        <v>1250000</v>
      </c>
      <c r="F2235" s="381" t="s">
        <v>2292</v>
      </c>
      <c r="G2235" s="381" t="s">
        <v>30</v>
      </c>
      <c r="H2235" s="383" t="s">
        <v>1955</v>
      </c>
      <c r="I2235" s="383" t="s">
        <v>1644</v>
      </c>
      <c r="J2235" s="383">
        <v>1</v>
      </c>
      <c r="K2235" s="381" t="s">
        <v>1245</v>
      </c>
    </row>
    <row r="2236" spans="1:11" ht="15.75">
      <c r="A2236" s="579">
        <v>44840</v>
      </c>
      <c r="B2236" s="381" t="s">
        <v>2182</v>
      </c>
      <c r="C2236" s="381" t="s">
        <v>1751</v>
      </c>
      <c r="D2236" s="381" t="s">
        <v>75</v>
      </c>
      <c r="E2236" s="451">
        <v>1800000</v>
      </c>
      <c r="F2236" s="381" t="s">
        <v>2292</v>
      </c>
      <c r="G2236" s="381" t="s">
        <v>2593</v>
      </c>
      <c r="H2236" s="383" t="s">
        <v>1955</v>
      </c>
      <c r="I2236" s="383" t="s">
        <v>1644</v>
      </c>
      <c r="J2236" s="383">
        <v>1</v>
      </c>
      <c r="K2236" s="381" t="s">
        <v>1245</v>
      </c>
    </row>
    <row r="2237" spans="1:11" ht="15.75">
      <c r="A2237" s="579" t="s">
        <v>3822</v>
      </c>
      <c r="B2237" s="381" t="s">
        <v>2182</v>
      </c>
      <c r="C2237" s="381" t="s">
        <v>1045</v>
      </c>
      <c r="D2237" s="381" t="s">
        <v>3493</v>
      </c>
      <c r="E2237" s="451">
        <v>1500000</v>
      </c>
      <c r="F2237" s="381" t="s">
        <v>2292</v>
      </c>
      <c r="G2237" s="381" t="s">
        <v>2593</v>
      </c>
      <c r="H2237" s="383" t="s">
        <v>1955</v>
      </c>
      <c r="I2237" s="383" t="s">
        <v>1644</v>
      </c>
      <c r="J2237" s="383">
        <v>1</v>
      </c>
      <c r="K2237" s="381" t="s">
        <v>1171</v>
      </c>
    </row>
    <row r="2238" spans="1:11" ht="15.75">
      <c r="A2238" s="579" t="s">
        <v>3823</v>
      </c>
      <c r="B2238" s="381" t="s">
        <v>2182</v>
      </c>
      <c r="C2238" s="381" t="s">
        <v>3513</v>
      </c>
      <c r="D2238" s="381" t="s">
        <v>3107</v>
      </c>
      <c r="E2238" s="451">
        <v>900000</v>
      </c>
      <c r="F2238" s="381" t="s">
        <v>1968</v>
      </c>
      <c r="G2238" s="381" t="s">
        <v>2593</v>
      </c>
      <c r="H2238" s="383" t="s">
        <v>1955</v>
      </c>
      <c r="I2238" s="383" t="s">
        <v>1644</v>
      </c>
      <c r="J2238" s="383">
        <v>1</v>
      </c>
      <c r="K2238" s="381" t="s">
        <v>3681</v>
      </c>
    </row>
    <row r="2239" spans="1:11" ht="15.75">
      <c r="A2239" s="579" t="s">
        <v>3824</v>
      </c>
      <c r="B2239" s="381" t="s">
        <v>2182</v>
      </c>
      <c r="C2239" s="381" t="s">
        <v>3825</v>
      </c>
      <c r="D2239" s="381" t="s">
        <v>3493</v>
      </c>
      <c r="E2239" s="451">
        <v>1500000</v>
      </c>
      <c r="F2239" s="381" t="s">
        <v>2292</v>
      </c>
      <c r="G2239" s="381" t="s">
        <v>2605</v>
      </c>
      <c r="H2239" s="383" t="s">
        <v>1955</v>
      </c>
      <c r="I2239" s="383" t="s">
        <v>1644</v>
      </c>
      <c r="J2239" s="383">
        <v>1</v>
      </c>
      <c r="K2239" s="381" t="s">
        <v>1171</v>
      </c>
    </row>
    <row r="2240" spans="1:11" ht="15.75">
      <c r="A2240" s="579" t="s">
        <v>3824</v>
      </c>
      <c r="B2240" s="381" t="s">
        <v>2182</v>
      </c>
      <c r="C2240" s="381" t="s">
        <v>3826</v>
      </c>
      <c r="D2240" s="381" t="s">
        <v>3827</v>
      </c>
      <c r="E2240" s="451">
        <v>520000</v>
      </c>
      <c r="F2240" s="381" t="s">
        <v>1968</v>
      </c>
      <c r="G2240" s="381" t="s">
        <v>2593</v>
      </c>
      <c r="H2240" s="383" t="s">
        <v>1955</v>
      </c>
      <c r="I2240" s="383" t="s">
        <v>1644</v>
      </c>
      <c r="J2240" s="383">
        <v>1</v>
      </c>
      <c r="K2240" s="381" t="s">
        <v>1245</v>
      </c>
    </row>
    <row r="2241" spans="1:11" ht="15.75">
      <c r="A2241" s="579" t="s">
        <v>3824</v>
      </c>
      <c r="B2241" s="381" t="s">
        <v>2182</v>
      </c>
      <c r="C2241" s="381" t="s">
        <v>3813</v>
      </c>
      <c r="D2241" s="381" t="s">
        <v>2770</v>
      </c>
      <c r="E2241" s="451">
        <v>1300000</v>
      </c>
      <c r="F2241" s="381" t="s">
        <v>2292</v>
      </c>
      <c r="G2241" s="381" t="s">
        <v>2605</v>
      </c>
      <c r="H2241" s="383" t="s">
        <v>1955</v>
      </c>
      <c r="I2241" s="383" t="s">
        <v>1644</v>
      </c>
      <c r="J2241" s="383">
        <v>1</v>
      </c>
      <c r="K2241" s="381" t="s">
        <v>1171</v>
      </c>
    </row>
    <row r="2242" spans="1:11" ht="15.75">
      <c r="A2242" s="579" t="s">
        <v>3828</v>
      </c>
      <c r="B2242" s="381" t="s">
        <v>2182</v>
      </c>
      <c r="C2242" s="381" t="s">
        <v>1042</v>
      </c>
      <c r="D2242" s="381" t="s">
        <v>3493</v>
      </c>
      <c r="E2242" s="451">
        <v>1600000</v>
      </c>
      <c r="F2242" s="381" t="s">
        <v>2292</v>
      </c>
      <c r="G2242" s="381" t="s">
        <v>2605</v>
      </c>
      <c r="H2242" s="383" t="s">
        <v>1955</v>
      </c>
      <c r="I2242" s="383" t="s">
        <v>1644</v>
      </c>
      <c r="J2242" s="383">
        <v>1</v>
      </c>
      <c r="K2242" s="381" t="s">
        <v>3681</v>
      </c>
    </row>
    <row r="2243" spans="1:11" ht="15.75">
      <c r="A2243" s="744" t="s">
        <v>3828</v>
      </c>
      <c r="B2243" s="381" t="s">
        <v>2182</v>
      </c>
      <c r="C2243" s="381" t="s">
        <v>1100</v>
      </c>
      <c r="D2243" s="381" t="s">
        <v>2669</v>
      </c>
      <c r="E2243" s="451">
        <v>1600000</v>
      </c>
      <c r="F2243" s="381" t="s">
        <v>2292</v>
      </c>
      <c r="G2243" s="381" t="s">
        <v>2605</v>
      </c>
      <c r="H2243" s="383" t="s">
        <v>1955</v>
      </c>
      <c r="I2243" s="383" t="s">
        <v>1644</v>
      </c>
      <c r="J2243" s="383">
        <v>1</v>
      </c>
      <c r="K2243" s="381" t="s">
        <v>1245</v>
      </c>
    </row>
    <row r="2244" spans="1:11" ht="15.75">
      <c r="A2244" s="393" t="s">
        <v>3828</v>
      </c>
      <c r="B2244" s="610" t="s">
        <v>2182</v>
      </c>
      <c r="C2244" s="482" t="s">
        <v>1102</v>
      </c>
      <c r="D2244" s="482" t="s">
        <v>2669</v>
      </c>
      <c r="E2244" s="483">
        <v>1600000</v>
      </c>
      <c r="F2244" s="482" t="s">
        <v>2292</v>
      </c>
      <c r="G2244" s="482" t="s">
        <v>2605</v>
      </c>
      <c r="H2244" s="484" t="s">
        <v>1955</v>
      </c>
      <c r="I2244" s="484" t="s">
        <v>1644</v>
      </c>
      <c r="J2244" s="484">
        <v>1</v>
      </c>
      <c r="K2244" s="482" t="s">
        <v>1171</v>
      </c>
    </row>
    <row r="2245" spans="1:11" ht="15.75">
      <c r="A2245" s="412" t="s">
        <v>3812</v>
      </c>
      <c r="B2245" s="411" t="s">
        <v>2182</v>
      </c>
      <c r="C2245" s="381" t="s">
        <v>3815</v>
      </c>
      <c r="D2245" s="381" t="s">
        <v>75</v>
      </c>
      <c r="E2245" s="451">
        <v>3200000</v>
      </c>
      <c r="F2245" s="381" t="s">
        <v>2292</v>
      </c>
      <c r="G2245" s="381" t="s">
        <v>2593</v>
      </c>
      <c r="H2245" s="383" t="s">
        <v>1955</v>
      </c>
      <c r="I2245" s="383" t="s">
        <v>1644</v>
      </c>
      <c r="J2245" s="383">
        <v>1</v>
      </c>
      <c r="K2245" s="381" t="s">
        <v>3681</v>
      </c>
    </row>
    <row r="2246" spans="1:11" ht="15.75">
      <c r="A2246" s="928" t="s">
        <v>3829</v>
      </c>
      <c r="B2246" s="420" t="s">
        <v>2182</v>
      </c>
      <c r="C2246" s="743" t="s">
        <v>1101</v>
      </c>
      <c r="D2246" s="633" t="s">
        <v>3493</v>
      </c>
      <c r="E2246" s="644">
        <v>1550000</v>
      </c>
      <c r="F2246" s="633" t="s">
        <v>2292</v>
      </c>
      <c r="G2246" s="633" t="s">
        <v>2605</v>
      </c>
      <c r="H2246" s="635" t="s">
        <v>1955</v>
      </c>
      <c r="I2246" s="635" t="s">
        <v>1644</v>
      </c>
      <c r="J2246" s="387">
        <v>1</v>
      </c>
      <c r="K2246" s="385" t="s">
        <v>1245</v>
      </c>
    </row>
    <row r="2247" spans="1:11" ht="15.75">
      <c r="A2247" s="456"/>
      <c r="B2247" s="457"/>
      <c r="C2247" s="457"/>
      <c r="D2247" s="457"/>
      <c r="E2247" s="476"/>
      <c r="F2247" s="457"/>
      <c r="G2247" s="457"/>
      <c r="H2247" s="153"/>
      <c r="I2247" s="153"/>
      <c r="J2247" s="493">
        <f>SUM(J2224:J2246)</f>
        <v>23</v>
      </c>
      <c r="K2247" s="457"/>
    </row>
    <row r="2248" spans="1:11" ht="15.75">
      <c r="A2248" s="394"/>
      <c r="B2248" s="395"/>
      <c r="C2248" s="395"/>
      <c r="D2248" s="395"/>
      <c r="E2248" s="396"/>
      <c r="F2248" s="397"/>
      <c r="G2248" s="397"/>
      <c r="H2248" s="395"/>
      <c r="I2248" s="395"/>
      <c r="J2248" s="395"/>
      <c r="K2248" s="395"/>
    </row>
    <row r="2249" spans="1:11" ht="15.75">
      <c r="A2249" s="394"/>
      <c r="B2249" s="395"/>
      <c r="C2249" s="395"/>
      <c r="D2249" s="395"/>
      <c r="E2249" s="396"/>
      <c r="F2249" s="397"/>
      <c r="G2249" s="397"/>
      <c r="H2249" s="395"/>
      <c r="I2249" s="395"/>
      <c r="J2249" s="395"/>
      <c r="K2249" s="395"/>
    </row>
    <row r="2251" spans="1:11" ht="26.25">
      <c r="A2251" s="1668" t="s">
        <v>3830</v>
      </c>
      <c r="B2251" s="1669"/>
      <c r="C2251" s="1669"/>
      <c r="D2251" s="1669"/>
      <c r="E2251" s="1669"/>
      <c r="F2251" s="1669"/>
      <c r="G2251" s="1669"/>
      <c r="H2251" s="1669"/>
      <c r="I2251" s="1669"/>
      <c r="J2251" s="1669"/>
      <c r="K2251" s="1670"/>
    </row>
    <row r="2252" spans="1:11" ht="30.75">
      <c r="A2252" s="378" t="s">
        <v>1941</v>
      </c>
      <c r="B2252" s="378" t="s">
        <v>1942</v>
      </c>
      <c r="C2252" s="378" t="s">
        <v>1943</v>
      </c>
      <c r="D2252" s="378" t="s">
        <v>1944</v>
      </c>
      <c r="E2252" s="452" t="s">
        <v>1945</v>
      </c>
      <c r="F2252" s="378" t="s">
        <v>1946</v>
      </c>
      <c r="G2252" s="378" t="s">
        <v>2590</v>
      </c>
      <c r="H2252" s="378" t="s">
        <v>1947</v>
      </c>
      <c r="I2252" s="378" t="s">
        <v>1948</v>
      </c>
      <c r="J2252" s="453" t="s">
        <v>1949</v>
      </c>
      <c r="K2252" s="378" t="s">
        <v>1950</v>
      </c>
    </row>
    <row r="2253" spans="1:11" ht="15.75">
      <c r="A2253" s="922">
        <v>44718</v>
      </c>
      <c r="B2253" s="618" t="s">
        <v>2182</v>
      </c>
      <c r="C2253" s="472" t="s">
        <v>2556</v>
      </c>
      <c r="D2253" s="472" t="s">
        <v>75</v>
      </c>
      <c r="E2253" s="475">
        <v>720000000</v>
      </c>
      <c r="F2253" s="472" t="s">
        <v>1968</v>
      </c>
      <c r="G2253" s="472" t="s">
        <v>2593</v>
      </c>
      <c r="H2253" s="473" t="s">
        <v>1955</v>
      </c>
      <c r="I2253" s="473" t="s">
        <v>1644</v>
      </c>
      <c r="J2253" s="473">
        <v>1</v>
      </c>
      <c r="K2253" s="472" t="s">
        <v>2629</v>
      </c>
    </row>
    <row r="2254" spans="1:11" ht="15.75">
      <c r="A2254" s="922">
        <v>44718</v>
      </c>
      <c r="B2254" s="618" t="s">
        <v>2182</v>
      </c>
      <c r="C2254" s="578" t="s">
        <v>3831</v>
      </c>
      <c r="D2254" s="472" t="s">
        <v>2711</v>
      </c>
      <c r="E2254" s="475">
        <v>360000000</v>
      </c>
      <c r="F2254" s="472" t="s">
        <v>2292</v>
      </c>
      <c r="G2254" s="472" t="s">
        <v>2593</v>
      </c>
      <c r="H2254" s="473" t="s">
        <v>1955</v>
      </c>
      <c r="I2254" s="473" t="s">
        <v>1644</v>
      </c>
      <c r="J2254" s="473">
        <v>1</v>
      </c>
      <c r="K2254" s="472" t="s">
        <v>2629</v>
      </c>
    </row>
    <row r="2255" spans="1:11" ht="15.75">
      <c r="A2255" s="611" t="s">
        <v>3822</v>
      </c>
      <c r="B2255" s="472" t="s">
        <v>2182</v>
      </c>
      <c r="C2255" s="472" t="s">
        <v>3832</v>
      </c>
      <c r="D2255" s="472" t="s">
        <v>75</v>
      </c>
      <c r="E2255" s="475">
        <v>280000000</v>
      </c>
      <c r="F2255" s="472" t="s">
        <v>2292</v>
      </c>
      <c r="G2255" s="472" t="s">
        <v>2593</v>
      </c>
      <c r="H2255" s="473" t="s">
        <v>1955</v>
      </c>
      <c r="I2255" s="473" t="s">
        <v>1644</v>
      </c>
      <c r="J2255" s="473">
        <v>1</v>
      </c>
      <c r="K2255" s="472" t="s">
        <v>2629</v>
      </c>
    </row>
    <row r="2256" spans="1:11" ht="15.75">
      <c r="A2256" s="384" t="s">
        <v>3833</v>
      </c>
      <c r="B2256" s="577" t="s">
        <v>2182</v>
      </c>
      <c r="C2256" s="385" t="s">
        <v>2556</v>
      </c>
      <c r="D2256" s="385" t="s">
        <v>75</v>
      </c>
      <c r="E2256" s="462">
        <v>3200000</v>
      </c>
      <c r="F2256" s="385" t="s">
        <v>2461</v>
      </c>
      <c r="G2256" s="385" t="s">
        <v>2593</v>
      </c>
      <c r="H2256" s="387" t="s">
        <v>1955</v>
      </c>
      <c r="I2256" s="387" t="s">
        <v>1644</v>
      </c>
      <c r="J2256" s="387">
        <v>1</v>
      </c>
      <c r="K2256" s="385" t="s">
        <v>1245</v>
      </c>
    </row>
    <row r="2257" spans="1:11" ht="15.75">
      <c r="A2257" s="384" t="s">
        <v>3833</v>
      </c>
      <c r="B2257" s="577" t="s">
        <v>2182</v>
      </c>
      <c r="C2257" s="426" t="s">
        <v>1049</v>
      </c>
      <c r="D2257" s="385" t="s">
        <v>3059</v>
      </c>
      <c r="E2257" s="462">
        <v>1800000</v>
      </c>
      <c r="F2257" s="385" t="s">
        <v>2292</v>
      </c>
      <c r="G2257" s="385" t="s">
        <v>2605</v>
      </c>
      <c r="H2257" s="387" t="s">
        <v>1955</v>
      </c>
      <c r="I2257" s="387" t="s">
        <v>1644</v>
      </c>
      <c r="J2257" s="387">
        <v>1</v>
      </c>
      <c r="K2257" s="385" t="s">
        <v>3681</v>
      </c>
    </row>
    <row r="2258" spans="1:11" ht="15.75">
      <c r="A2258" s="384" t="s">
        <v>3834</v>
      </c>
      <c r="B2258" s="577" t="s">
        <v>2182</v>
      </c>
      <c r="C2258" s="426" t="s">
        <v>1053</v>
      </c>
      <c r="D2258" s="385" t="s">
        <v>75</v>
      </c>
      <c r="E2258" s="462">
        <v>1900000</v>
      </c>
      <c r="F2258" s="385" t="s">
        <v>2292</v>
      </c>
      <c r="G2258" s="385" t="s">
        <v>30</v>
      </c>
      <c r="H2258" s="387" t="s">
        <v>1955</v>
      </c>
      <c r="I2258" s="387" t="s">
        <v>1644</v>
      </c>
      <c r="J2258" s="387">
        <v>1</v>
      </c>
      <c r="K2258" s="385" t="s">
        <v>1171</v>
      </c>
    </row>
    <row r="2259" spans="1:11" ht="15.75">
      <c r="A2259" s="412" t="s">
        <v>3834</v>
      </c>
      <c r="B2259" s="381" t="s">
        <v>1966</v>
      </c>
      <c r="C2259" s="426" t="s">
        <v>3835</v>
      </c>
      <c r="D2259" s="385" t="s">
        <v>2167</v>
      </c>
      <c r="E2259" s="462">
        <v>1700000</v>
      </c>
      <c r="F2259" s="385" t="s">
        <v>1968</v>
      </c>
      <c r="G2259" s="385" t="s">
        <v>2593</v>
      </c>
      <c r="H2259" s="387" t="s">
        <v>1625</v>
      </c>
      <c r="I2259" s="387" t="s">
        <v>1644</v>
      </c>
      <c r="J2259" s="387">
        <v>1</v>
      </c>
      <c r="K2259" s="385" t="s">
        <v>1245</v>
      </c>
    </row>
    <row r="2260" spans="1:11" ht="15.75">
      <c r="A2260" s="412">
        <v>44598</v>
      </c>
      <c r="B2260" s="381" t="s">
        <v>2182</v>
      </c>
      <c r="C2260" s="426" t="s">
        <v>3831</v>
      </c>
      <c r="D2260" s="385" t="s">
        <v>2711</v>
      </c>
      <c r="E2260" s="462">
        <v>1800000</v>
      </c>
      <c r="F2260" s="385" t="s">
        <v>2292</v>
      </c>
      <c r="G2260" s="385" t="s">
        <v>2593</v>
      </c>
      <c r="H2260" s="387" t="s">
        <v>1955</v>
      </c>
      <c r="I2260" s="387" t="s">
        <v>1644</v>
      </c>
      <c r="J2260" s="387">
        <v>1</v>
      </c>
      <c r="K2260" s="385" t="s">
        <v>3681</v>
      </c>
    </row>
    <row r="2261" spans="1:11" ht="15.75">
      <c r="A2261" s="412">
        <v>44598</v>
      </c>
      <c r="B2261" s="381" t="s">
        <v>2182</v>
      </c>
      <c r="C2261" s="426" t="s">
        <v>3287</v>
      </c>
      <c r="D2261" s="385" t="s">
        <v>3059</v>
      </c>
      <c r="E2261" s="462">
        <v>2000000</v>
      </c>
      <c r="F2261" s="385" t="s">
        <v>1968</v>
      </c>
      <c r="G2261" s="385" t="s">
        <v>2593</v>
      </c>
      <c r="H2261" s="387" t="s">
        <v>1955</v>
      </c>
      <c r="I2261" s="387" t="s">
        <v>1644</v>
      </c>
      <c r="J2261" s="387">
        <v>1</v>
      </c>
      <c r="K2261" s="385" t="s">
        <v>1171</v>
      </c>
    </row>
    <row r="2262" spans="1:11" ht="15.75">
      <c r="A2262" s="928">
        <v>44626</v>
      </c>
      <c r="B2262" s="420" t="s">
        <v>2182</v>
      </c>
      <c r="C2262" s="743" t="s">
        <v>1057</v>
      </c>
      <c r="D2262" s="633" t="s">
        <v>3059</v>
      </c>
      <c r="E2262" s="644">
        <v>2000000</v>
      </c>
      <c r="F2262" s="633" t="s">
        <v>2292</v>
      </c>
      <c r="G2262" s="633" t="s">
        <v>2605</v>
      </c>
      <c r="H2262" s="635" t="s">
        <v>1955</v>
      </c>
      <c r="I2262" s="635" t="s">
        <v>1644</v>
      </c>
      <c r="J2262" s="387">
        <v>1</v>
      </c>
      <c r="K2262" s="385" t="s">
        <v>1245</v>
      </c>
    </row>
    <row r="2263" spans="1:11" ht="15.75">
      <c r="A2263" s="928">
        <v>44626</v>
      </c>
      <c r="B2263" s="420" t="s">
        <v>2182</v>
      </c>
      <c r="C2263" s="743" t="s">
        <v>1062</v>
      </c>
      <c r="D2263" s="633" t="s">
        <v>75</v>
      </c>
      <c r="E2263" s="644">
        <v>2000000</v>
      </c>
      <c r="F2263" s="633" t="s">
        <v>1968</v>
      </c>
      <c r="G2263" s="633" t="s">
        <v>2593</v>
      </c>
      <c r="H2263" s="635" t="s">
        <v>1955</v>
      </c>
      <c r="I2263" s="635" t="s">
        <v>1644</v>
      </c>
      <c r="J2263" s="387">
        <v>1</v>
      </c>
      <c r="K2263" s="385" t="s">
        <v>3681</v>
      </c>
    </row>
    <row r="2264" spans="1:11" ht="15.75">
      <c r="A2264" s="928">
        <v>44718</v>
      </c>
      <c r="B2264" s="420" t="s">
        <v>2182</v>
      </c>
      <c r="C2264" s="743" t="s">
        <v>1760</v>
      </c>
      <c r="D2264" s="633" t="s">
        <v>3059</v>
      </c>
      <c r="E2264" s="644">
        <v>1800000</v>
      </c>
      <c r="F2264" s="633" t="s">
        <v>2292</v>
      </c>
      <c r="G2264" s="633" t="s">
        <v>2593</v>
      </c>
      <c r="H2264" s="635" t="s">
        <v>1955</v>
      </c>
      <c r="I2264" s="635" t="s">
        <v>1644</v>
      </c>
      <c r="J2264" s="387">
        <v>1</v>
      </c>
      <c r="K2264" s="385" t="s">
        <v>1171</v>
      </c>
    </row>
    <row r="2265" spans="1:11" ht="15.75">
      <c r="A2265" s="924">
        <v>44779</v>
      </c>
      <c r="B2265" s="426" t="s">
        <v>2060</v>
      </c>
      <c r="C2265" s="385" t="s">
        <v>3836</v>
      </c>
      <c r="D2265" s="385" t="s">
        <v>2167</v>
      </c>
      <c r="E2265" s="462">
        <v>3300000</v>
      </c>
      <c r="F2265" s="385" t="s">
        <v>1968</v>
      </c>
      <c r="G2265" s="385" t="s">
        <v>2593</v>
      </c>
      <c r="H2265" s="387" t="s">
        <v>1955</v>
      </c>
      <c r="I2265" s="387" t="s">
        <v>1644</v>
      </c>
      <c r="J2265" s="387">
        <v>1</v>
      </c>
      <c r="K2265" s="385" t="s">
        <v>3681</v>
      </c>
    </row>
    <row r="2266" spans="1:11" ht="15.75">
      <c r="A2266" s="412">
        <v>44779</v>
      </c>
      <c r="B2266" s="381" t="s">
        <v>2182</v>
      </c>
      <c r="C2266" s="381" t="s">
        <v>3837</v>
      </c>
      <c r="D2266" s="381" t="s">
        <v>2326</v>
      </c>
      <c r="E2266" s="451">
        <v>1000000</v>
      </c>
      <c r="F2266" s="381" t="s">
        <v>2292</v>
      </c>
      <c r="G2266" s="381" t="s">
        <v>2593</v>
      </c>
      <c r="H2266" s="383" t="s">
        <v>1955</v>
      </c>
      <c r="I2266" s="383" t="s">
        <v>1644</v>
      </c>
      <c r="J2266" s="383">
        <v>1</v>
      </c>
      <c r="K2266" s="381" t="s">
        <v>1171</v>
      </c>
    </row>
    <row r="2267" spans="1:11" ht="15.75">
      <c r="A2267" s="412">
        <v>44840</v>
      </c>
      <c r="B2267" s="381" t="s">
        <v>2182</v>
      </c>
      <c r="C2267" s="381" t="s">
        <v>3838</v>
      </c>
      <c r="D2267" s="381" t="s">
        <v>3730</v>
      </c>
      <c r="E2267" s="451">
        <v>800000</v>
      </c>
      <c r="F2267" s="381" t="s">
        <v>1968</v>
      </c>
      <c r="G2267" s="381" t="s">
        <v>2593</v>
      </c>
      <c r="H2267" s="383" t="s">
        <v>1955</v>
      </c>
      <c r="I2267" s="383" t="s">
        <v>1644</v>
      </c>
      <c r="J2267" s="383">
        <v>1</v>
      </c>
      <c r="K2267" s="381" t="s">
        <v>1171</v>
      </c>
    </row>
    <row r="2268" spans="1:11" ht="15.75">
      <c r="A2268" s="928" t="s">
        <v>3822</v>
      </c>
      <c r="B2268" s="420" t="s">
        <v>2182</v>
      </c>
      <c r="C2268" s="1303" t="s">
        <v>3839</v>
      </c>
      <c r="D2268" s="1304" t="s">
        <v>3017</v>
      </c>
      <c r="E2268" s="1305">
        <v>1550000</v>
      </c>
      <c r="F2268" s="1304" t="s">
        <v>2292</v>
      </c>
      <c r="G2268" s="1304" t="s">
        <v>2605</v>
      </c>
      <c r="H2268" s="1306" t="s">
        <v>1955</v>
      </c>
      <c r="I2268" s="1306" t="s">
        <v>1644</v>
      </c>
      <c r="J2268" s="484">
        <v>1</v>
      </c>
      <c r="K2268" s="482" t="s">
        <v>1171</v>
      </c>
    </row>
    <row r="2269" spans="1:11" ht="15.75">
      <c r="A2269" s="928" t="s">
        <v>3822</v>
      </c>
      <c r="B2269" s="420" t="s">
        <v>2182</v>
      </c>
      <c r="C2269" s="743" t="s">
        <v>1130</v>
      </c>
      <c r="D2269" s="633" t="s">
        <v>2711</v>
      </c>
      <c r="E2269" s="644">
        <v>1200000</v>
      </c>
      <c r="F2269" s="633" t="s">
        <v>2292</v>
      </c>
      <c r="G2269" s="633" t="s">
        <v>2593</v>
      </c>
      <c r="H2269" s="635" t="s">
        <v>1955</v>
      </c>
      <c r="I2269" s="635" t="s">
        <v>1644</v>
      </c>
      <c r="J2269" s="387">
        <v>1</v>
      </c>
      <c r="K2269" s="385" t="s">
        <v>1245</v>
      </c>
    </row>
    <row r="2270" spans="1:11" ht="15.75">
      <c r="A2270" s="928" t="s">
        <v>3822</v>
      </c>
      <c r="B2270" s="420" t="s">
        <v>2182</v>
      </c>
      <c r="C2270" s="743" t="s">
        <v>3840</v>
      </c>
      <c r="D2270" s="633" t="s">
        <v>2326</v>
      </c>
      <c r="E2270" s="644">
        <v>1150000</v>
      </c>
      <c r="F2270" s="633" t="s">
        <v>2292</v>
      </c>
      <c r="G2270" s="633" t="s">
        <v>2593</v>
      </c>
      <c r="H2270" s="635" t="s">
        <v>1955</v>
      </c>
      <c r="I2270" s="635" t="s">
        <v>1644</v>
      </c>
      <c r="J2270" s="387">
        <v>1</v>
      </c>
      <c r="K2270" s="385" t="s">
        <v>3681</v>
      </c>
    </row>
    <row r="2271" spans="1:11" ht="15.75">
      <c r="A2271" s="928" t="s">
        <v>3841</v>
      </c>
      <c r="B2271" s="420" t="s">
        <v>2182</v>
      </c>
      <c r="C2271" s="743" t="s">
        <v>1120</v>
      </c>
      <c r="D2271" s="633" t="s">
        <v>2711</v>
      </c>
      <c r="E2271" s="644">
        <v>1150000</v>
      </c>
      <c r="F2271" s="633" t="s">
        <v>2292</v>
      </c>
      <c r="G2271" s="633" t="s">
        <v>2593</v>
      </c>
      <c r="H2271" s="635" t="s">
        <v>1955</v>
      </c>
      <c r="I2271" s="635" t="s">
        <v>1644</v>
      </c>
      <c r="J2271" s="387">
        <v>1</v>
      </c>
      <c r="K2271" s="385" t="s">
        <v>3681</v>
      </c>
    </row>
    <row r="2272" spans="1:11" ht="15.75">
      <c r="A2272" s="928" t="s">
        <v>3823</v>
      </c>
      <c r="B2272" s="420" t="s">
        <v>2182</v>
      </c>
      <c r="C2272" s="743" t="s">
        <v>1060</v>
      </c>
      <c r="D2272" s="633" t="s">
        <v>2167</v>
      </c>
      <c r="E2272" s="644">
        <v>1600000</v>
      </c>
      <c r="F2272" s="633" t="s">
        <v>2292</v>
      </c>
      <c r="G2272" s="633" t="s">
        <v>2593</v>
      </c>
      <c r="H2272" s="635" t="s">
        <v>1955</v>
      </c>
      <c r="I2272" s="635" t="s">
        <v>1644</v>
      </c>
      <c r="J2272" s="387">
        <v>1</v>
      </c>
      <c r="K2272" s="385" t="s">
        <v>1171</v>
      </c>
    </row>
    <row r="2273" spans="1:11" ht="15.75">
      <c r="A2273" s="928" t="s">
        <v>3841</v>
      </c>
      <c r="B2273" s="420" t="s">
        <v>2182</v>
      </c>
      <c r="C2273" s="743" t="s">
        <v>1124</v>
      </c>
      <c r="D2273" s="633" t="s">
        <v>3059</v>
      </c>
      <c r="E2273" s="644">
        <v>1350000</v>
      </c>
      <c r="F2273" s="633" t="s">
        <v>1968</v>
      </c>
      <c r="G2273" s="633" t="s">
        <v>2593</v>
      </c>
      <c r="H2273" s="635" t="s">
        <v>1955</v>
      </c>
      <c r="I2273" s="635" t="s">
        <v>1644</v>
      </c>
      <c r="J2273" s="387">
        <v>1</v>
      </c>
      <c r="K2273" s="385" t="s">
        <v>1245</v>
      </c>
    </row>
    <row r="2274" spans="1:11" ht="15.75">
      <c r="A2274" s="928">
        <v>44729</v>
      </c>
      <c r="B2274" s="420" t="s">
        <v>2182</v>
      </c>
      <c r="C2274" s="743" t="s">
        <v>3842</v>
      </c>
      <c r="D2274" s="633" t="s">
        <v>3843</v>
      </c>
      <c r="E2274" s="644">
        <v>2200000</v>
      </c>
      <c r="F2274" s="633" t="s">
        <v>1968</v>
      </c>
      <c r="G2274" s="633" t="s">
        <v>2605</v>
      </c>
      <c r="H2274" s="635" t="s">
        <v>1955</v>
      </c>
      <c r="I2274" s="635" t="s">
        <v>1644</v>
      </c>
      <c r="J2274" s="387">
        <v>1</v>
      </c>
      <c r="K2274" s="385" t="s">
        <v>1171</v>
      </c>
    </row>
    <row r="2275" spans="1:11" ht="15.75">
      <c r="A2275" s="928" t="s">
        <v>3844</v>
      </c>
      <c r="B2275" s="420" t="s">
        <v>2182</v>
      </c>
      <c r="C2275" s="743" t="s">
        <v>1054</v>
      </c>
      <c r="D2275" s="633" t="s">
        <v>2711</v>
      </c>
      <c r="E2275" s="644">
        <v>1450000</v>
      </c>
      <c r="F2275" s="633" t="s">
        <v>1968</v>
      </c>
      <c r="G2275" s="633" t="s">
        <v>30</v>
      </c>
      <c r="H2275" s="635" t="s">
        <v>1955</v>
      </c>
      <c r="I2275" s="635" t="s">
        <v>1644</v>
      </c>
      <c r="J2275" s="387">
        <v>1</v>
      </c>
      <c r="K2275" s="385" t="s">
        <v>3681</v>
      </c>
    </row>
    <row r="2276" spans="1:11" ht="15.75">
      <c r="A2276" s="928" t="s">
        <v>3828</v>
      </c>
      <c r="B2276" s="420" t="s">
        <v>2182</v>
      </c>
      <c r="C2276" s="743" t="s">
        <v>1122</v>
      </c>
      <c r="D2276" s="633" t="s">
        <v>2326</v>
      </c>
      <c r="E2276" s="644">
        <v>1000000</v>
      </c>
      <c r="F2276" s="633" t="s">
        <v>2292</v>
      </c>
      <c r="G2276" s="633" t="s">
        <v>2593</v>
      </c>
      <c r="H2276" s="635" t="s">
        <v>1955</v>
      </c>
      <c r="I2276" s="635" t="s">
        <v>1644</v>
      </c>
      <c r="J2276" s="387">
        <v>1</v>
      </c>
      <c r="K2276" s="385" t="s">
        <v>1245</v>
      </c>
    </row>
    <row r="2277" spans="1:11" ht="15.75">
      <c r="A2277" s="928" t="s">
        <v>3828</v>
      </c>
      <c r="B2277" s="420" t="s">
        <v>2182</v>
      </c>
      <c r="C2277" s="743" t="s">
        <v>1121</v>
      </c>
      <c r="D2277" s="633" t="s">
        <v>2167</v>
      </c>
      <c r="E2277" s="644">
        <v>1600000</v>
      </c>
      <c r="F2277" s="633" t="s">
        <v>2292</v>
      </c>
      <c r="G2277" s="633" t="s">
        <v>2593</v>
      </c>
      <c r="H2277" s="635" t="s">
        <v>1955</v>
      </c>
      <c r="I2277" s="635" t="s">
        <v>1644</v>
      </c>
      <c r="J2277" s="387">
        <v>1</v>
      </c>
      <c r="K2277" s="385" t="s">
        <v>1171</v>
      </c>
    </row>
    <row r="2278" spans="1:11" ht="15.75">
      <c r="A2278" s="928" t="s">
        <v>3828</v>
      </c>
      <c r="B2278" s="420" t="s">
        <v>2182</v>
      </c>
      <c r="C2278" s="743" t="s">
        <v>3845</v>
      </c>
      <c r="D2278" s="633" t="s">
        <v>3059</v>
      </c>
      <c r="E2278" s="644">
        <v>2300000</v>
      </c>
      <c r="F2278" s="633" t="s">
        <v>2292</v>
      </c>
      <c r="G2278" s="633" t="s">
        <v>2605</v>
      </c>
      <c r="H2278" s="635" t="s">
        <v>1955</v>
      </c>
      <c r="I2278" s="635" t="s">
        <v>1644</v>
      </c>
      <c r="J2278" s="387">
        <v>1</v>
      </c>
      <c r="K2278" s="385" t="s">
        <v>3681</v>
      </c>
    </row>
    <row r="2279" spans="1:11" ht="15.75">
      <c r="A2279" s="928" t="s">
        <v>3829</v>
      </c>
      <c r="B2279" s="420" t="s">
        <v>2182</v>
      </c>
      <c r="C2279" s="743" t="s">
        <v>1064</v>
      </c>
      <c r="D2279" s="633" t="s">
        <v>75</v>
      </c>
      <c r="E2279" s="644">
        <v>1600000</v>
      </c>
      <c r="F2279" s="633" t="s">
        <v>2292</v>
      </c>
      <c r="G2279" s="633" t="s">
        <v>2741</v>
      </c>
      <c r="H2279" s="635" t="s">
        <v>1955</v>
      </c>
      <c r="I2279" s="635" t="s">
        <v>1644</v>
      </c>
      <c r="J2279" s="387">
        <v>1</v>
      </c>
      <c r="K2279" s="385" t="s">
        <v>1171</v>
      </c>
    </row>
    <row r="2280" spans="1:11" ht="15.75">
      <c r="A2280" s="419"/>
      <c r="B2280" s="420"/>
      <c r="C2280" s="457"/>
      <c r="D2280" s="457"/>
      <c r="E2280" s="458"/>
      <c r="F2280" s="457"/>
      <c r="G2280" s="457"/>
      <c r="H2280" s="457"/>
      <c r="I2280" s="457"/>
      <c r="J2280" s="493">
        <f>SUM(J2253:J2279)</f>
        <v>27</v>
      </c>
      <c r="K2280" s="457"/>
    </row>
    <row r="2283" spans="1:11" ht="26.25">
      <c r="A2283" s="1668" t="s">
        <v>3846</v>
      </c>
      <c r="B2283" s="1669"/>
      <c r="C2283" s="1669"/>
      <c r="D2283" s="1669"/>
      <c r="E2283" s="1669"/>
      <c r="F2283" s="1669"/>
      <c r="G2283" s="1669"/>
      <c r="H2283" s="1669"/>
      <c r="I2283" s="1669"/>
      <c r="J2283" s="1669"/>
      <c r="K2283" s="1670"/>
    </row>
    <row r="2284" spans="1:11" ht="30.75">
      <c r="A2284" s="375" t="s">
        <v>1941</v>
      </c>
      <c r="B2284" s="378" t="s">
        <v>1942</v>
      </c>
      <c r="C2284" s="378" t="s">
        <v>1943</v>
      </c>
      <c r="D2284" s="378" t="s">
        <v>1944</v>
      </c>
      <c r="E2284" s="452" t="s">
        <v>1945</v>
      </c>
      <c r="F2284" s="378" t="s">
        <v>1946</v>
      </c>
      <c r="G2284" s="378" t="s">
        <v>2590</v>
      </c>
      <c r="H2284" s="378" t="s">
        <v>1947</v>
      </c>
      <c r="I2284" s="378" t="s">
        <v>1948</v>
      </c>
      <c r="J2284" s="453" t="s">
        <v>1949</v>
      </c>
      <c r="K2284" s="378" t="s">
        <v>1950</v>
      </c>
    </row>
    <row r="2285" spans="1:11" ht="15.75">
      <c r="A2285" s="1068"/>
      <c r="B2285" s="1069"/>
      <c r="C2285" s="1070"/>
      <c r="D2285" s="1071"/>
      <c r="E2285" s="1072"/>
      <c r="F2285" s="1073"/>
      <c r="G2285" s="1073"/>
      <c r="H2285" s="1074"/>
      <c r="I2285" s="1074"/>
      <c r="J2285" s="1074"/>
      <c r="K2285" s="1073"/>
    </row>
    <row r="2286" spans="1:11" ht="15.75">
      <c r="A2286" s="1068"/>
      <c r="B2286" s="1069"/>
      <c r="C2286" s="1070"/>
      <c r="D2286" s="1071"/>
      <c r="E2286" s="1072"/>
      <c r="F2286" s="1073"/>
      <c r="G2286" s="1073"/>
      <c r="H2286" s="1074"/>
      <c r="I2286" s="1074"/>
      <c r="J2286" s="1074"/>
      <c r="K2286" s="1073"/>
    </row>
    <row r="2287" spans="1:11" ht="15.75">
      <c r="A2287" s="443" t="s">
        <v>3847</v>
      </c>
      <c r="B2287" s="653" t="s">
        <v>2182</v>
      </c>
      <c r="C2287" s="381" t="s">
        <v>3848</v>
      </c>
      <c r="D2287" s="426" t="s">
        <v>3849</v>
      </c>
      <c r="E2287" s="462">
        <v>1300000</v>
      </c>
      <c r="F2287" s="385" t="s">
        <v>1968</v>
      </c>
      <c r="G2287" s="385" t="s">
        <v>2593</v>
      </c>
      <c r="H2287" s="387" t="s">
        <v>1955</v>
      </c>
      <c r="I2287" s="387" t="s">
        <v>1644</v>
      </c>
      <c r="J2287" s="387">
        <v>1</v>
      </c>
      <c r="K2287" s="385" t="s">
        <v>3681</v>
      </c>
    </row>
    <row r="2288" spans="1:11" ht="15.75">
      <c r="A2288" s="443">
        <v>44598</v>
      </c>
      <c r="B2288" s="577" t="s">
        <v>2182</v>
      </c>
      <c r="C2288" s="385" t="s">
        <v>3850</v>
      </c>
      <c r="D2288" s="426" t="s">
        <v>1590</v>
      </c>
      <c r="E2288" s="462">
        <v>1350000</v>
      </c>
      <c r="F2288" s="385" t="s">
        <v>1968</v>
      </c>
      <c r="G2288" s="385" t="s">
        <v>2593</v>
      </c>
      <c r="H2288" s="387" t="s">
        <v>1955</v>
      </c>
      <c r="I2288" s="387" t="s">
        <v>1644</v>
      </c>
      <c r="J2288" s="387">
        <v>1</v>
      </c>
      <c r="K2288" s="385" t="s">
        <v>1171</v>
      </c>
    </row>
    <row r="2289" spans="1:11" ht="15.75">
      <c r="A2289" s="393"/>
      <c r="B2289" s="653"/>
      <c r="C2289" s="381"/>
      <c r="D2289" s="381"/>
      <c r="E2289" s="451"/>
      <c r="F2289" s="381"/>
      <c r="G2289" s="381"/>
      <c r="H2289" s="383"/>
      <c r="I2289" s="383"/>
      <c r="J2289" s="1246">
        <f>SUM(J2285:J2288)</f>
        <v>2</v>
      </c>
      <c r="K2289" s="381"/>
    </row>
    <row r="2292" spans="1:11" ht="26.25">
      <c r="A2292" s="1668" t="s">
        <v>3851</v>
      </c>
      <c r="B2292" s="1669"/>
      <c r="C2292" s="1669"/>
      <c r="D2292" s="1669"/>
      <c r="E2292" s="1669"/>
      <c r="F2292" s="1669"/>
      <c r="G2292" s="1669"/>
      <c r="H2292" s="1669"/>
      <c r="I2292" s="1669"/>
      <c r="J2292" s="1669"/>
      <c r="K2292" s="1670"/>
    </row>
    <row r="2293" spans="1:11" ht="30.75">
      <c r="A2293" s="375" t="s">
        <v>1941</v>
      </c>
      <c r="B2293" s="378" t="s">
        <v>1942</v>
      </c>
      <c r="C2293" s="378" t="s">
        <v>1943</v>
      </c>
      <c r="D2293" s="378" t="s">
        <v>1944</v>
      </c>
      <c r="E2293" s="452" t="s">
        <v>1945</v>
      </c>
      <c r="F2293" s="378" t="s">
        <v>1946</v>
      </c>
      <c r="G2293" s="378" t="s">
        <v>2590</v>
      </c>
      <c r="H2293" s="378" t="s">
        <v>1947</v>
      </c>
      <c r="I2293" s="378" t="s">
        <v>1948</v>
      </c>
      <c r="J2293" s="453" t="s">
        <v>1949</v>
      </c>
      <c r="K2293" s="378" t="s">
        <v>1950</v>
      </c>
    </row>
    <row r="2294" spans="1:11" ht="15.75">
      <c r="A2294" s="1068" t="s">
        <v>3822</v>
      </c>
      <c r="B2294" s="1069" t="s">
        <v>2182</v>
      </c>
      <c r="C2294" s="1070" t="s">
        <v>3852</v>
      </c>
      <c r="D2294" s="1071" t="s">
        <v>3853</v>
      </c>
      <c r="E2294" s="1072">
        <v>128000000</v>
      </c>
      <c r="F2294" s="1073" t="s">
        <v>1968</v>
      </c>
      <c r="G2294" s="1073" t="s">
        <v>2593</v>
      </c>
      <c r="H2294" s="1074" t="s">
        <v>1955</v>
      </c>
      <c r="I2294" s="1074" t="s">
        <v>1644</v>
      </c>
      <c r="J2294" s="1074">
        <v>1</v>
      </c>
      <c r="K2294" s="1073" t="s">
        <v>2629</v>
      </c>
    </row>
    <row r="2295" spans="1:11" ht="15.75">
      <c r="A2295" s="1068" t="s">
        <v>3854</v>
      </c>
      <c r="B2295" s="1069" t="s">
        <v>2182</v>
      </c>
      <c r="C2295" s="1070" t="s">
        <v>3855</v>
      </c>
      <c r="D2295" s="1071" t="s">
        <v>2700</v>
      </c>
      <c r="E2295" s="1072">
        <v>300000000</v>
      </c>
      <c r="F2295" s="1073" t="s">
        <v>1968</v>
      </c>
      <c r="G2295" s="1073" t="s">
        <v>2741</v>
      </c>
      <c r="H2295" s="1074" t="s">
        <v>1955</v>
      </c>
      <c r="I2295" s="1074" t="s">
        <v>1644</v>
      </c>
      <c r="J2295" s="1074">
        <v>1</v>
      </c>
      <c r="K2295" s="1073" t="s">
        <v>2629</v>
      </c>
    </row>
    <row r="2296" spans="1:11" ht="15.75">
      <c r="A2296" s="1068" t="s">
        <v>3854</v>
      </c>
      <c r="B2296" s="1069" t="s">
        <v>2182</v>
      </c>
      <c r="C2296" s="1070" t="s">
        <v>3856</v>
      </c>
      <c r="D2296" s="1071" t="s">
        <v>2253</v>
      </c>
      <c r="E2296" s="1072">
        <v>135000000</v>
      </c>
      <c r="F2296" s="1073" t="s">
        <v>1968</v>
      </c>
      <c r="G2296" s="1073" t="s">
        <v>2741</v>
      </c>
      <c r="H2296" s="1074" t="s">
        <v>1955</v>
      </c>
      <c r="I2296" s="1074" t="s">
        <v>1644</v>
      </c>
      <c r="J2296" s="1074">
        <v>1</v>
      </c>
      <c r="K2296" s="1073" t="s">
        <v>2629</v>
      </c>
    </row>
    <row r="2297" spans="1:11" ht="15.75">
      <c r="A2297" s="443" t="s">
        <v>3834</v>
      </c>
      <c r="B2297" s="653" t="s">
        <v>2182</v>
      </c>
      <c r="C2297" s="381" t="s">
        <v>3857</v>
      </c>
      <c r="D2297" s="426" t="s">
        <v>2326</v>
      </c>
      <c r="E2297" s="462">
        <v>750000</v>
      </c>
      <c r="F2297" s="385" t="s">
        <v>2292</v>
      </c>
      <c r="G2297" s="385" t="s">
        <v>2593</v>
      </c>
      <c r="H2297" s="387" t="s">
        <v>1955</v>
      </c>
      <c r="I2297" s="387" t="s">
        <v>1644</v>
      </c>
      <c r="J2297" s="387">
        <v>1</v>
      </c>
      <c r="K2297" s="385" t="s">
        <v>1171</v>
      </c>
    </row>
    <row r="2298" spans="1:11" ht="15.75">
      <c r="A2298" s="443" t="s">
        <v>3817</v>
      </c>
      <c r="B2298" s="653" t="s">
        <v>2182</v>
      </c>
      <c r="C2298" s="381" t="s">
        <v>3858</v>
      </c>
      <c r="D2298" s="426" t="s">
        <v>2394</v>
      </c>
      <c r="E2298" s="462">
        <v>1250000</v>
      </c>
      <c r="F2298" s="385" t="s">
        <v>2461</v>
      </c>
      <c r="G2298" s="385" t="s">
        <v>2605</v>
      </c>
      <c r="H2298" s="387" t="s">
        <v>1955</v>
      </c>
      <c r="I2298" s="387" t="s">
        <v>1644</v>
      </c>
      <c r="J2298" s="387">
        <v>1</v>
      </c>
      <c r="K2298" s="385" t="s">
        <v>3681</v>
      </c>
    </row>
    <row r="2299" spans="1:11" ht="15.75">
      <c r="A2299" s="443">
        <v>44598</v>
      </c>
      <c r="B2299" s="653" t="s">
        <v>1966</v>
      </c>
      <c r="C2299" s="381" t="s">
        <v>3859</v>
      </c>
      <c r="D2299" s="426" t="s">
        <v>3860</v>
      </c>
      <c r="E2299" s="462">
        <v>1200000</v>
      </c>
      <c r="F2299" s="385" t="s">
        <v>1968</v>
      </c>
      <c r="G2299" s="385" t="s">
        <v>2593</v>
      </c>
      <c r="H2299" s="387" t="s">
        <v>1955</v>
      </c>
      <c r="I2299" s="387" t="s">
        <v>1644</v>
      </c>
      <c r="J2299" s="387">
        <v>1</v>
      </c>
      <c r="K2299" s="385" t="s">
        <v>1245</v>
      </c>
    </row>
    <row r="2300" spans="1:11" ht="15.75">
      <c r="A2300" s="443">
        <v>44626</v>
      </c>
      <c r="B2300" s="653" t="s">
        <v>1966</v>
      </c>
      <c r="C2300" s="381" t="s">
        <v>3861</v>
      </c>
      <c r="D2300" s="426" t="s">
        <v>2326</v>
      </c>
      <c r="E2300" s="462">
        <v>3000000</v>
      </c>
      <c r="F2300" s="385" t="s">
        <v>1968</v>
      </c>
      <c r="G2300" s="385" t="s">
        <v>2593</v>
      </c>
      <c r="H2300" s="387" t="s">
        <v>1955</v>
      </c>
      <c r="I2300" s="387" t="s">
        <v>1644</v>
      </c>
      <c r="J2300" s="387">
        <v>1</v>
      </c>
      <c r="K2300" s="385" t="s">
        <v>1245</v>
      </c>
    </row>
    <row r="2301" spans="1:11" ht="15.75">
      <c r="A2301" s="443">
        <v>44626</v>
      </c>
      <c r="B2301" s="653" t="s">
        <v>1966</v>
      </c>
      <c r="C2301" s="381" t="s">
        <v>3862</v>
      </c>
      <c r="D2301" s="426" t="s">
        <v>2326</v>
      </c>
      <c r="E2301" s="462">
        <v>3000000</v>
      </c>
      <c r="F2301" s="385" t="s">
        <v>1968</v>
      </c>
      <c r="G2301" s="385" t="s">
        <v>2593</v>
      </c>
      <c r="H2301" s="387" t="s">
        <v>1955</v>
      </c>
      <c r="I2301" s="387" t="s">
        <v>1644</v>
      </c>
      <c r="J2301" s="387">
        <v>1</v>
      </c>
      <c r="K2301" s="385" t="s">
        <v>1171</v>
      </c>
    </row>
    <row r="2302" spans="1:11" ht="15.75">
      <c r="A2302" s="443">
        <v>44626</v>
      </c>
      <c r="B2302" s="577" t="s">
        <v>2182</v>
      </c>
      <c r="C2302" s="381" t="s">
        <v>3863</v>
      </c>
      <c r="D2302" s="426" t="s">
        <v>2326</v>
      </c>
      <c r="E2302" s="462">
        <v>1200000</v>
      </c>
      <c r="F2302" s="385" t="s">
        <v>2292</v>
      </c>
      <c r="G2302" s="385" t="s">
        <v>2593</v>
      </c>
      <c r="H2302" s="387" t="s">
        <v>1955</v>
      </c>
      <c r="I2302" s="387" t="s">
        <v>1644</v>
      </c>
      <c r="J2302" s="387">
        <v>1</v>
      </c>
      <c r="K2302" s="385" t="s">
        <v>3681</v>
      </c>
    </row>
    <row r="2303" spans="1:11" ht="15.75">
      <c r="A2303" s="393">
        <v>44748</v>
      </c>
      <c r="B2303" s="381" t="s">
        <v>2182</v>
      </c>
      <c r="C2303" s="426" t="s">
        <v>1063</v>
      </c>
      <c r="D2303" s="426" t="s">
        <v>2326</v>
      </c>
      <c r="E2303" s="451">
        <v>1250000</v>
      </c>
      <c r="F2303" s="381" t="s">
        <v>2292</v>
      </c>
      <c r="G2303" s="381" t="s">
        <v>30</v>
      </c>
      <c r="H2303" s="383" t="s">
        <v>1955</v>
      </c>
      <c r="I2303" s="383" t="s">
        <v>1644</v>
      </c>
      <c r="J2303" s="383">
        <v>1</v>
      </c>
      <c r="K2303" s="381" t="s">
        <v>1245</v>
      </c>
    </row>
    <row r="2304" spans="1:11" ht="15.75">
      <c r="A2304" s="692">
        <v>44810</v>
      </c>
      <c r="B2304" s="457" t="s">
        <v>2182</v>
      </c>
      <c r="C2304" s="743" t="s">
        <v>3864</v>
      </c>
      <c r="D2304" s="633" t="s">
        <v>3865</v>
      </c>
      <c r="E2304" s="644">
        <v>1000000</v>
      </c>
      <c r="F2304" s="633" t="s">
        <v>2292</v>
      </c>
      <c r="G2304" s="633" t="s">
        <v>2593</v>
      </c>
      <c r="H2304" s="635" t="s">
        <v>1955</v>
      </c>
      <c r="I2304" s="635" t="s">
        <v>1644</v>
      </c>
      <c r="J2304" s="387">
        <v>1</v>
      </c>
      <c r="K2304" s="385" t="s">
        <v>1171</v>
      </c>
    </row>
    <row r="2305" spans="1:11" ht="15.75">
      <c r="A2305" s="481">
        <v>44810</v>
      </c>
      <c r="B2305" s="482" t="s">
        <v>2182</v>
      </c>
      <c r="C2305" s="385" t="s">
        <v>3866</v>
      </c>
      <c r="D2305" s="426" t="s">
        <v>2661</v>
      </c>
      <c r="E2305" s="1023">
        <v>1000000</v>
      </c>
      <c r="F2305" s="385" t="s">
        <v>2292</v>
      </c>
      <c r="G2305" s="385" t="s">
        <v>2605</v>
      </c>
      <c r="H2305" s="387" t="s">
        <v>1955</v>
      </c>
      <c r="I2305" s="387" t="s">
        <v>1644</v>
      </c>
      <c r="J2305" s="387">
        <v>1</v>
      </c>
      <c r="K2305" s="385" t="s">
        <v>3681</v>
      </c>
    </row>
    <row r="2306" spans="1:11" ht="15.75">
      <c r="A2306" s="443" t="s">
        <v>3822</v>
      </c>
      <c r="B2306" s="385" t="s">
        <v>2182</v>
      </c>
      <c r="C2306" s="385" t="s">
        <v>1081</v>
      </c>
      <c r="D2306" s="426" t="s">
        <v>3853</v>
      </c>
      <c r="E2306" s="1023">
        <v>750000</v>
      </c>
      <c r="F2306" s="385" t="s">
        <v>1968</v>
      </c>
      <c r="G2306" s="385" t="s">
        <v>2593</v>
      </c>
      <c r="H2306" s="387" t="s">
        <v>1955</v>
      </c>
      <c r="I2306" s="387" t="s">
        <v>1644</v>
      </c>
      <c r="J2306" s="387">
        <v>1</v>
      </c>
      <c r="K2306" s="385" t="s">
        <v>1245</v>
      </c>
    </row>
    <row r="2307" spans="1:11" ht="15.75">
      <c r="A2307" s="443" t="s">
        <v>3822</v>
      </c>
      <c r="B2307" s="385" t="s">
        <v>2182</v>
      </c>
      <c r="C2307" s="385" t="s">
        <v>1065</v>
      </c>
      <c r="D2307" s="426" t="s">
        <v>75</v>
      </c>
      <c r="E2307" s="1023">
        <v>1700000</v>
      </c>
      <c r="F2307" s="385" t="s">
        <v>2292</v>
      </c>
      <c r="G2307" s="385" t="s">
        <v>2593</v>
      </c>
      <c r="H2307" s="387" t="s">
        <v>1955</v>
      </c>
      <c r="I2307" s="387" t="s">
        <v>1644</v>
      </c>
      <c r="J2307" s="387">
        <v>1</v>
      </c>
      <c r="K2307" s="385" t="s">
        <v>1171</v>
      </c>
    </row>
    <row r="2308" spans="1:11" ht="15.75">
      <c r="A2308" s="443" t="s">
        <v>3844</v>
      </c>
      <c r="B2308" s="385" t="s">
        <v>2182</v>
      </c>
      <c r="C2308" s="385" t="s">
        <v>1142</v>
      </c>
      <c r="D2308" s="426" t="s">
        <v>2167</v>
      </c>
      <c r="E2308" s="1023">
        <v>2500000</v>
      </c>
      <c r="F2308" s="385" t="s">
        <v>2292</v>
      </c>
      <c r="G2308" s="385" t="s">
        <v>2593</v>
      </c>
      <c r="H2308" s="387" t="s">
        <v>1955</v>
      </c>
      <c r="I2308" s="387" t="s">
        <v>1644</v>
      </c>
      <c r="J2308" s="387">
        <v>1</v>
      </c>
      <c r="K2308" s="385" t="s">
        <v>1245</v>
      </c>
    </row>
    <row r="2309" spans="1:11" ht="15.75">
      <c r="A2309" s="443" t="s">
        <v>3844</v>
      </c>
      <c r="B2309" s="385" t="s">
        <v>2182</v>
      </c>
      <c r="C2309" s="385" t="s">
        <v>1080</v>
      </c>
      <c r="D2309" s="426" t="s">
        <v>3867</v>
      </c>
      <c r="E2309" s="1023">
        <v>1000000</v>
      </c>
      <c r="F2309" s="385" t="s">
        <v>2292</v>
      </c>
      <c r="G2309" s="385" t="s">
        <v>2605</v>
      </c>
      <c r="H2309" s="387" t="s">
        <v>1955</v>
      </c>
      <c r="I2309" s="387" t="s">
        <v>1644</v>
      </c>
      <c r="J2309" s="387">
        <v>1</v>
      </c>
      <c r="K2309" s="385" t="s">
        <v>3681</v>
      </c>
    </row>
    <row r="2310" spans="1:11" ht="15.75">
      <c r="A2310" s="443" t="s">
        <v>3829</v>
      </c>
      <c r="B2310" s="385" t="s">
        <v>2182</v>
      </c>
      <c r="C2310" s="385" t="s">
        <v>3868</v>
      </c>
      <c r="D2310" s="426" t="s">
        <v>2326</v>
      </c>
      <c r="E2310" s="1023">
        <v>1250000</v>
      </c>
      <c r="F2310" s="385" t="s">
        <v>2292</v>
      </c>
      <c r="G2310" s="385" t="s">
        <v>2593</v>
      </c>
      <c r="H2310" s="387" t="s">
        <v>1955</v>
      </c>
      <c r="I2310" s="387" t="s">
        <v>1644</v>
      </c>
      <c r="J2310" s="387">
        <v>1</v>
      </c>
      <c r="K2310" s="385" t="s">
        <v>1171</v>
      </c>
    </row>
    <row r="2311" spans="1:11" ht="15.75">
      <c r="A2311" s="443" t="s">
        <v>3829</v>
      </c>
      <c r="B2311" s="385" t="s">
        <v>2182</v>
      </c>
      <c r="C2311" s="385" t="s">
        <v>3869</v>
      </c>
      <c r="D2311" s="426" t="s">
        <v>3853</v>
      </c>
      <c r="E2311" s="1023">
        <v>750000</v>
      </c>
      <c r="F2311" s="385" t="s">
        <v>2292</v>
      </c>
      <c r="G2311" s="385" t="s">
        <v>2605</v>
      </c>
      <c r="H2311" s="387" t="s">
        <v>1955</v>
      </c>
      <c r="I2311" s="387" t="s">
        <v>1644</v>
      </c>
      <c r="J2311" s="387">
        <v>1</v>
      </c>
      <c r="K2311" s="385" t="s">
        <v>3681</v>
      </c>
    </row>
    <row r="2312" spans="1:11" ht="15.75">
      <c r="A2312" s="443" t="s">
        <v>3829</v>
      </c>
      <c r="B2312" s="385" t="s">
        <v>2182</v>
      </c>
      <c r="C2312" s="385" t="s">
        <v>3870</v>
      </c>
      <c r="D2312" s="426" t="s">
        <v>2700</v>
      </c>
      <c r="E2312" s="1023">
        <v>1600000</v>
      </c>
      <c r="F2312" s="385" t="s">
        <v>2292</v>
      </c>
      <c r="G2312" s="385" t="s">
        <v>2593</v>
      </c>
      <c r="H2312" s="387" t="s">
        <v>1955</v>
      </c>
      <c r="I2312" s="387" t="s">
        <v>1644</v>
      </c>
      <c r="J2312" s="387">
        <v>1</v>
      </c>
      <c r="K2312" s="385" t="s">
        <v>1245</v>
      </c>
    </row>
    <row r="2313" spans="1:11" ht="15.75">
      <c r="A2313" s="443" t="s">
        <v>3854</v>
      </c>
      <c r="B2313" s="385" t="s">
        <v>2182</v>
      </c>
      <c r="C2313" s="385" t="s">
        <v>1141</v>
      </c>
      <c r="D2313" s="426" t="s">
        <v>3867</v>
      </c>
      <c r="E2313" s="1023">
        <v>1250000</v>
      </c>
      <c r="F2313" s="385" t="s">
        <v>1968</v>
      </c>
      <c r="G2313" s="385" t="s">
        <v>30</v>
      </c>
      <c r="H2313" s="387" t="s">
        <v>1955</v>
      </c>
      <c r="I2313" s="387" t="s">
        <v>1644</v>
      </c>
      <c r="J2313" s="387">
        <v>1</v>
      </c>
      <c r="K2313" s="385" t="s">
        <v>1171</v>
      </c>
    </row>
    <row r="2314" spans="1:11" ht="15.75">
      <c r="A2314" s="393"/>
      <c r="B2314" s="381"/>
      <c r="C2314" s="381"/>
      <c r="D2314" s="381"/>
      <c r="E2314" s="451"/>
      <c r="F2314" s="381"/>
      <c r="G2314" s="381"/>
      <c r="H2314" s="383"/>
      <c r="I2314" s="383"/>
      <c r="J2314" s="1246">
        <f>SUM(J2294:J2313)</f>
        <v>20</v>
      </c>
      <c r="K2314" s="381"/>
    </row>
    <row r="2317" spans="1:11" ht="26.25">
      <c r="A2317" s="1667" t="s">
        <v>3871</v>
      </c>
      <c r="B2317" s="1667"/>
      <c r="C2317" s="1667"/>
      <c r="D2317" s="1667"/>
      <c r="E2317" s="1667"/>
      <c r="F2317" s="1667"/>
      <c r="G2317" s="1667"/>
      <c r="H2317" s="1667"/>
      <c r="I2317" s="1667"/>
      <c r="J2317" s="1667"/>
      <c r="K2317" s="1667"/>
    </row>
    <row r="2318" spans="1:11" ht="30.75">
      <c r="A2318" s="375" t="s">
        <v>1941</v>
      </c>
      <c r="B2318" s="378" t="s">
        <v>1942</v>
      </c>
      <c r="C2318" s="378" t="s">
        <v>1943</v>
      </c>
      <c r="D2318" s="378" t="s">
        <v>1944</v>
      </c>
      <c r="E2318" s="452" t="s">
        <v>1945</v>
      </c>
      <c r="F2318" s="378" t="s">
        <v>1946</v>
      </c>
      <c r="G2318" s="378" t="s">
        <v>2590</v>
      </c>
      <c r="H2318" s="378" t="s">
        <v>1947</v>
      </c>
      <c r="I2318" s="378" t="s">
        <v>1948</v>
      </c>
      <c r="J2318" s="453" t="s">
        <v>1949</v>
      </c>
      <c r="K2318" s="378" t="s">
        <v>1950</v>
      </c>
    </row>
    <row r="2319" spans="1:11" ht="15.75">
      <c r="A2319" s="1244" t="s">
        <v>3872</v>
      </c>
      <c r="B2319" s="1320" t="s">
        <v>1966</v>
      </c>
      <c r="C2319" s="1073" t="s">
        <v>3873</v>
      </c>
      <c r="D2319" s="1073" t="s">
        <v>75</v>
      </c>
      <c r="E2319" s="1072">
        <v>780000000</v>
      </c>
      <c r="F2319" s="1073" t="s">
        <v>1968</v>
      </c>
      <c r="G2319" s="1073" t="s">
        <v>2593</v>
      </c>
      <c r="H2319" s="1074" t="s">
        <v>1955</v>
      </c>
      <c r="I2319" s="1074" t="s">
        <v>1644</v>
      </c>
      <c r="J2319" s="1074">
        <v>1</v>
      </c>
      <c r="K2319" s="1073" t="s">
        <v>2629</v>
      </c>
    </row>
    <row r="2320" spans="1:11" ht="15.75">
      <c r="A2320" s="1244" t="s">
        <v>3812</v>
      </c>
      <c r="B2320" s="1321" t="s">
        <v>3874</v>
      </c>
      <c r="C2320" s="1070" t="s">
        <v>3875</v>
      </c>
      <c r="D2320" s="1071" t="s">
        <v>2089</v>
      </c>
      <c r="E2320" s="1072">
        <v>270000000</v>
      </c>
      <c r="F2320" s="1073" t="s">
        <v>1968</v>
      </c>
      <c r="G2320" s="1073" t="s">
        <v>2741</v>
      </c>
      <c r="H2320" s="1074" t="s">
        <v>1955</v>
      </c>
      <c r="I2320" s="1074" t="s">
        <v>1644</v>
      </c>
      <c r="J2320" s="1074">
        <v>1</v>
      </c>
      <c r="K2320" s="1073" t="s">
        <v>2629</v>
      </c>
    </row>
    <row r="2321" spans="1:11" ht="15.75">
      <c r="A2321" s="1244"/>
      <c r="B2321" s="1071"/>
      <c r="C2321" s="1073"/>
      <c r="D2321" s="1073"/>
      <c r="E2321" s="1072"/>
      <c r="F2321" s="1073"/>
      <c r="G2321" s="1073"/>
      <c r="H2321" s="1074"/>
      <c r="I2321" s="1074"/>
      <c r="J2321" s="1074"/>
      <c r="K2321" s="1073"/>
    </row>
    <row r="2322" spans="1:11" ht="15.75">
      <c r="A2322" s="479" t="s">
        <v>3834</v>
      </c>
      <c r="B2322" s="381" t="s">
        <v>2182</v>
      </c>
      <c r="C2322" s="381" t="s">
        <v>3876</v>
      </c>
      <c r="D2322" s="381" t="s">
        <v>3877</v>
      </c>
      <c r="E2322" s="451">
        <v>500000</v>
      </c>
      <c r="F2322" s="275" t="s">
        <v>1968</v>
      </c>
      <c r="G2322" s="275" t="s">
        <v>30</v>
      </c>
      <c r="H2322" s="383" t="s">
        <v>1955</v>
      </c>
      <c r="I2322" s="383" t="s">
        <v>1644</v>
      </c>
      <c r="J2322" s="383">
        <v>1</v>
      </c>
      <c r="K2322" s="411" t="s">
        <v>1245</v>
      </c>
    </row>
    <row r="2323" spans="1:11" ht="15.75">
      <c r="A2323" s="393" t="s">
        <v>3878</v>
      </c>
      <c r="B2323" s="381" t="s">
        <v>2182</v>
      </c>
      <c r="C2323" s="381" t="s">
        <v>3879</v>
      </c>
      <c r="D2323" s="381" t="s">
        <v>2700</v>
      </c>
      <c r="E2323" s="451">
        <v>1600000</v>
      </c>
      <c r="F2323" s="381" t="s">
        <v>2292</v>
      </c>
      <c r="G2323" s="381" t="s">
        <v>2593</v>
      </c>
      <c r="H2323" s="383" t="s">
        <v>1955</v>
      </c>
      <c r="I2323" s="383" t="s">
        <v>1644</v>
      </c>
      <c r="J2323" s="383">
        <v>1</v>
      </c>
      <c r="K2323" s="381" t="s">
        <v>1245</v>
      </c>
    </row>
    <row r="2324" spans="1:11" ht="15.75">
      <c r="A2324" s="579" t="s">
        <v>3878</v>
      </c>
      <c r="B2324" s="381" t="s">
        <v>2182</v>
      </c>
      <c r="C2324" s="381" t="s">
        <v>3880</v>
      </c>
      <c r="D2324" s="381" t="s">
        <v>3881</v>
      </c>
      <c r="E2324" s="451">
        <v>800000</v>
      </c>
      <c r="F2324" s="381" t="s">
        <v>2292</v>
      </c>
      <c r="G2324" s="381" t="s">
        <v>2593</v>
      </c>
      <c r="H2324" s="383" t="s">
        <v>1955</v>
      </c>
      <c r="I2324" s="383" t="s">
        <v>1644</v>
      </c>
      <c r="J2324" s="383">
        <v>1</v>
      </c>
      <c r="K2324" s="381" t="s">
        <v>1171</v>
      </c>
    </row>
    <row r="2325" spans="1:11" ht="15.75">
      <c r="A2325" s="579">
        <v>44657</v>
      </c>
      <c r="B2325" s="381" t="s">
        <v>2182</v>
      </c>
      <c r="C2325" s="381" t="s">
        <v>3882</v>
      </c>
      <c r="D2325" s="381" t="s">
        <v>3540</v>
      </c>
      <c r="E2325" s="451">
        <v>900000</v>
      </c>
      <c r="F2325" s="381" t="s">
        <v>1968</v>
      </c>
      <c r="G2325" s="381" t="s">
        <v>2593</v>
      </c>
      <c r="H2325" s="383" t="s">
        <v>1955</v>
      </c>
      <c r="I2325" s="383" t="s">
        <v>1644</v>
      </c>
      <c r="J2325" s="383">
        <v>1</v>
      </c>
      <c r="K2325" s="381" t="s">
        <v>1171</v>
      </c>
    </row>
    <row r="2326" spans="1:11" ht="15.75">
      <c r="A2326" s="579">
        <v>44718</v>
      </c>
      <c r="B2326" s="381" t="s">
        <v>2182</v>
      </c>
      <c r="C2326" s="381" t="s">
        <v>3883</v>
      </c>
      <c r="D2326" s="381" t="s">
        <v>3867</v>
      </c>
      <c r="E2326" s="451">
        <v>1100000</v>
      </c>
      <c r="F2326" s="381" t="s">
        <v>2292</v>
      </c>
      <c r="G2326" s="381" t="s">
        <v>2605</v>
      </c>
      <c r="H2326" s="383" t="s">
        <v>1955</v>
      </c>
      <c r="I2326" s="383" t="s">
        <v>1644</v>
      </c>
      <c r="J2326" s="383">
        <v>1</v>
      </c>
      <c r="K2326" s="381" t="s">
        <v>3681</v>
      </c>
    </row>
    <row r="2327" spans="1:11" ht="15.75">
      <c r="A2327" s="579">
        <v>44779</v>
      </c>
      <c r="B2327" s="381" t="s">
        <v>2182</v>
      </c>
      <c r="C2327" s="381" t="s">
        <v>1089</v>
      </c>
      <c r="D2327" s="381" t="s">
        <v>2394</v>
      </c>
      <c r="E2327" s="451">
        <v>1250000</v>
      </c>
      <c r="F2327" s="381" t="s">
        <v>2292</v>
      </c>
      <c r="G2327" s="381" t="s">
        <v>30</v>
      </c>
      <c r="H2327" s="383" t="s">
        <v>1955</v>
      </c>
      <c r="I2327" s="383" t="s">
        <v>1644</v>
      </c>
      <c r="J2327" s="383">
        <v>1</v>
      </c>
      <c r="K2327" s="381" t="s">
        <v>3681</v>
      </c>
    </row>
    <row r="2328" spans="1:11" ht="15.75">
      <c r="A2328" s="579">
        <v>44840</v>
      </c>
      <c r="B2328" s="381" t="s">
        <v>2182</v>
      </c>
      <c r="C2328" s="381" t="s">
        <v>3884</v>
      </c>
      <c r="D2328" s="381" t="s">
        <v>3298</v>
      </c>
      <c r="E2328" s="451">
        <v>750000</v>
      </c>
      <c r="F2328" s="381" t="s">
        <v>1968</v>
      </c>
      <c r="G2328" s="381" t="s">
        <v>2593</v>
      </c>
      <c r="H2328" s="383" t="s">
        <v>1955</v>
      </c>
      <c r="I2328" s="383" t="s">
        <v>1644</v>
      </c>
      <c r="J2328" s="383">
        <v>1</v>
      </c>
      <c r="K2328" s="381" t="s">
        <v>1171</v>
      </c>
    </row>
    <row r="2329" spans="1:11" ht="15.75">
      <c r="A2329" s="579" t="s">
        <v>3823</v>
      </c>
      <c r="B2329" s="381" t="s">
        <v>2060</v>
      </c>
      <c r="C2329" s="381" t="s">
        <v>3885</v>
      </c>
      <c r="D2329" s="381" t="s">
        <v>2326</v>
      </c>
      <c r="E2329" s="451">
        <v>7500000</v>
      </c>
      <c r="F2329" s="381" t="s">
        <v>1968</v>
      </c>
      <c r="G2329" s="381" t="s">
        <v>2593</v>
      </c>
      <c r="H2329" s="383" t="s">
        <v>1625</v>
      </c>
      <c r="I2329" s="383" t="s">
        <v>1644</v>
      </c>
      <c r="J2329" s="383">
        <v>1</v>
      </c>
      <c r="K2329" s="381" t="s">
        <v>1245</v>
      </c>
    </row>
    <row r="2330" spans="1:11" ht="15.75">
      <c r="A2330" s="579" t="s">
        <v>3886</v>
      </c>
      <c r="B2330" s="381" t="s">
        <v>2060</v>
      </c>
      <c r="C2330" s="381" t="s">
        <v>3887</v>
      </c>
      <c r="D2330" s="381" t="s">
        <v>2711</v>
      </c>
      <c r="E2330" s="451">
        <v>600000</v>
      </c>
      <c r="F2330" s="381" t="s">
        <v>1968</v>
      </c>
      <c r="G2330" s="381" t="s">
        <v>30</v>
      </c>
      <c r="H2330" s="383" t="s">
        <v>1625</v>
      </c>
      <c r="I2330" s="383" t="s">
        <v>1644</v>
      </c>
      <c r="J2330" s="383">
        <v>1</v>
      </c>
      <c r="K2330" s="381" t="s">
        <v>3681</v>
      </c>
    </row>
    <row r="2331" spans="1:11" ht="15.75">
      <c r="A2331" s="579" t="s">
        <v>3841</v>
      </c>
      <c r="B2331" s="381" t="s">
        <v>2182</v>
      </c>
      <c r="C2331" s="381" t="s">
        <v>3888</v>
      </c>
      <c r="D2331" s="381" t="s">
        <v>3626</v>
      </c>
      <c r="E2331" s="451">
        <v>1100000</v>
      </c>
      <c r="F2331" s="381" t="s">
        <v>1968</v>
      </c>
      <c r="G2331" s="381" t="s">
        <v>2593</v>
      </c>
      <c r="H2331" s="383" t="s">
        <v>1955</v>
      </c>
      <c r="I2331" s="383" t="s">
        <v>1644</v>
      </c>
      <c r="J2331" s="383">
        <v>1</v>
      </c>
      <c r="K2331" s="381" t="s">
        <v>1171</v>
      </c>
    </row>
    <row r="2332" spans="1:11" ht="15.75">
      <c r="A2332" s="579" t="s">
        <v>3844</v>
      </c>
      <c r="B2332" s="381" t="s">
        <v>2182</v>
      </c>
      <c r="C2332" s="381" t="s">
        <v>3889</v>
      </c>
      <c r="D2332" s="381" t="s">
        <v>3890</v>
      </c>
      <c r="E2332" s="451">
        <v>1700000</v>
      </c>
      <c r="F2332" s="381" t="s">
        <v>2292</v>
      </c>
      <c r="G2332" s="381" t="s">
        <v>2593</v>
      </c>
      <c r="H2332" s="383" t="s">
        <v>1955</v>
      </c>
      <c r="I2332" s="383" t="s">
        <v>1644</v>
      </c>
      <c r="J2332" s="383">
        <v>1</v>
      </c>
      <c r="K2332" s="381" t="s">
        <v>1245</v>
      </c>
    </row>
    <row r="2333" spans="1:11" ht="15.75">
      <c r="A2333" s="579" t="s">
        <v>3812</v>
      </c>
      <c r="B2333" s="381" t="s">
        <v>2182</v>
      </c>
      <c r="C2333" s="381" t="s">
        <v>1149</v>
      </c>
      <c r="D2333" s="381" t="s">
        <v>2394</v>
      </c>
      <c r="E2333" s="451">
        <v>1250000</v>
      </c>
      <c r="F2333" s="381" t="s">
        <v>2292</v>
      </c>
      <c r="G2333" s="381" t="s">
        <v>2605</v>
      </c>
      <c r="H2333" s="383" t="s">
        <v>1955</v>
      </c>
      <c r="I2333" s="383" t="s">
        <v>1644</v>
      </c>
      <c r="J2333" s="383">
        <v>1</v>
      </c>
      <c r="K2333" s="381" t="s">
        <v>3681</v>
      </c>
    </row>
    <row r="2334" spans="1:11" ht="15.75">
      <c r="A2334" s="579" t="s">
        <v>3829</v>
      </c>
      <c r="B2334" s="381" t="s">
        <v>2182</v>
      </c>
      <c r="C2334" s="381" t="s">
        <v>1126</v>
      </c>
      <c r="D2334" s="381" t="s">
        <v>3089</v>
      </c>
      <c r="E2334" s="451">
        <v>1200000</v>
      </c>
      <c r="F2334" s="381" t="s">
        <v>2292</v>
      </c>
      <c r="G2334" s="381" t="s">
        <v>2593</v>
      </c>
      <c r="H2334" s="383" t="s">
        <v>1955</v>
      </c>
      <c r="I2334" s="383" t="s">
        <v>1644</v>
      </c>
      <c r="J2334" s="383">
        <v>1</v>
      </c>
      <c r="K2334" s="381" t="s">
        <v>1245</v>
      </c>
    </row>
    <row r="2335" spans="1:11" ht="15.75">
      <c r="A2335" s="456"/>
      <c r="B2335" s="457"/>
      <c r="C2335" s="457"/>
      <c r="D2335" s="457"/>
      <c r="E2335" s="476"/>
      <c r="F2335" s="457"/>
      <c r="G2335" s="457"/>
      <c r="H2335" s="153"/>
      <c r="I2335" s="153"/>
      <c r="J2335" s="493">
        <f>SUM(J2319:J2334)</f>
        <v>15</v>
      </c>
      <c r="K2335" s="457"/>
    </row>
    <row r="2336" spans="1:11" ht="15.75">
      <c r="A2336" s="394"/>
      <c r="B2336" s="395"/>
      <c r="C2336" s="395"/>
      <c r="D2336" s="395"/>
      <c r="E2336" s="396"/>
      <c r="F2336" s="397"/>
      <c r="G2336" s="397"/>
      <c r="H2336" s="395"/>
      <c r="I2336" s="395"/>
      <c r="J2336" s="395"/>
      <c r="K2336" s="395"/>
    </row>
    <row r="2337" spans="1:11" ht="15.75">
      <c r="A2337" s="394"/>
      <c r="B2337" s="395"/>
      <c r="C2337" s="395"/>
      <c r="D2337" s="395"/>
      <c r="E2337" s="396"/>
      <c r="F2337" s="397"/>
      <c r="G2337" s="397"/>
      <c r="H2337" s="395"/>
      <c r="I2337" s="395"/>
      <c r="J2337" s="395"/>
      <c r="K2337" s="395"/>
    </row>
    <row r="2339" spans="1:11" ht="26.25">
      <c r="A2339" s="1668" t="s">
        <v>3891</v>
      </c>
      <c r="B2339" s="1669"/>
      <c r="C2339" s="1669"/>
      <c r="D2339" s="1669"/>
      <c r="E2339" s="1669"/>
      <c r="F2339" s="1669"/>
      <c r="G2339" s="1669"/>
      <c r="H2339" s="1669"/>
      <c r="I2339" s="1669"/>
      <c r="J2339" s="1669"/>
      <c r="K2339" s="1670"/>
    </row>
    <row r="2340" spans="1:11" ht="30.75">
      <c r="A2340" s="378" t="s">
        <v>1941</v>
      </c>
      <c r="B2340" s="378" t="s">
        <v>1942</v>
      </c>
      <c r="C2340" s="378" t="s">
        <v>1943</v>
      </c>
      <c r="D2340" s="378" t="s">
        <v>1944</v>
      </c>
      <c r="E2340" s="452" t="s">
        <v>1945</v>
      </c>
      <c r="F2340" s="378" t="s">
        <v>1946</v>
      </c>
      <c r="G2340" s="378" t="s">
        <v>2590</v>
      </c>
      <c r="H2340" s="378" t="s">
        <v>1947</v>
      </c>
      <c r="I2340" s="378" t="s">
        <v>1948</v>
      </c>
      <c r="J2340" s="453" t="s">
        <v>1949</v>
      </c>
      <c r="K2340" s="378" t="s">
        <v>1950</v>
      </c>
    </row>
    <row r="2341" spans="1:11" ht="15.75">
      <c r="A2341" s="922"/>
      <c r="B2341" s="618"/>
      <c r="C2341" s="472"/>
      <c r="D2341" s="472"/>
      <c r="E2341" s="475"/>
      <c r="F2341" s="472"/>
      <c r="G2341" s="472"/>
      <c r="H2341" s="473"/>
      <c r="I2341" s="473"/>
      <c r="J2341" s="473"/>
      <c r="K2341" s="472"/>
    </row>
    <row r="2342" spans="1:11" ht="15.75">
      <c r="A2342" s="922"/>
      <c r="B2342" s="618"/>
      <c r="C2342" s="578"/>
      <c r="D2342" s="472"/>
      <c r="E2342" s="475"/>
      <c r="F2342" s="472"/>
      <c r="G2342" s="472"/>
      <c r="H2342" s="473"/>
      <c r="I2342" s="473"/>
      <c r="J2342" s="473"/>
      <c r="K2342" s="472"/>
    </row>
    <row r="2343" spans="1:11" ht="15.75">
      <c r="A2343" s="611"/>
      <c r="B2343" s="472"/>
      <c r="C2343" s="472"/>
      <c r="D2343" s="472"/>
      <c r="E2343" s="475"/>
      <c r="F2343" s="472"/>
      <c r="G2343" s="472"/>
      <c r="H2343" s="473"/>
      <c r="I2343" s="473"/>
      <c r="J2343" s="473"/>
      <c r="K2343" s="472"/>
    </row>
    <row r="2344" spans="1:11" ht="15.75">
      <c r="A2344" s="384">
        <v>44718</v>
      </c>
      <c r="B2344" s="577" t="s">
        <v>2182</v>
      </c>
      <c r="C2344" s="385" t="s">
        <v>3892</v>
      </c>
      <c r="D2344" s="385" t="s">
        <v>2887</v>
      </c>
      <c r="E2344" s="462">
        <v>1600000</v>
      </c>
      <c r="F2344" s="385" t="s">
        <v>1968</v>
      </c>
      <c r="G2344" s="385" t="s">
        <v>2593</v>
      </c>
      <c r="H2344" s="387" t="s">
        <v>1955</v>
      </c>
      <c r="I2344" s="387" t="s">
        <v>1644</v>
      </c>
      <c r="J2344" s="387">
        <v>1</v>
      </c>
      <c r="K2344" s="385" t="s">
        <v>1171</v>
      </c>
    </row>
    <row r="2345" spans="1:11" ht="15.75">
      <c r="A2345" s="384">
        <v>44748</v>
      </c>
      <c r="B2345" s="577" t="s">
        <v>2182</v>
      </c>
      <c r="C2345" s="426" t="s">
        <v>3893</v>
      </c>
      <c r="D2345" s="385" t="s">
        <v>3043</v>
      </c>
      <c r="E2345" s="462">
        <v>1400000</v>
      </c>
      <c r="F2345" s="385" t="s">
        <v>2292</v>
      </c>
      <c r="G2345" s="385" t="s">
        <v>2605</v>
      </c>
      <c r="H2345" s="387" t="s">
        <v>1955</v>
      </c>
      <c r="I2345" s="387" t="s">
        <v>1644</v>
      </c>
      <c r="J2345" s="387">
        <v>1</v>
      </c>
      <c r="K2345" s="385" t="s">
        <v>3681</v>
      </c>
    </row>
    <row r="2346" spans="1:11" ht="15.75">
      <c r="A2346" s="384">
        <v>44779</v>
      </c>
      <c r="B2346" s="577" t="s">
        <v>2182</v>
      </c>
      <c r="C2346" s="426" t="s">
        <v>3894</v>
      </c>
      <c r="D2346" s="385" t="s">
        <v>3895</v>
      </c>
      <c r="E2346" s="462">
        <v>3900000</v>
      </c>
      <c r="F2346" s="385" t="s">
        <v>1968</v>
      </c>
      <c r="G2346" s="385" t="s">
        <v>2593</v>
      </c>
      <c r="H2346" s="387" t="s">
        <v>1955</v>
      </c>
      <c r="I2346" s="387" t="s">
        <v>1644</v>
      </c>
      <c r="J2346" s="387">
        <v>1</v>
      </c>
      <c r="K2346" s="385" t="s">
        <v>1245</v>
      </c>
    </row>
    <row r="2347" spans="1:11" ht="15.75">
      <c r="A2347" s="412">
        <v>44779</v>
      </c>
      <c r="B2347" s="381" t="s">
        <v>2182</v>
      </c>
      <c r="C2347" s="426" t="s">
        <v>3896</v>
      </c>
      <c r="D2347" s="385" t="s">
        <v>3043</v>
      </c>
      <c r="E2347" s="462">
        <v>1500000</v>
      </c>
      <c r="F2347" s="385" t="s">
        <v>2290</v>
      </c>
      <c r="G2347" s="385" t="s">
        <v>2605</v>
      </c>
      <c r="H2347" s="387" t="s">
        <v>1955</v>
      </c>
      <c r="I2347" s="387" t="s">
        <v>1644</v>
      </c>
      <c r="J2347" s="387">
        <v>1</v>
      </c>
      <c r="K2347" s="385" t="s">
        <v>1171</v>
      </c>
    </row>
    <row r="2348" spans="1:11" ht="15.75">
      <c r="A2348" s="412">
        <v>44840</v>
      </c>
      <c r="B2348" s="381" t="s">
        <v>2182</v>
      </c>
      <c r="C2348" s="426" t="s">
        <v>3897</v>
      </c>
      <c r="D2348" s="385" t="s">
        <v>2669</v>
      </c>
      <c r="E2348" s="462">
        <v>1800000</v>
      </c>
      <c r="F2348" s="385" t="s">
        <v>1968</v>
      </c>
      <c r="G2348" s="385" t="s">
        <v>2593</v>
      </c>
      <c r="H2348" s="387" t="s">
        <v>1955</v>
      </c>
      <c r="I2348" s="387" t="s">
        <v>1644</v>
      </c>
      <c r="J2348" s="387">
        <v>1</v>
      </c>
      <c r="K2348" s="385" t="s">
        <v>3681</v>
      </c>
    </row>
    <row r="2349" spans="1:11" ht="15.75">
      <c r="A2349" s="412">
        <v>44871</v>
      </c>
      <c r="B2349" s="381" t="s">
        <v>2182</v>
      </c>
      <c r="C2349" s="426" t="s">
        <v>3898</v>
      </c>
      <c r="D2349" s="385" t="s">
        <v>3867</v>
      </c>
      <c r="E2349" s="462">
        <v>1150000</v>
      </c>
      <c r="F2349" s="385" t="s">
        <v>1968</v>
      </c>
      <c r="G2349" s="385" t="s">
        <v>30</v>
      </c>
      <c r="H2349" s="387" t="s">
        <v>1955</v>
      </c>
      <c r="I2349" s="387" t="s">
        <v>1644</v>
      </c>
      <c r="J2349" s="387">
        <v>1</v>
      </c>
      <c r="K2349" s="385" t="s">
        <v>1245</v>
      </c>
    </row>
    <row r="2350" spans="1:11" ht="15.75">
      <c r="A2350" s="928" t="s">
        <v>3823</v>
      </c>
      <c r="B2350" s="420" t="s">
        <v>2182</v>
      </c>
      <c r="C2350" s="743" t="s">
        <v>3899</v>
      </c>
      <c r="D2350" s="633" t="s">
        <v>3043</v>
      </c>
      <c r="E2350" s="644">
        <v>1400000</v>
      </c>
      <c r="F2350" s="633" t="s">
        <v>2292</v>
      </c>
      <c r="G2350" s="633" t="s">
        <v>2593</v>
      </c>
      <c r="H2350" s="635" t="s">
        <v>1955</v>
      </c>
      <c r="I2350" s="635" t="s">
        <v>1644</v>
      </c>
      <c r="J2350" s="387">
        <v>1</v>
      </c>
      <c r="K2350" s="385" t="s">
        <v>1171</v>
      </c>
    </row>
    <row r="2351" spans="1:11" ht="15.75">
      <c r="A2351" s="928" t="s">
        <v>3900</v>
      </c>
      <c r="B2351" s="420" t="s">
        <v>2182</v>
      </c>
      <c r="C2351" s="743" t="s">
        <v>1094</v>
      </c>
      <c r="D2351" s="633" t="s">
        <v>2659</v>
      </c>
      <c r="E2351" s="644">
        <v>1350000</v>
      </c>
      <c r="F2351" s="633" t="s">
        <v>2306</v>
      </c>
      <c r="G2351" s="633" t="s">
        <v>2593</v>
      </c>
      <c r="H2351" s="635" t="s">
        <v>1955</v>
      </c>
      <c r="I2351" s="635" t="s">
        <v>1644</v>
      </c>
      <c r="J2351" s="387">
        <v>1</v>
      </c>
      <c r="K2351" s="385" t="s">
        <v>3681</v>
      </c>
    </row>
    <row r="2352" spans="1:11" ht="15.75">
      <c r="A2352" s="928" t="s">
        <v>3812</v>
      </c>
      <c r="B2352" s="420" t="s">
        <v>2182</v>
      </c>
      <c r="C2352" s="743" t="s">
        <v>3901</v>
      </c>
      <c r="D2352" s="633" t="s">
        <v>3902</v>
      </c>
      <c r="E2352" s="644">
        <v>1100000</v>
      </c>
      <c r="F2352" s="633" t="s">
        <v>1968</v>
      </c>
      <c r="G2352" s="633" t="s">
        <v>3351</v>
      </c>
      <c r="H2352" s="635" t="s">
        <v>1955</v>
      </c>
      <c r="I2352" s="635" t="s">
        <v>1644</v>
      </c>
      <c r="J2352" s="387">
        <v>1</v>
      </c>
      <c r="K2352" s="385" t="s">
        <v>1245</v>
      </c>
    </row>
    <row r="2353" spans="1:11" ht="15.75">
      <c r="A2353" s="419"/>
      <c r="B2353" s="420"/>
      <c r="C2353" s="457"/>
      <c r="D2353" s="457"/>
      <c r="E2353" s="458"/>
      <c r="F2353" s="457"/>
      <c r="G2353" s="457"/>
      <c r="H2353" s="457"/>
      <c r="I2353" s="457"/>
      <c r="J2353" s="493">
        <f>SUM(J2341:J2352)</f>
        <v>9</v>
      </c>
      <c r="K2353" s="457"/>
    </row>
    <row r="2356" spans="1:11" ht="26.25">
      <c r="A2356" s="1668" t="s">
        <v>3903</v>
      </c>
      <c r="B2356" s="1669"/>
      <c r="C2356" s="1669"/>
      <c r="D2356" s="1669"/>
      <c r="E2356" s="1669"/>
      <c r="F2356" s="1669"/>
      <c r="G2356" s="1669"/>
      <c r="H2356" s="1669"/>
      <c r="I2356" s="1669"/>
      <c r="J2356" s="1669"/>
      <c r="K2356" s="1670"/>
    </row>
    <row r="2357" spans="1:11" ht="30.75">
      <c r="A2357" s="375" t="s">
        <v>1941</v>
      </c>
      <c r="B2357" s="378" t="s">
        <v>1942</v>
      </c>
      <c r="C2357" s="378" t="s">
        <v>1943</v>
      </c>
      <c r="D2357" s="378" t="s">
        <v>1944</v>
      </c>
      <c r="E2357" s="452" t="s">
        <v>1945</v>
      </c>
      <c r="F2357" s="378" t="s">
        <v>1946</v>
      </c>
      <c r="G2357" s="378" t="s">
        <v>2590</v>
      </c>
      <c r="H2357" s="378" t="s">
        <v>1947</v>
      </c>
      <c r="I2357" s="378" t="s">
        <v>1948</v>
      </c>
      <c r="J2357" s="453" t="s">
        <v>1949</v>
      </c>
      <c r="K2357" s="378" t="s">
        <v>1950</v>
      </c>
    </row>
    <row r="2358" spans="1:11" ht="15.75">
      <c r="A2358" s="1068"/>
      <c r="B2358" s="1069"/>
      <c r="C2358" s="1070"/>
      <c r="D2358" s="1071"/>
      <c r="E2358" s="1072"/>
      <c r="F2358" s="1073"/>
      <c r="G2358" s="1073"/>
      <c r="H2358" s="1074"/>
      <c r="I2358" s="1074"/>
      <c r="J2358" s="1074"/>
      <c r="K2358" s="1073"/>
    </row>
    <row r="2359" spans="1:11" ht="15.75">
      <c r="A2359" s="1068"/>
      <c r="B2359" s="1069"/>
      <c r="C2359" s="1070"/>
      <c r="D2359" s="1071"/>
      <c r="E2359" s="1072"/>
      <c r="F2359" s="1073"/>
      <c r="G2359" s="1073"/>
      <c r="H2359" s="1074"/>
      <c r="I2359" s="1074"/>
      <c r="J2359" s="1074"/>
      <c r="K2359" s="1073"/>
    </row>
    <row r="2360" spans="1:11" ht="15.75">
      <c r="A2360" s="443" t="s">
        <v>3823</v>
      </c>
      <c r="B2360" s="653" t="s">
        <v>1966</v>
      </c>
      <c r="C2360" s="381" t="s">
        <v>3904</v>
      </c>
      <c r="D2360" s="426" t="s">
        <v>2669</v>
      </c>
      <c r="E2360" s="462">
        <v>2250000</v>
      </c>
      <c r="F2360" s="385" t="s">
        <v>1968</v>
      </c>
      <c r="G2360" s="385" t="s">
        <v>30</v>
      </c>
      <c r="H2360" s="387" t="s">
        <v>1625</v>
      </c>
      <c r="I2360" s="387" t="s">
        <v>1644</v>
      </c>
      <c r="J2360" s="387">
        <v>1</v>
      </c>
      <c r="K2360" s="385" t="s">
        <v>3681</v>
      </c>
    </row>
    <row r="2361" spans="1:11" ht="15.75">
      <c r="A2361" s="443" t="s">
        <v>3812</v>
      </c>
      <c r="B2361" s="653" t="s">
        <v>2182</v>
      </c>
      <c r="C2361" s="381" t="s">
        <v>3905</v>
      </c>
      <c r="D2361" s="426" t="s">
        <v>2576</v>
      </c>
      <c r="E2361" s="462">
        <v>900000</v>
      </c>
      <c r="F2361" s="385" t="s">
        <v>1968</v>
      </c>
      <c r="G2361" s="385" t="s">
        <v>30</v>
      </c>
      <c r="H2361" s="387" t="s">
        <v>1625</v>
      </c>
      <c r="I2361" s="387" t="s">
        <v>1644</v>
      </c>
      <c r="J2361" s="387">
        <v>1</v>
      </c>
      <c r="K2361" s="385" t="s">
        <v>1171</v>
      </c>
    </row>
    <row r="2362" spans="1:11" ht="15.75">
      <c r="A2362" s="393"/>
      <c r="B2362" s="653"/>
      <c r="C2362" s="381"/>
      <c r="D2362" s="381"/>
      <c r="E2362" s="451"/>
      <c r="F2362" s="381"/>
      <c r="G2362" s="381"/>
      <c r="H2362" s="383"/>
      <c r="I2362" s="383"/>
      <c r="J2362" s="1246">
        <f>SUM(J2358:J2361)</f>
        <v>2</v>
      </c>
      <c r="K2362" s="381"/>
    </row>
    <row r="2365" spans="1:11" ht="26.25">
      <c r="A2365" s="1668" t="s">
        <v>3906</v>
      </c>
      <c r="B2365" s="1669"/>
      <c r="C2365" s="1669"/>
      <c r="D2365" s="1669"/>
      <c r="E2365" s="1669"/>
      <c r="F2365" s="1669"/>
      <c r="G2365" s="1669"/>
      <c r="H2365" s="1669"/>
      <c r="I2365" s="1669"/>
      <c r="J2365" s="1669"/>
      <c r="K2365" s="1670"/>
    </row>
    <row r="2366" spans="1:11" ht="30.75">
      <c r="A2366" s="375" t="s">
        <v>1941</v>
      </c>
      <c r="B2366" s="378" t="s">
        <v>1942</v>
      </c>
      <c r="C2366" s="378" t="s">
        <v>1943</v>
      </c>
      <c r="D2366" s="378" t="s">
        <v>1944</v>
      </c>
      <c r="E2366" s="452" t="s">
        <v>1945</v>
      </c>
      <c r="F2366" s="378" t="s">
        <v>1946</v>
      </c>
      <c r="G2366" s="378" t="s">
        <v>2590</v>
      </c>
      <c r="H2366" s="378" t="s">
        <v>1947</v>
      </c>
      <c r="I2366" s="378" t="s">
        <v>1948</v>
      </c>
      <c r="J2366" s="453" t="s">
        <v>1949</v>
      </c>
      <c r="K2366" s="378" t="s">
        <v>1950</v>
      </c>
    </row>
    <row r="2367" spans="1:11" ht="15.75">
      <c r="A2367" s="1068"/>
      <c r="B2367" s="1069"/>
      <c r="C2367" s="1070"/>
      <c r="D2367" s="1071"/>
      <c r="E2367" s="1072"/>
      <c r="F2367" s="1073"/>
      <c r="G2367" s="1073"/>
      <c r="H2367" s="1074"/>
      <c r="I2367" s="1074"/>
      <c r="J2367" s="1074"/>
      <c r="K2367" s="1073"/>
    </row>
    <row r="2368" spans="1:11" ht="15.75">
      <c r="A2368" s="443" t="s">
        <v>3907</v>
      </c>
      <c r="B2368" s="653" t="s">
        <v>2182</v>
      </c>
      <c r="C2368" s="381" t="s">
        <v>3908</v>
      </c>
      <c r="D2368" s="426" t="s">
        <v>3909</v>
      </c>
      <c r="E2368" s="462">
        <v>1100000</v>
      </c>
      <c r="F2368" s="385" t="s">
        <v>1968</v>
      </c>
      <c r="G2368" s="385" t="s">
        <v>2593</v>
      </c>
      <c r="H2368" s="387" t="s">
        <v>1955</v>
      </c>
      <c r="I2368" s="387" t="s">
        <v>1644</v>
      </c>
      <c r="J2368" s="387">
        <v>1</v>
      </c>
      <c r="K2368" s="385" t="s">
        <v>3681</v>
      </c>
    </row>
    <row r="2369" spans="1:11" ht="15.75">
      <c r="A2369" s="393"/>
      <c r="B2369" s="653"/>
      <c r="C2369" s="381"/>
      <c r="D2369" s="381"/>
      <c r="E2369" s="451"/>
      <c r="F2369" s="381"/>
      <c r="G2369" s="381"/>
      <c r="H2369" s="383"/>
      <c r="I2369" s="383"/>
      <c r="J2369" s="1246">
        <f>SUM(J2367:J2368)</f>
        <v>1</v>
      </c>
      <c r="K2369" s="381"/>
    </row>
    <row r="2372" spans="1:11" ht="26.25">
      <c r="A2372" s="1668" t="s">
        <v>3910</v>
      </c>
      <c r="B2372" s="1669"/>
      <c r="C2372" s="1669"/>
      <c r="D2372" s="1669"/>
      <c r="E2372" s="1669"/>
      <c r="F2372" s="1669"/>
      <c r="G2372" s="1669"/>
      <c r="H2372" s="1669"/>
      <c r="I2372" s="1669"/>
      <c r="J2372" s="1669"/>
      <c r="K2372" s="1670"/>
    </row>
    <row r="2373" spans="1:11" ht="30.75">
      <c r="A2373" s="375" t="s">
        <v>1941</v>
      </c>
      <c r="B2373" s="378" t="s">
        <v>1942</v>
      </c>
      <c r="C2373" s="378" t="s">
        <v>1943</v>
      </c>
      <c r="D2373" s="378" t="s">
        <v>1944</v>
      </c>
      <c r="E2373" s="452" t="s">
        <v>1945</v>
      </c>
      <c r="F2373" s="378" t="s">
        <v>1946</v>
      </c>
      <c r="G2373" s="378" t="s">
        <v>2590</v>
      </c>
      <c r="H2373" s="378" t="s">
        <v>1947</v>
      </c>
      <c r="I2373" s="378" t="s">
        <v>1948</v>
      </c>
      <c r="J2373" s="453" t="s">
        <v>1949</v>
      </c>
      <c r="K2373" s="378" t="s">
        <v>1950</v>
      </c>
    </row>
    <row r="2374" spans="1:11" ht="15.75">
      <c r="A2374" s="1068"/>
      <c r="B2374" s="1069"/>
      <c r="C2374" s="1070"/>
      <c r="D2374" s="1071"/>
      <c r="E2374" s="1072"/>
      <c r="F2374" s="1073"/>
      <c r="G2374" s="1073"/>
      <c r="H2374" s="1074"/>
      <c r="I2374" s="1074"/>
      <c r="J2374" s="1074"/>
      <c r="K2374" s="1073"/>
    </row>
    <row r="2375" spans="1:11" ht="15.75">
      <c r="A2375" s="1068"/>
      <c r="B2375" s="1069"/>
      <c r="C2375" s="1070"/>
      <c r="D2375" s="1071"/>
      <c r="E2375" s="1072"/>
      <c r="F2375" s="1073"/>
      <c r="G2375" s="1073"/>
      <c r="H2375" s="1074"/>
      <c r="I2375" s="1074"/>
      <c r="J2375" s="1074"/>
      <c r="K2375" s="1073"/>
    </row>
    <row r="2376" spans="1:11" ht="15.75">
      <c r="A2376" s="443">
        <v>44598</v>
      </c>
      <c r="B2376" s="653" t="s">
        <v>2182</v>
      </c>
      <c r="C2376" s="381" t="s">
        <v>1051</v>
      </c>
      <c r="D2376" s="426" t="s">
        <v>3059</v>
      </c>
      <c r="E2376" s="462">
        <v>1350000</v>
      </c>
      <c r="F2376" s="385" t="s">
        <v>1968</v>
      </c>
      <c r="G2376" s="385" t="s">
        <v>30</v>
      </c>
      <c r="H2376" s="387" t="s">
        <v>1955</v>
      </c>
      <c r="I2376" s="387" t="s">
        <v>1644</v>
      </c>
      <c r="J2376" s="387">
        <v>1</v>
      </c>
      <c r="K2376" s="385" t="s">
        <v>856</v>
      </c>
    </row>
    <row r="2377" spans="1:11" ht="15.75">
      <c r="A2377" s="443">
        <v>44598</v>
      </c>
      <c r="B2377" s="653" t="s">
        <v>2182</v>
      </c>
      <c r="C2377" s="1289" t="s">
        <v>3911</v>
      </c>
      <c r="D2377" s="426" t="s">
        <v>2659</v>
      </c>
      <c r="E2377" s="462">
        <v>750000</v>
      </c>
      <c r="F2377" s="385" t="s">
        <v>1968</v>
      </c>
      <c r="G2377" s="385" t="s">
        <v>30</v>
      </c>
      <c r="H2377" s="387" t="s">
        <v>1955</v>
      </c>
      <c r="I2377" s="387" t="s">
        <v>1644</v>
      </c>
      <c r="J2377" s="387">
        <v>1</v>
      </c>
      <c r="K2377" s="385" t="s">
        <v>856</v>
      </c>
    </row>
    <row r="2378" spans="1:11" ht="15.75">
      <c r="A2378" s="443">
        <v>44779</v>
      </c>
      <c r="B2378" s="577" t="s">
        <v>2182</v>
      </c>
      <c r="C2378" s="385" t="s">
        <v>521</v>
      </c>
      <c r="D2378" s="426" t="s">
        <v>2326</v>
      </c>
      <c r="E2378" s="462">
        <v>900000</v>
      </c>
      <c r="F2378" s="385" t="s">
        <v>1968</v>
      </c>
      <c r="G2378" s="385" t="s">
        <v>30</v>
      </c>
      <c r="H2378" s="387" t="s">
        <v>1955</v>
      </c>
      <c r="I2378" s="387" t="s">
        <v>1644</v>
      </c>
      <c r="J2378" s="387">
        <v>1</v>
      </c>
      <c r="K2378" s="385" t="s">
        <v>856</v>
      </c>
    </row>
    <row r="2379" spans="1:11" ht="15.75">
      <c r="A2379" s="443">
        <v>44779</v>
      </c>
      <c r="B2379" s="577" t="s">
        <v>2182</v>
      </c>
      <c r="C2379" s="385" t="s">
        <v>450</v>
      </c>
      <c r="D2379" s="426" t="s">
        <v>2347</v>
      </c>
      <c r="E2379" s="462">
        <v>1500000</v>
      </c>
      <c r="F2379" s="385" t="s">
        <v>1021</v>
      </c>
      <c r="G2379" s="385" t="s">
        <v>30</v>
      </c>
      <c r="H2379" s="387" t="s">
        <v>1955</v>
      </c>
      <c r="I2379" s="387" t="s">
        <v>1644</v>
      </c>
      <c r="J2379" s="387">
        <v>1</v>
      </c>
      <c r="K2379" s="385" t="s">
        <v>856</v>
      </c>
    </row>
    <row r="2380" spans="1:11" ht="15.75">
      <c r="A2380" s="443">
        <v>44810</v>
      </c>
      <c r="B2380" s="577" t="s">
        <v>2182</v>
      </c>
      <c r="C2380" s="385" t="s">
        <v>1056</v>
      </c>
      <c r="D2380" s="426" t="s">
        <v>3059</v>
      </c>
      <c r="E2380" s="462">
        <v>1700000</v>
      </c>
      <c r="F2380" s="385" t="s">
        <v>1968</v>
      </c>
      <c r="G2380" s="385" t="s">
        <v>30</v>
      </c>
      <c r="H2380" s="387" t="s">
        <v>1955</v>
      </c>
      <c r="I2380" s="387" t="s">
        <v>1644</v>
      </c>
      <c r="J2380" s="387">
        <v>1</v>
      </c>
      <c r="K2380" s="385" t="s">
        <v>856</v>
      </c>
    </row>
    <row r="2381" spans="1:11" ht="15.75">
      <c r="A2381" s="384" t="s">
        <v>3841</v>
      </c>
      <c r="B2381" s="577" t="s">
        <v>2182</v>
      </c>
      <c r="C2381" s="385" t="s">
        <v>3912</v>
      </c>
      <c r="D2381" s="385" t="s">
        <v>2394</v>
      </c>
      <c r="E2381" s="462">
        <v>1200000</v>
      </c>
      <c r="F2381" s="1318" t="s">
        <v>883</v>
      </c>
      <c r="G2381" s="385" t="s">
        <v>2593</v>
      </c>
      <c r="H2381" s="387" t="s">
        <v>1955</v>
      </c>
      <c r="I2381" s="387" t="s">
        <v>1644</v>
      </c>
      <c r="J2381" s="1074">
        <v>1</v>
      </c>
      <c r="K2381" s="385" t="s">
        <v>856</v>
      </c>
    </row>
    <row r="2382" spans="1:11" ht="15.75">
      <c r="A2382" s="384" t="s">
        <v>3829</v>
      </c>
      <c r="B2382" s="577" t="s">
        <v>2182</v>
      </c>
      <c r="C2382" s="385" t="s">
        <v>3913</v>
      </c>
      <c r="D2382" s="385" t="s">
        <v>3043</v>
      </c>
      <c r="E2382" s="462">
        <v>1600000</v>
      </c>
      <c r="F2382" s="385" t="s">
        <v>30</v>
      </c>
      <c r="G2382" s="385" t="s">
        <v>3914</v>
      </c>
      <c r="H2382" s="387" t="s">
        <v>1955</v>
      </c>
      <c r="I2382" s="387" t="s">
        <v>1644</v>
      </c>
      <c r="J2382" s="1074">
        <v>1</v>
      </c>
      <c r="K2382" s="385"/>
    </row>
    <row r="2383" spans="1:11">
      <c r="A2383" s="109"/>
      <c r="B2383" s="80"/>
      <c r="C2383" s="80"/>
      <c r="D2383" s="80"/>
      <c r="E2383" s="119"/>
      <c r="F2383" s="71"/>
      <c r="G2383" s="71"/>
      <c r="H2383" s="80"/>
      <c r="I2383" s="80"/>
      <c r="J2383" s="80"/>
      <c r="K2383" s="80"/>
    </row>
    <row r="2384" spans="1:11">
      <c r="A2384" s="109"/>
      <c r="B2384" s="80"/>
      <c r="C2384" s="80"/>
      <c r="D2384" s="80"/>
      <c r="E2384" s="119"/>
      <c r="F2384" s="71"/>
      <c r="G2384" s="71"/>
      <c r="H2384" s="80"/>
      <c r="I2384" s="80"/>
      <c r="J2384" s="80"/>
      <c r="K2384" s="80"/>
    </row>
    <row r="2388" spans="1:11">
      <c r="A2388" s="1665" t="s">
        <v>3915</v>
      </c>
      <c r="B2388" s="1665"/>
      <c r="C2388" s="1665"/>
      <c r="D2388" s="1665"/>
      <c r="E2388" s="1665"/>
      <c r="F2388" s="1665"/>
      <c r="G2388" s="1665"/>
      <c r="H2388" s="1665"/>
      <c r="I2388" s="1665"/>
      <c r="J2388" s="1665"/>
      <c r="K2388" s="1665"/>
    </row>
    <row r="2389" spans="1:11">
      <c r="A2389" s="1666"/>
      <c r="B2389" s="1666"/>
      <c r="C2389" s="1666"/>
      <c r="D2389" s="1666"/>
      <c r="E2389" s="1666"/>
      <c r="F2389" s="1666"/>
      <c r="G2389" s="1666"/>
      <c r="H2389" s="1666"/>
      <c r="I2389" s="1666"/>
      <c r="J2389" s="1666"/>
      <c r="K2389" s="1666"/>
    </row>
    <row r="2391" spans="1:11" ht="15.75">
      <c r="A2391" s="394"/>
      <c r="B2391" s="395"/>
      <c r="C2391" s="395"/>
      <c r="D2391" s="395"/>
      <c r="E2391" s="706"/>
      <c r="F2391" s="707"/>
      <c r="G2391" s="707"/>
      <c r="H2391" s="397"/>
      <c r="I2391" s="397"/>
      <c r="J2391" s="397"/>
      <c r="K2391" s="395"/>
    </row>
    <row r="2392" spans="1:11" ht="26.25">
      <c r="A2392" s="1667" t="s">
        <v>3916</v>
      </c>
      <c r="B2392" s="1667"/>
      <c r="C2392" s="1667"/>
      <c r="D2392" s="1667"/>
      <c r="E2392" s="1667"/>
      <c r="F2392" s="1667"/>
      <c r="G2392" s="1667"/>
      <c r="H2392" s="1667"/>
      <c r="I2392" s="1667"/>
      <c r="J2392" s="1667"/>
      <c r="K2392" s="1667"/>
    </row>
    <row r="2393" spans="1:11" ht="30.75">
      <c r="A2393" s="375" t="s">
        <v>1941</v>
      </c>
      <c r="B2393" s="378" t="s">
        <v>1942</v>
      </c>
      <c r="C2393" s="378" t="s">
        <v>1943</v>
      </c>
      <c r="D2393" s="378" t="s">
        <v>1944</v>
      </c>
      <c r="E2393" s="452" t="s">
        <v>1945</v>
      </c>
      <c r="F2393" s="378" t="s">
        <v>1946</v>
      </c>
      <c r="G2393" s="378" t="s">
        <v>2590</v>
      </c>
      <c r="H2393" s="378" t="s">
        <v>1947</v>
      </c>
      <c r="I2393" s="378" t="s">
        <v>1948</v>
      </c>
      <c r="J2393" s="453" t="s">
        <v>1949</v>
      </c>
      <c r="K2393" s="378" t="s">
        <v>1950</v>
      </c>
    </row>
    <row r="2394" spans="1:11" ht="15.75">
      <c r="A2394" s="611" t="s">
        <v>3917</v>
      </c>
      <c r="B2394" s="455" t="s">
        <v>2182</v>
      </c>
      <c r="C2394" s="578" t="s">
        <v>3918</v>
      </c>
      <c r="D2394" s="472" t="s">
        <v>2669</v>
      </c>
      <c r="E2394" s="475">
        <v>290000000</v>
      </c>
      <c r="F2394" s="472" t="s">
        <v>2292</v>
      </c>
      <c r="G2394" s="472" t="s">
        <v>2605</v>
      </c>
      <c r="H2394" s="473" t="s">
        <v>1955</v>
      </c>
      <c r="I2394" s="473" t="s">
        <v>1644</v>
      </c>
      <c r="J2394" s="473">
        <v>1</v>
      </c>
      <c r="K2394" s="472" t="s">
        <v>2629</v>
      </c>
    </row>
    <row r="2395" spans="1:11" ht="15.75">
      <c r="A2395" s="937" t="s">
        <v>3919</v>
      </c>
      <c r="B2395" s="455" t="s">
        <v>2182</v>
      </c>
      <c r="C2395" s="578" t="s">
        <v>3920</v>
      </c>
      <c r="D2395" s="472" t="s">
        <v>75</v>
      </c>
      <c r="E2395" s="475">
        <v>350000000</v>
      </c>
      <c r="F2395" s="472" t="s">
        <v>1968</v>
      </c>
      <c r="G2395" s="472" t="s">
        <v>2593</v>
      </c>
      <c r="H2395" s="473" t="s">
        <v>1955</v>
      </c>
      <c r="I2395" s="473" t="s">
        <v>1644</v>
      </c>
      <c r="J2395" s="473">
        <v>1</v>
      </c>
      <c r="K2395" s="472" t="s">
        <v>2629</v>
      </c>
    </row>
    <row r="2396" spans="1:11" ht="15.75">
      <c r="A2396" s="937">
        <v>44902</v>
      </c>
      <c r="B2396" s="640" t="s">
        <v>2182</v>
      </c>
      <c r="C2396" s="472" t="s">
        <v>3921</v>
      </c>
      <c r="D2396" s="472" t="s">
        <v>2661</v>
      </c>
      <c r="E2396" s="475">
        <v>195000000</v>
      </c>
      <c r="F2396" s="472" t="s">
        <v>2292</v>
      </c>
      <c r="G2396" s="472" t="s">
        <v>2605</v>
      </c>
      <c r="H2396" s="473" t="s">
        <v>1955</v>
      </c>
      <c r="I2396" s="473" t="s">
        <v>1644</v>
      </c>
      <c r="J2396" s="473">
        <v>1</v>
      </c>
      <c r="K2396" s="472" t="s">
        <v>2629</v>
      </c>
    </row>
    <row r="2397" spans="1:11" ht="15.75">
      <c r="A2397" s="937">
        <v>44902</v>
      </c>
      <c r="B2397" s="1347" t="s">
        <v>2182</v>
      </c>
      <c r="C2397" s="472" t="s">
        <v>3922</v>
      </c>
      <c r="D2397" s="472" t="s">
        <v>75</v>
      </c>
      <c r="E2397" s="475">
        <v>310000000</v>
      </c>
      <c r="F2397" s="472" t="s">
        <v>1968</v>
      </c>
      <c r="G2397" s="472" t="s">
        <v>2605</v>
      </c>
      <c r="H2397" s="473" t="s">
        <v>1955</v>
      </c>
      <c r="I2397" s="473" t="s">
        <v>1644</v>
      </c>
      <c r="J2397" s="473">
        <v>1</v>
      </c>
      <c r="K2397" s="578" t="s">
        <v>2629</v>
      </c>
    </row>
    <row r="2398" spans="1:11" ht="15.75">
      <c r="A2398" s="393" t="s">
        <v>3917</v>
      </c>
      <c r="B2398" s="1265" t="s">
        <v>2182</v>
      </c>
      <c r="C2398" s="385" t="s">
        <v>3923</v>
      </c>
      <c r="D2398" s="385" t="s">
        <v>2669</v>
      </c>
      <c r="E2398" s="462">
        <v>1550000</v>
      </c>
      <c r="F2398" s="385" t="s">
        <v>2290</v>
      </c>
      <c r="G2398" s="385" t="s">
        <v>2605</v>
      </c>
      <c r="H2398" s="387" t="s">
        <v>1955</v>
      </c>
      <c r="I2398" s="387" t="s">
        <v>1644</v>
      </c>
      <c r="J2398" s="387">
        <v>1</v>
      </c>
      <c r="K2398" s="411" t="s">
        <v>1171</v>
      </c>
    </row>
    <row r="2399" spans="1:11" ht="15.75">
      <c r="A2399" s="393" t="s">
        <v>3917</v>
      </c>
      <c r="B2399" s="381" t="s">
        <v>2182</v>
      </c>
      <c r="C2399" s="381" t="s">
        <v>3924</v>
      </c>
      <c r="D2399" s="381" t="s">
        <v>3235</v>
      </c>
      <c r="E2399" s="451">
        <v>800000</v>
      </c>
      <c r="F2399" s="381" t="s">
        <v>1968</v>
      </c>
      <c r="G2399" s="381" t="s">
        <v>2593</v>
      </c>
      <c r="H2399" s="383" t="s">
        <v>1955</v>
      </c>
      <c r="I2399" s="383" t="s">
        <v>1644</v>
      </c>
      <c r="J2399" s="383">
        <v>1</v>
      </c>
      <c r="K2399" s="381" t="s">
        <v>1245</v>
      </c>
    </row>
    <row r="2400" spans="1:11" ht="15.75">
      <c r="A2400" s="579" t="s">
        <v>3925</v>
      </c>
      <c r="B2400" s="381" t="s">
        <v>2182</v>
      </c>
      <c r="C2400" s="381" t="s">
        <v>3926</v>
      </c>
      <c r="D2400" s="381" t="s">
        <v>3493</v>
      </c>
      <c r="E2400" s="451">
        <v>1900000</v>
      </c>
      <c r="F2400" s="381" t="s">
        <v>2292</v>
      </c>
      <c r="G2400" s="381" t="s">
        <v>2593</v>
      </c>
      <c r="H2400" s="383" t="s">
        <v>1955</v>
      </c>
      <c r="I2400" s="383" t="s">
        <v>1644</v>
      </c>
      <c r="J2400" s="383">
        <v>1</v>
      </c>
      <c r="K2400" s="381" t="s">
        <v>3681</v>
      </c>
    </row>
    <row r="2401" spans="1:11" ht="15.75">
      <c r="A2401" s="579" t="s">
        <v>3919</v>
      </c>
      <c r="B2401" s="381" t="s">
        <v>2182</v>
      </c>
      <c r="C2401" s="381" t="s">
        <v>3927</v>
      </c>
      <c r="D2401" s="381" t="s">
        <v>75</v>
      </c>
      <c r="E2401" s="451">
        <v>1900000</v>
      </c>
      <c r="F2401" s="381" t="s">
        <v>2292</v>
      </c>
      <c r="G2401" s="381" t="s">
        <v>30</v>
      </c>
      <c r="H2401" s="383" t="s">
        <v>1955</v>
      </c>
      <c r="I2401" s="383" t="s">
        <v>1625</v>
      </c>
      <c r="J2401" s="383">
        <v>1</v>
      </c>
      <c r="K2401" s="381" t="s">
        <v>1245</v>
      </c>
    </row>
    <row r="2402" spans="1:11" ht="15.75">
      <c r="A2402" s="579" t="s">
        <v>3919</v>
      </c>
      <c r="B2402" s="381" t="s">
        <v>2182</v>
      </c>
      <c r="C2402" s="381" t="s">
        <v>3928</v>
      </c>
      <c r="D2402" s="381" t="s">
        <v>2573</v>
      </c>
      <c r="E2402" s="451">
        <v>1500000</v>
      </c>
      <c r="F2402" s="381" t="s">
        <v>2292</v>
      </c>
      <c r="G2402" s="381" t="s">
        <v>2605</v>
      </c>
      <c r="H2402" s="383" t="s">
        <v>1955</v>
      </c>
      <c r="I2402" s="383" t="s">
        <v>1644</v>
      </c>
      <c r="J2402" s="383">
        <v>1</v>
      </c>
      <c r="K2402" s="381" t="s">
        <v>1171</v>
      </c>
    </row>
    <row r="2403" spans="1:11" ht="15.75">
      <c r="A2403" s="579">
        <v>44568</v>
      </c>
      <c r="B2403" s="381" t="s">
        <v>2182</v>
      </c>
      <c r="C2403" s="381" t="s">
        <v>3929</v>
      </c>
      <c r="D2403" s="381" t="s">
        <v>2661</v>
      </c>
      <c r="E2403" s="451">
        <v>1200000</v>
      </c>
      <c r="F2403" s="381" t="s">
        <v>2292</v>
      </c>
      <c r="G2403" s="381" t="s">
        <v>2605</v>
      </c>
      <c r="H2403" s="383" t="s">
        <v>1955</v>
      </c>
      <c r="I2403" s="383" t="s">
        <v>1644</v>
      </c>
      <c r="J2403" s="383">
        <v>1</v>
      </c>
      <c r="K2403" s="381" t="s">
        <v>3681</v>
      </c>
    </row>
    <row r="2404" spans="1:11" ht="15.75">
      <c r="A2404" s="579">
        <v>44568</v>
      </c>
      <c r="B2404" s="381" t="s">
        <v>2182</v>
      </c>
      <c r="C2404" s="381" t="s">
        <v>3930</v>
      </c>
      <c r="D2404" s="381" t="s">
        <v>2661</v>
      </c>
      <c r="E2404" s="451">
        <v>1000000</v>
      </c>
      <c r="F2404" s="381" t="s">
        <v>2292</v>
      </c>
      <c r="G2404" s="381" t="s">
        <v>2605</v>
      </c>
      <c r="H2404" s="383" t="s">
        <v>1955</v>
      </c>
      <c r="I2404" s="383" t="s">
        <v>1644</v>
      </c>
      <c r="J2404" s="383">
        <v>1</v>
      </c>
      <c r="K2404" s="381" t="s">
        <v>1245</v>
      </c>
    </row>
    <row r="2405" spans="1:11" ht="15.75">
      <c r="A2405" s="579">
        <v>44688</v>
      </c>
      <c r="B2405" s="381" t="s">
        <v>2182</v>
      </c>
      <c r="C2405" s="381" t="s">
        <v>1388</v>
      </c>
      <c r="D2405" s="381" t="s">
        <v>2669</v>
      </c>
      <c r="E2405" s="451">
        <v>1600000</v>
      </c>
      <c r="F2405" s="381" t="s">
        <v>2292</v>
      </c>
      <c r="G2405" s="381" t="s">
        <v>2605</v>
      </c>
      <c r="H2405" s="383" t="s">
        <v>1955</v>
      </c>
      <c r="I2405" s="383" t="s">
        <v>1644</v>
      </c>
      <c r="J2405" s="383">
        <v>1</v>
      </c>
      <c r="K2405" s="381" t="s">
        <v>1171</v>
      </c>
    </row>
    <row r="2406" spans="1:11" ht="15.75">
      <c r="A2406" s="579">
        <v>44688</v>
      </c>
      <c r="B2406" s="381" t="s">
        <v>2182</v>
      </c>
      <c r="C2406" s="381" t="s">
        <v>1106</v>
      </c>
      <c r="D2406" s="381" t="s">
        <v>2966</v>
      </c>
      <c r="E2406" s="451">
        <v>1400000</v>
      </c>
      <c r="F2406" s="381" t="s">
        <v>2292</v>
      </c>
      <c r="G2406" s="381" t="s">
        <v>2593</v>
      </c>
      <c r="H2406" s="383" t="s">
        <v>1955</v>
      </c>
      <c r="I2406" s="383" t="s">
        <v>1644</v>
      </c>
      <c r="J2406" s="383">
        <v>1</v>
      </c>
      <c r="K2406" s="381" t="s">
        <v>3681</v>
      </c>
    </row>
    <row r="2407" spans="1:11" ht="15.75">
      <c r="A2407" s="579">
        <v>44780</v>
      </c>
      <c r="B2407" s="381" t="s">
        <v>2182</v>
      </c>
      <c r="C2407" s="381" t="s">
        <v>1111</v>
      </c>
      <c r="D2407" s="381" t="s">
        <v>2661</v>
      </c>
      <c r="E2407" s="451">
        <v>1200000</v>
      </c>
      <c r="F2407" s="381" t="s">
        <v>2292</v>
      </c>
      <c r="G2407" s="381" t="s">
        <v>2605</v>
      </c>
      <c r="H2407" s="383" t="s">
        <v>1955</v>
      </c>
      <c r="I2407" s="383" t="s">
        <v>1644</v>
      </c>
      <c r="J2407" s="383">
        <v>1</v>
      </c>
      <c r="K2407" s="381" t="s">
        <v>1171</v>
      </c>
    </row>
    <row r="2408" spans="1:11" ht="15.75">
      <c r="A2408" s="579">
        <v>44902</v>
      </c>
      <c r="B2408" s="381" t="s">
        <v>2182</v>
      </c>
      <c r="C2408" s="381" t="s">
        <v>3922</v>
      </c>
      <c r="D2408" s="381" t="s">
        <v>75</v>
      </c>
      <c r="E2408" s="451">
        <v>1600000</v>
      </c>
      <c r="F2408" s="381" t="s">
        <v>1968</v>
      </c>
      <c r="G2408" s="381" t="s">
        <v>2605</v>
      </c>
      <c r="H2408" s="383" t="s">
        <v>1955</v>
      </c>
      <c r="I2408" s="383" t="s">
        <v>1644</v>
      </c>
      <c r="J2408" s="383">
        <v>1</v>
      </c>
      <c r="K2408" s="381" t="s">
        <v>1245</v>
      </c>
    </row>
    <row r="2409" spans="1:11" ht="15.75">
      <c r="A2409" s="579" t="s">
        <v>3931</v>
      </c>
      <c r="B2409" s="381" t="s">
        <v>2182</v>
      </c>
      <c r="C2409" s="381" t="s">
        <v>1108</v>
      </c>
      <c r="D2409" s="381" t="s">
        <v>2770</v>
      </c>
      <c r="E2409" s="451">
        <v>1400000</v>
      </c>
      <c r="F2409" s="381" t="s">
        <v>2292</v>
      </c>
      <c r="G2409" s="381" t="s">
        <v>2605</v>
      </c>
      <c r="H2409" s="383" t="s">
        <v>1955</v>
      </c>
      <c r="I2409" s="383" t="s">
        <v>1625</v>
      </c>
      <c r="J2409" s="383">
        <v>1</v>
      </c>
      <c r="K2409" s="381" t="s">
        <v>3681</v>
      </c>
    </row>
    <row r="2410" spans="1:11" ht="15.75">
      <c r="A2410" s="579" t="s">
        <v>3932</v>
      </c>
      <c r="B2410" s="381" t="s">
        <v>2182</v>
      </c>
      <c r="C2410" s="381" t="s">
        <v>1109</v>
      </c>
      <c r="D2410" s="381" t="s">
        <v>2966</v>
      </c>
      <c r="E2410" s="451">
        <v>1500000</v>
      </c>
      <c r="F2410" s="381" t="s">
        <v>2292</v>
      </c>
      <c r="G2410" s="381" t="s">
        <v>30</v>
      </c>
      <c r="H2410" s="383" t="s">
        <v>1955</v>
      </c>
      <c r="I2410" s="383" t="s">
        <v>1644</v>
      </c>
      <c r="J2410" s="383">
        <v>1</v>
      </c>
      <c r="K2410" s="381" t="s">
        <v>1245</v>
      </c>
    </row>
    <row r="2411" spans="1:11" ht="15.75">
      <c r="A2411" s="579" t="s">
        <v>3933</v>
      </c>
      <c r="B2411" s="381" t="s">
        <v>2182</v>
      </c>
      <c r="C2411" s="381" t="s">
        <v>1114</v>
      </c>
      <c r="D2411" s="381" t="s">
        <v>2966</v>
      </c>
      <c r="E2411" s="451">
        <v>1500000</v>
      </c>
      <c r="F2411" s="381" t="s">
        <v>2292</v>
      </c>
      <c r="G2411" s="381" t="s">
        <v>2593</v>
      </c>
      <c r="H2411" s="383" t="s">
        <v>1955</v>
      </c>
      <c r="I2411" s="383" t="s">
        <v>1644</v>
      </c>
      <c r="J2411" s="383">
        <v>1</v>
      </c>
      <c r="K2411" s="381" t="s">
        <v>1245</v>
      </c>
    </row>
    <row r="2412" spans="1:11" ht="15.75">
      <c r="A2412" s="579" t="s">
        <v>3934</v>
      </c>
      <c r="B2412" s="381" t="s">
        <v>2182</v>
      </c>
      <c r="C2412" s="381" t="s">
        <v>1110</v>
      </c>
      <c r="D2412" s="381" t="s">
        <v>2659</v>
      </c>
      <c r="E2412" s="451">
        <v>1200000</v>
      </c>
      <c r="F2412" s="381" t="s">
        <v>2292</v>
      </c>
      <c r="G2412" s="381" t="s">
        <v>30</v>
      </c>
      <c r="H2412" s="383" t="s">
        <v>1955</v>
      </c>
      <c r="I2412" s="383" t="s">
        <v>1644</v>
      </c>
      <c r="J2412" s="383">
        <v>1</v>
      </c>
      <c r="K2412" s="381" t="s">
        <v>1171</v>
      </c>
    </row>
    <row r="2413" spans="1:11" ht="15.75">
      <c r="A2413" s="579" t="s">
        <v>3934</v>
      </c>
      <c r="B2413" s="381" t="s">
        <v>2060</v>
      </c>
      <c r="C2413" s="381" t="s">
        <v>3935</v>
      </c>
      <c r="D2413" s="381" t="s">
        <v>2347</v>
      </c>
      <c r="E2413" s="451">
        <v>2200000</v>
      </c>
      <c r="F2413" s="381" t="s">
        <v>1968</v>
      </c>
      <c r="G2413" s="381" t="s">
        <v>30</v>
      </c>
      <c r="H2413" s="383" t="s">
        <v>1955</v>
      </c>
      <c r="I2413" s="383" t="s">
        <v>1644</v>
      </c>
      <c r="J2413" s="383">
        <v>1</v>
      </c>
      <c r="K2413" s="381" t="s">
        <v>1245</v>
      </c>
    </row>
    <row r="2414" spans="1:11" ht="15.75">
      <c r="A2414" s="579" t="s">
        <v>3936</v>
      </c>
      <c r="B2414" s="381" t="s">
        <v>2182</v>
      </c>
      <c r="C2414" s="381" t="s">
        <v>3937</v>
      </c>
      <c r="D2414" s="381" t="s">
        <v>3189</v>
      </c>
      <c r="E2414" s="451">
        <v>1700000</v>
      </c>
      <c r="F2414" s="381" t="s">
        <v>1968</v>
      </c>
      <c r="G2414" s="381" t="s">
        <v>2593</v>
      </c>
      <c r="H2414" s="383" t="s">
        <v>1955</v>
      </c>
      <c r="I2414" s="383" t="s">
        <v>1644</v>
      </c>
      <c r="J2414" s="383">
        <v>1</v>
      </c>
      <c r="K2414" s="381" t="s">
        <v>1171</v>
      </c>
    </row>
    <row r="2415" spans="1:11" ht="15.75">
      <c r="A2415" s="579" t="s">
        <v>3936</v>
      </c>
      <c r="B2415" s="381" t="s">
        <v>2182</v>
      </c>
      <c r="C2415" s="381" t="s">
        <v>3938</v>
      </c>
      <c r="D2415" s="381" t="s">
        <v>2326</v>
      </c>
      <c r="E2415" s="451">
        <v>1100000</v>
      </c>
      <c r="F2415" s="381" t="s">
        <v>2292</v>
      </c>
      <c r="G2415" s="381" t="s">
        <v>2605</v>
      </c>
      <c r="H2415" s="383" t="s">
        <v>1955</v>
      </c>
      <c r="I2415" s="383" t="s">
        <v>1644</v>
      </c>
      <c r="J2415" s="383">
        <v>1</v>
      </c>
      <c r="K2415" s="381" t="s">
        <v>1245</v>
      </c>
    </row>
    <row r="2416" spans="1:11" ht="15.75">
      <c r="A2416" s="744" t="s">
        <v>3939</v>
      </c>
      <c r="B2416" s="381" t="s">
        <v>2182</v>
      </c>
      <c r="C2416" s="381" t="s">
        <v>3940</v>
      </c>
      <c r="D2416" s="381" t="s">
        <v>3493</v>
      </c>
      <c r="E2416" s="451">
        <v>1900000</v>
      </c>
      <c r="F2416" s="381" t="s">
        <v>2292</v>
      </c>
      <c r="G2416" s="381" t="s">
        <v>2605</v>
      </c>
      <c r="H2416" s="383" t="s">
        <v>1955</v>
      </c>
      <c r="I2416" s="383" t="s">
        <v>1644</v>
      </c>
      <c r="J2416" s="383">
        <v>1</v>
      </c>
      <c r="K2416" s="381" t="s">
        <v>1245</v>
      </c>
    </row>
    <row r="2417" spans="1:11" ht="15.75">
      <c r="A2417" s="393" t="s">
        <v>3941</v>
      </c>
      <c r="B2417" s="610" t="s">
        <v>2182</v>
      </c>
      <c r="C2417" s="482" t="s">
        <v>1254</v>
      </c>
      <c r="D2417" s="482" t="s">
        <v>2966</v>
      </c>
      <c r="E2417" s="483">
        <v>1500000</v>
      </c>
      <c r="F2417" s="482" t="s">
        <v>2292</v>
      </c>
      <c r="G2417" s="482" t="s">
        <v>2593</v>
      </c>
      <c r="H2417" s="484" t="s">
        <v>1955</v>
      </c>
      <c r="I2417" s="484" t="s">
        <v>1644</v>
      </c>
      <c r="J2417" s="484">
        <v>1</v>
      </c>
      <c r="K2417" s="482" t="s">
        <v>3681</v>
      </c>
    </row>
    <row r="2418" spans="1:11" ht="15.75">
      <c r="A2418" s="456"/>
      <c r="B2418" s="457"/>
      <c r="C2418" s="457"/>
      <c r="D2418" s="457"/>
      <c r="E2418" s="476"/>
      <c r="F2418" s="457"/>
      <c r="G2418" s="457"/>
      <c r="H2418" s="153"/>
      <c r="I2418" s="153"/>
      <c r="J2418" s="493">
        <f>SUM(J2394:J2417)</f>
        <v>24</v>
      </c>
      <c r="K2418" s="457"/>
    </row>
    <row r="2419" spans="1:11" ht="15.75">
      <c r="A2419" s="394"/>
      <c r="B2419" s="395"/>
      <c r="C2419" s="395"/>
      <c r="D2419" s="395"/>
      <c r="E2419" s="396"/>
      <c r="F2419" s="397"/>
      <c r="G2419" s="397"/>
      <c r="H2419" s="395"/>
      <c r="I2419" s="395"/>
      <c r="J2419" s="395"/>
      <c r="K2419" s="395"/>
    </row>
    <row r="2420" spans="1:11" ht="15.75">
      <c r="A2420" s="394"/>
      <c r="B2420" s="395"/>
      <c r="C2420" s="395"/>
      <c r="D2420" s="395"/>
      <c r="E2420" s="396"/>
      <c r="F2420" s="397"/>
      <c r="G2420" s="397"/>
      <c r="H2420" s="395"/>
      <c r="I2420" s="395"/>
      <c r="J2420" s="395"/>
      <c r="K2420" s="395"/>
    </row>
    <row r="2422" spans="1:11" ht="26.25">
      <c r="A2422" s="1668" t="s">
        <v>3942</v>
      </c>
      <c r="B2422" s="1669"/>
      <c r="C2422" s="1669"/>
      <c r="D2422" s="1669"/>
      <c r="E2422" s="1669"/>
      <c r="F2422" s="1669"/>
      <c r="G2422" s="1669"/>
      <c r="H2422" s="1669"/>
      <c r="I2422" s="1669"/>
      <c r="J2422" s="1669"/>
      <c r="K2422" s="1670"/>
    </row>
    <row r="2423" spans="1:11" ht="30.75">
      <c r="A2423" s="378" t="s">
        <v>1941</v>
      </c>
      <c r="B2423" s="378" t="s">
        <v>1942</v>
      </c>
      <c r="C2423" s="378" t="s">
        <v>1943</v>
      </c>
      <c r="D2423" s="378" t="s">
        <v>1944</v>
      </c>
      <c r="E2423" s="452" t="s">
        <v>1945</v>
      </c>
      <c r="F2423" s="378" t="s">
        <v>1946</v>
      </c>
      <c r="G2423" s="378" t="s">
        <v>2590</v>
      </c>
      <c r="H2423" s="378" t="s">
        <v>1947</v>
      </c>
      <c r="I2423" s="378" t="s">
        <v>1948</v>
      </c>
      <c r="J2423" s="453" t="s">
        <v>1949</v>
      </c>
      <c r="K2423" s="378" t="s">
        <v>1950</v>
      </c>
    </row>
    <row r="2424" spans="1:11" ht="15.75">
      <c r="A2424" s="922" t="s">
        <v>3919</v>
      </c>
      <c r="B2424" s="618" t="s">
        <v>2182</v>
      </c>
      <c r="C2424" s="472" t="s">
        <v>1127</v>
      </c>
      <c r="D2424" s="472" t="s">
        <v>75</v>
      </c>
      <c r="E2424" s="475">
        <v>450000000</v>
      </c>
      <c r="F2424" s="472" t="s">
        <v>1968</v>
      </c>
      <c r="G2424" s="472" t="s">
        <v>30</v>
      </c>
      <c r="H2424" s="473" t="s">
        <v>1955</v>
      </c>
      <c r="I2424" s="473" t="s">
        <v>1644</v>
      </c>
      <c r="J2424" s="473">
        <v>1</v>
      </c>
      <c r="K2424" s="472" t="s">
        <v>2629</v>
      </c>
    </row>
    <row r="2425" spans="1:11" ht="15.75">
      <c r="A2425" s="922">
        <v>44688</v>
      </c>
      <c r="B2425" s="618" t="s">
        <v>2182</v>
      </c>
      <c r="C2425" s="578" t="s">
        <v>3943</v>
      </c>
      <c r="D2425" s="472" t="s">
        <v>2326</v>
      </c>
      <c r="E2425" s="475">
        <v>173000000</v>
      </c>
      <c r="F2425" s="472" t="s">
        <v>1968</v>
      </c>
      <c r="G2425" s="472" t="s">
        <v>30</v>
      </c>
      <c r="H2425" s="473" t="s">
        <v>1955</v>
      </c>
      <c r="I2425" s="473" t="s">
        <v>1644</v>
      </c>
      <c r="J2425" s="473">
        <v>1</v>
      </c>
      <c r="K2425" s="472" t="s">
        <v>2629</v>
      </c>
    </row>
    <row r="2426" spans="1:11" ht="15.75">
      <c r="A2426" s="611">
        <v>44872</v>
      </c>
      <c r="B2426" s="472" t="s">
        <v>2182</v>
      </c>
      <c r="C2426" s="472" t="s">
        <v>3944</v>
      </c>
      <c r="D2426" s="472" t="s">
        <v>2711</v>
      </c>
      <c r="E2426" s="475">
        <v>280000000</v>
      </c>
      <c r="F2426" s="472" t="s">
        <v>2292</v>
      </c>
      <c r="G2426" s="472" t="s">
        <v>2593</v>
      </c>
      <c r="H2426" s="473" t="s">
        <v>1955</v>
      </c>
      <c r="I2426" s="473" t="s">
        <v>1644</v>
      </c>
      <c r="J2426" s="473">
        <v>1</v>
      </c>
      <c r="K2426" s="472" t="s">
        <v>2629</v>
      </c>
    </row>
    <row r="2427" spans="1:11" ht="15.75">
      <c r="A2427" s="384" t="s">
        <v>3917</v>
      </c>
      <c r="B2427" s="577" t="s">
        <v>2182</v>
      </c>
      <c r="C2427" s="385" t="s">
        <v>3945</v>
      </c>
      <c r="D2427" s="385" t="s">
        <v>2326</v>
      </c>
      <c r="E2427" s="462">
        <v>1000000</v>
      </c>
      <c r="F2427" s="385" t="s">
        <v>2290</v>
      </c>
      <c r="G2427" s="385" t="s">
        <v>2593</v>
      </c>
      <c r="H2427" s="387" t="s">
        <v>1955</v>
      </c>
      <c r="I2427" s="387" t="s">
        <v>1644</v>
      </c>
      <c r="J2427" s="387">
        <v>1</v>
      </c>
      <c r="K2427" s="385" t="s">
        <v>1171</v>
      </c>
    </row>
    <row r="2428" spans="1:11" ht="15.75">
      <c r="A2428" s="384" t="s">
        <v>3917</v>
      </c>
      <c r="B2428" s="577" t="s">
        <v>2182</v>
      </c>
      <c r="C2428" s="426" t="s">
        <v>1125</v>
      </c>
      <c r="D2428" s="385" t="s">
        <v>2326</v>
      </c>
      <c r="E2428" s="462">
        <v>1250000</v>
      </c>
      <c r="F2428" s="385" t="s">
        <v>2292</v>
      </c>
      <c r="G2428" s="385" t="s">
        <v>2605</v>
      </c>
      <c r="H2428" s="387" t="s">
        <v>1955</v>
      </c>
      <c r="I2428" s="387" t="s">
        <v>1644</v>
      </c>
      <c r="J2428" s="387">
        <v>1</v>
      </c>
      <c r="K2428" s="385" t="s">
        <v>1245</v>
      </c>
    </row>
    <row r="2429" spans="1:11" ht="15.75">
      <c r="A2429" s="384">
        <v>44719</v>
      </c>
      <c r="B2429" s="577" t="s">
        <v>2182</v>
      </c>
      <c r="C2429" s="426" t="s">
        <v>1123</v>
      </c>
      <c r="D2429" s="385" t="s">
        <v>3059</v>
      </c>
      <c r="E2429" s="462">
        <v>1700000</v>
      </c>
      <c r="F2429" s="385" t="s">
        <v>2292</v>
      </c>
      <c r="G2429" s="385" t="s">
        <v>2593</v>
      </c>
      <c r="H2429" s="387" t="s">
        <v>1955</v>
      </c>
      <c r="I2429" s="387" t="s">
        <v>1644</v>
      </c>
      <c r="J2429" s="387">
        <v>1</v>
      </c>
      <c r="K2429" s="385" t="s">
        <v>3681</v>
      </c>
    </row>
    <row r="2430" spans="1:11" ht="15.75">
      <c r="A2430" s="412">
        <v>44719</v>
      </c>
      <c r="B2430" s="381" t="s">
        <v>1966</v>
      </c>
      <c r="C2430" s="426" t="s">
        <v>3946</v>
      </c>
      <c r="D2430" s="385" t="s">
        <v>2845</v>
      </c>
      <c r="E2430" s="462">
        <v>3100000</v>
      </c>
      <c r="F2430" s="385" t="s">
        <v>1968</v>
      </c>
      <c r="G2430" s="385" t="s">
        <v>2593</v>
      </c>
      <c r="H2430" s="387" t="s">
        <v>1955</v>
      </c>
      <c r="I2430" s="387" t="s">
        <v>1644</v>
      </c>
      <c r="J2430" s="387">
        <v>1</v>
      </c>
      <c r="K2430" s="385" t="s">
        <v>1171</v>
      </c>
    </row>
    <row r="2431" spans="1:11" ht="15.75">
      <c r="A2431" s="412">
        <v>44719</v>
      </c>
      <c r="B2431" s="381" t="s">
        <v>2182</v>
      </c>
      <c r="C2431" s="426" t="s">
        <v>1129</v>
      </c>
      <c r="D2431" s="385" t="s">
        <v>2711</v>
      </c>
      <c r="E2431" s="462">
        <v>1150000</v>
      </c>
      <c r="F2431" s="385" t="s">
        <v>2292</v>
      </c>
      <c r="G2431" s="385" t="s">
        <v>2593</v>
      </c>
      <c r="H2431" s="387" t="s">
        <v>1955</v>
      </c>
      <c r="I2431" s="387" t="s">
        <v>1644</v>
      </c>
      <c r="J2431" s="387">
        <v>1</v>
      </c>
      <c r="K2431" s="385" t="s">
        <v>1245</v>
      </c>
    </row>
    <row r="2432" spans="1:11" ht="15.75">
      <c r="A2432" s="412">
        <v>44719</v>
      </c>
      <c r="B2432" s="381" t="s">
        <v>2182</v>
      </c>
      <c r="C2432" s="426" t="s">
        <v>3947</v>
      </c>
      <c r="D2432" s="385" t="s">
        <v>2711</v>
      </c>
      <c r="E2432" s="462">
        <v>1000000</v>
      </c>
      <c r="F2432" s="385" t="s">
        <v>2292</v>
      </c>
      <c r="G2432" s="385" t="s">
        <v>2593</v>
      </c>
      <c r="H2432" s="387" t="s">
        <v>1955</v>
      </c>
      <c r="I2432" s="387" t="s">
        <v>1644</v>
      </c>
      <c r="J2432" s="387">
        <v>1</v>
      </c>
      <c r="K2432" s="385" t="s">
        <v>3681</v>
      </c>
    </row>
    <row r="2433" spans="1:11" ht="15.75">
      <c r="A2433" s="928">
        <v>44719</v>
      </c>
      <c r="B2433" s="420" t="s">
        <v>2182</v>
      </c>
      <c r="C2433" s="743" t="s">
        <v>3948</v>
      </c>
      <c r="D2433" s="633" t="s">
        <v>3723</v>
      </c>
      <c r="E2433" s="644">
        <v>1050000</v>
      </c>
      <c r="F2433" s="633" t="s">
        <v>1968</v>
      </c>
      <c r="G2433" s="633" t="s">
        <v>2593</v>
      </c>
      <c r="H2433" s="635" t="s">
        <v>1955</v>
      </c>
      <c r="I2433" s="635" t="s">
        <v>1644</v>
      </c>
      <c r="J2433" s="387">
        <v>1</v>
      </c>
      <c r="K2433" s="385" t="s">
        <v>1171</v>
      </c>
    </row>
    <row r="2434" spans="1:11" ht="15.75">
      <c r="A2434" s="928">
        <v>44780</v>
      </c>
      <c r="B2434" s="420" t="s">
        <v>2182</v>
      </c>
      <c r="C2434" s="743" t="s">
        <v>1127</v>
      </c>
      <c r="D2434" s="633" t="s">
        <v>75</v>
      </c>
      <c r="E2434" s="644">
        <v>2300000</v>
      </c>
      <c r="F2434" s="633" t="s">
        <v>2292</v>
      </c>
      <c r="G2434" s="633" t="s">
        <v>30</v>
      </c>
      <c r="H2434" s="635" t="s">
        <v>1955</v>
      </c>
      <c r="I2434" s="635" t="s">
        <v>1644</v>
      </c>
      <c r="J2434" s="387">
        <v>1</v>
      </c>
      <c r="K2434" s="385" t="s">
        <v>1245</v>
      </c>
    </row>
    <row r="2435" spans="1:11" ht="15.75">
      <c r="A2435" s="928">
        <v>44780</v>
      </c>
      <c r="B2435" s="420" t="s">
        <v>2182</v>
      </c>
      <c r="C2435" s="743" t="s">
        <v>3949</v>
      </c>
      <c r="D2435" s="633" t="s">
        <v>2326</v>
      </c>
      <c r="E2435" s="644">
        <v>1100000</v>
      </c>
      <c r="F2435" s="633" t="s">
        <v>2292</v>
      </c>
      <c r="G2435" s="633" t="s">
        <v>2593</v>
      </c>
      <c r="H2435" s="635" t="s">
        <v>1955</v>
      </c>
      <c r="I2435" s="635" t="s">
        <v>1644</v>
      </c>
      <c r="J2435" s="387">
        <v>1</v>
      </c>
      <c r="K2435" s="385" t="s">
        <v>3681</v>
      </c>
    </row>
    <row r="2436" spans="1:11" ht="15.75">
      <c r="A2436" s="924">
        <v>44872</v>
      </c>
      <c r="B2436" s="426" t="s">
        <v>2182</v>
      </c>
      <c r="C2436" s="385" t="s">
        <v>3950</v>
      </c>
      <c r="D2436" s="385" t="s">
        <v>2711</v>
      </c>
      <c r="E2436" s="462">
        <v>900000</v>
      </c>
      <c r="F2436" s="385" t="s">
        <v>2292</v>
      </c>
      <c r="G2436" s="385" t="s">
        <v>2593</v>
      </c>
      <c r="H2436" s="387" t="s">
        <v>1955</v>
      </c>
      <c r="I2436" s="387" t="s">
        <v>1644</v>
      </c>
      <c r="J2436" s="387">
        <v>1</v>
      </c>
      <c r="K2436" s="385" t="s">
        <v>1171</v>
      </c>
    </row>
    <row r="2437" spans="1:11" ht="15.75">
      <c r="A2437" s="924">
        <v>44872</v>
      </c>
      <c r="B2437" s="426" t="s">
        <v>2182</v>
      </c>
      <c r="C2437" s="385" t="s">
        <v>2040</v>
      </c>
      <c r="D2437" s="385" t="s">
        <v>3059</v>
      </c>
      <c r="E2437" s="462">
        <v>1600000</v>
      </c>
      <c r="F2437" s="385" t="s">
        <v>1968</v>
      </c>
      <c r="G2437" s="385" t="s">
        <v>2593</v>
      </c>
      <c r="H2437" s="387" t="s">
        <v>1955</v>
      </c>
      <c r="I2437" s="387" t="s">
        <v>1644</v>
      </c>
      <c r="J2437" s="387">
        <v>1</v>
      </c>
      <c r="K2437" s="385" t="s">
        <v>1245</v>
      </c>
    </row>
    <row r="2438" spans="1:11" ht="15.75">
      <c r="A2438" s="412">
        <v>44872</v>
      </c>
      <c r="B2438" s="381" t="s">
        <v>2182</v>
      </c>
      <c r="C2438" s="381" t="s">
        <v>3951</v>
      </c>
      <c r="D2438" s="381" t="s">
        <v>3059</v>
      </c>
      <c r="E2438" s="451">
        <v>1350000</v>
      </c>
      <c r="F2438" s="381" t="s">
        <v>2292</v>
      </c>
      <c r="G2438" s="381" t="s">
        <v>2593</v>
      </c>
      <c r="H2438" s="383" t="s">
        <v>1955</v>
      </c>
      <c r="I2438" s="383" t="s">
        <v>1644</v>
      </c>
      <c r="J2438" s="383">
        <v>1</v>
      </c>
      <c r="K2438" s="381" t="s">
        <v>3681</v>
      </c>
    </row>
    <row r="2439" spans="1:11" ht="15.75">
      <c r="A2439" s="412">
        <v>44872</v>
      </c>
      <c r="B2439" s="381" t="s">
        <v>2182</v>
      </c>
      <c r="C2439" s="381" t="s">
        <v>3952</v>
      </c>
      <c r="D2439" s="381" t="s">
        <v>2711</v>
      </c>
      <c r="E2439" s="451">
        <v>1650000</v>
      </c>
      <c r="F2439" s="381" t="s">
        <v>2292</v>
      </c>
      <c r="G2439" s="381" t="s">
        <v>2593</v>
      </c>
      <c r="H2439" s="383" t="s">
        <v>1955</v>
      </c>
      <c r="I2439" s="383" t="s">
        <v>1644</v>
      </c>
      <c r="J2439" s="383">
        <v>1</v>
      </c>
      <c r="K2439" s="381" t="s">
        <v>1171</v>
      </c>
    </row>
    <row r="2440" spans="1:11" ht="15.75">
      <c r="A2440" s="928" t="s">
        <v>3953</v>
      </c>
      <c r="B2440" s="420" t="s">
        <v>2182</v>
      </c>
      <c r="C2440" s="1303" t="s">
        <v>1128</v>
      </c>
      <c r="D2440" s="1304" t="s">
        <v>75</v>
      </c>
      <c r="E2440" s="1305">
        <v>1700000</v>
      </c>
      <c r="F2440" s="1304" t="s">
        <v>2292</v>
      </c>
      <c r="G2440" s="1304" t="s">
        <v>30</v>
      </c>
      <c r="H2440" s="1306" t="s">
        <v>1955</v>
      </c>
      <c r="I2440" s="1306" t="s">
        <v>1644</v>
      </c>
      <c r="J2440" s="484">
        <v>1</v>
      </c>
      <c r="K2440" s="482" t="s">
        <v>1245</v>
      </c>
    </row>
    <row r="2441" spans="1:11" ht="15.75">
      <c r="A2441" s="928" t="s">
        <v>3931</v>
      </c>
      <c r="B2441" s="420" t="s">
        <v>2182</v>
      </c>
      <c r="C2441" s="743" t="s">
        <v>3954</v>
      </c>
      <c r="D2441" s="633" t="s">
        <v>3955</v>
      </c>
      <c r="E2441" s="644">
        <v>1100000</v>
      </c>
      <c r="F2441" s="633" t="s">
        <v>1968</v>
      </c>
      <c r="G2441" s="633" t="s">
        <v>2593</v>
      </c>
      <c r="H2441" s="635" t="s">
        <v>1955</v>
      </c>
      <c r="I2441" s="635" t="s">
        <v>1644</v>
      </c>
      <c r="J2441" s="387">
        <v>1</v>
      </c>
      <c r="K2441" s="385" t="s">
        <v>3681</v>
      </c>
    </row>
    <row r="2442" spans="1:11" ht="15.75">
      <c r="A2442" s="928" t="s">
        <v>3931</v>
      </c>
      <c r="B2442" s="420" t="s">
        <v>2182</v>
      </c>
      <c r="C2442" s="743" t="s">
        <v>3956</v>
      </c>
      <c r="D2442" s="633" t="s">
        <v>3955</v>
      </c>
      <c r="E2442" s="644">
        <v>750000</v>
      </c>
      <c r="F2442" s="633" t="s">
        <v>1968</v>
      </c>
      <c r="G2442" s="633" t="s">
        <v>2593</v>
      </c>
      <c r="H2442" s="635" t="s">
        <v>1955</v>
      </c>
      <c r="I2442" s="635" t="s">
        <v>1644</v>
      </c>
      <c r="J2442" s="387">
        <v>1</v>
      </c>
      <c r="K2442" s="385" t="s">
        <v>1171</v>
      </c>
    </row>
    <row r="2443" spans="1:11" ht="15.75">
      <c r="A2443" s="928" t="s">
        <v>3933</v>
      </c>
      <c r="B2443" s="420" t="s">
        <v>2182</v>
      </c>
      <c r="C2443" s="743" t="s">
        <v>3957</v>
      </c>
      <c r="D2443" s="633" t="s">
        <v>2347</v>
      </c>
      <c r="E2443" s="644">
        <v>1650000</v>
      </c>
      <c r="F2443" s="633" t="s">
        <v>2292</v>
      </c>
      <c r="G2443" s="633" t="s">
        <v>2593</v>
      </c>
      <c r="H2443" s="635" t="s">
        <v>1955</v>
      </c>
      <c r="I2443" s="635" t="s">
        <v>1644</v>
      </c>
      <c r="J2443" s="387">
        <v>1</v>
      </c>
      <c r="K2443" s="385" t="s">
        <v>3681</v>
      </c>
    </row>
    <row r="2444" spans="1:11" ht="15.75">
      <c r="A2444" s="928" t="s">
        <v>3934</v>
      </c>
      <c r="B2444" s="420" t="s">
        <v>2182</v>
      </c>
      <c r="C2444" s="743" t="s">
        <v>2619</v>
      </c>
      <c r="D2444" s="633" t="s">
        <v>2326</v>
      </c>
      <c r="E2444" s="644">
        <v>1100000</v>
      </c>
      <c r="F2444" s="633" t="s">
        <v>2292</v>
      </c>
      <c r="G2444" s="633" t="s">
        <v>2593</v>
      </c>
      <c r="H2444" s="635" t="s">
        <v>1955</v>
      </c>
      <c r="I2444" s="635" t="s">
        <v>1644</v>
      </c>
      <c r="J2444" s="387">
        <v>1</v>
      </c>
      <c r="K2444" s="385" t="s">
        <v>1171</v>
      </c>
    </row>
    <row r="2445" spans="1:11" ht="15.75">
      <c r="A2445" s="928" t="s">
        <v>3934</v>
      </c>
      <c r="B2445" s="420" t="s">
        <v>2182</v>
      </c>
      <c r="C2445" s="743" t="s">
        <v>3958</v>
      </c>
      <c r="D2445" s="633" t="s">
        <v>2326</v>
      </c>
      <c r="E2445" s="644">
        <v>1200000</v>
      </c>
      <c r="F2445" s="633" t="s">
        <v>2292</v>
      </c>
      <c r="G2445" s="633" t="s">
        <v>2593</v>
      </c>
      <c r="H2445" s="635" t="s">
        <v>1955</v>
      </c>
      <c r="I2445" s="635" t="s">
        <v>1644</v>
      </c>
      <c r="J2445" s="387">
        <v>1</v>
      </c>
      <c r="K2445" s="385" t="s">
        <v>1245</v>
      </c>
    </row>
    <row r="2446" spans="1:11" ht="15.75">
      <c r="A2446" s="928" t="s">
        <v>3941</v>
      </c>
      <c r="B2446" s="420" t="s">
        <v>2182</v>
      </c>
      <c r="C2446" s="743" t="s">
        <v>1131</v>
      </c>
      <c r="D2446" s="633" t="s">
        <v>2711</v>
      </c>
      <c r="E2446" s="644">
        <v>1650000</v>
      </c>
      <c r="F2446" s="633" t="s">
        <v>2292</v>
      </c>
      <c r="G2446" s="633" t="s">
        <v>2593</v>
      </c>
      <c r="H2446" s="635" t="s">
        <v>1955</v>
      </c>
      <c r="I2446" s="635" t="s">
        <v>1644</v>
      </c>
      <c r="J2446" s="387">
        <v>1</v>
      </c>
      <c r="K2446" s="385" t="s">
        <v>1171</v>
      </c>
    </row>
    <row r="2447" spans="1:11" ht="15.75">
      <c r="A2447" s="419"/>
      <c r="B2447" s="420"/>
      <c r="C2447" s="457"/>
      <c r="D2447" s="457"/>
      <c r="E2447" s="458"/>
      <c r="F2447" s="457"/>
      <c r="G2447" s="457"/>
      <c r="H2447" s="457"/>
      <c r="I2447" s="457"/>
      <c r="J2447" s="493">
        <f>SUM(J2424:J2446)</f>
        <v>23</v>
      </c>
      <c r="K2447" s="457"/>
    </row>
    <row r="2449" spans="1:11" ht="21.75" customHeight="1"/>
    <row r="2450" spans="1:11" ht="26.25">
      <c r="A2450" s="1668" t="s">
        <v>3959</v>
      </c>
      <c r="B2450" s="1669"/>
      <c r="C2450" s="1669"/>
      <c r="D2450" s="1669"/>
      <c r="E2450" s="1669"/>
      <c r="F2450" s="1669"/>
      <c r="G2450" s="1669"/>
      <c r="H2450" s="1669"/>
      <c r="I2450" s="1669"/>
      <c r="J2450" s="1669"/>
      <c r="K2450" s="1670"/>
    </row>
    <row r="2451" spans="1:11" ht="30.75">
      <c r="A2451" s="375" t="s">
        <v>1941</v>
      </c>
      <c r="B2451" s="378" t="s">
        <v>1942</v>
      </c>
      <c r="C2451" s="378" t="s">
        <v>1943</v>
      </c>
      <c r="D2451" s="378" t="s">
        <v>1944</v>
      </c>
      <c r="E2451" s="452" t="s">
        <v>1945</v>
      </c>
      <c r="F2451" s="378" t="s">
        <v>1946</v>
      </c>
      <c r="G2451" s="378" t="s">
        <v>2590</v>
      </c>
      <c r="H2451" s="378" t="s">
        <v>1947</v>
      </c>
      <c r="I2451" s="378" t="s">
        <v>1948</v>
      </c>
      <c r="J2451" s="453" t="s">
        <v>1949</v>
      </c>
      <c r="K2451" s="378" t="s">
        <v>1950</v>
      </c>
    </row>
    <row r="2452" spans="1:11" ht="15.75">
      <c r="A2452" s="1068">
        <v>44872</v>
      </c>
      <c r="B2452" s="1069" t="s">
        <v>2182</v>
      </c>
      <c r="C2452" s="1070" t="s">
        <v>3960</v>
      </c>
      <c r="D2452" s="1071" t="s">
        <v>2661</v>
      </c>
      <c r="E2452" s="1072">
        <v>205000000</v>
      </c>
      <c r="F2452" s="1073" t="s">
        <v>1968</v>
      </c>
      <c r="G2452" s="1073" t="s">
        <v>2593</v>
      </c>
      <c r="H2452" s="1074" t="s">
        <v>1955</v>
      </c>
      <c r="I2452" s="1074" t="s">
        <v>1644</v>
      </c>
      <c r="J2452" s="1074">
        <v>1</v>
      </c>
      <c r="K2452" s="1073" t="s">
        <v>2629</v>
      </c>
    </row>
    <row r="2453" spans="1:11" ht="15.75">
      <c r="A2453" s="1068">
        <v>44872</v>
      </c>
      <c r="B2453" s="1069" t="s">
        <v>2182</v>
      </c>
      <c r="C2453" s="1070" t="s">
        <v>3961</v>
      </c>
      <c r="D2453" s="1071" t="s">
        <v>3867</v>
      </c>
      <c r="E2453" s="1072">
        <v>225000000</v>
      </c>
      <c r="F2453" s="1073" t="s">
        <v>1968</v>
      </c>
      <c r="G2453" s="1073" t="s">
        <v>2593</v>
      </c>
      <c r="H2453" s="1074" t="s">
        <v>1955</v>
      </c>
      <c r="I2453" s="1074" t="s">
        <v>1644</v>
      </c>
      <c r="J2453" s="1074">
        <v>1</v>
      </c>
      <c r="K2453" s="1073" t="s">
        <v>2629</v>
      </c>
    </row>
    <row r="2454" spans="1:11" ht="15.75">
      <c r="A2454" s="1068">
        <v>44872</v>
      </c>
      <c r="B2454" s="1069" t="s">
        <v>1966</v>
      </c>
      <c r="C2454" s="1070" t="s">
        <v>3962</v>
      </c>
      <c r="D2454" s="1071" t="s">
        <v>2576</v>
      </c>
      <c r="E2454" s="1072">
        <v>230000000</v>
      </c>
      <c r="F2454" s="1073" t="s">
        <v>2292</v>
      </c>
      <c r="G2454" s="1073" t="s">
        <v>2593</v>
      </c>
      <c r="H2454" s="1074" t="s">
        <v>1955</v>
      </c>
      <c r="I2454" s="1074" t="s">
        <v>1644</v>
      </c>
      <c r="J2454" s="1074">
        <v>1</v>
      </c>
      <c r="K2454" s="1073" t="s">
        <v>2629</v>
      </c>
    </row>
    <row r="2455" spans="1:11" ht="15.75">
      <c r="A2455" s="443">
        <v>44872</v>
      </c>
      <c r="B2455" s="653" t="s">
        <v>2182</v>
      </c>
      <c r="C2455" s="381" t="s">
        <v>1415</v>
      </c>
      <c r="D2455" s="426" t="s">
        <v>75</v>
      </c>
      <c r="E2455" s="462">
        <v>1600000</v>
      </c>
      <c r="F2455" s="385" t="s">
        <v>2292</v>
      </c>
      <c r="G2455" s="385" t="s">
        <v>2593</v>
      </c>
      <c r="H2455" s="387" t="s">
        <v>1955</v>
      </c>
      <c r="I2455" s="387" t="s">
        <v>1644</v>
      </c>
      <c r="J2455" s="387">
        <v>1</v>
      </c>
      <c r="K2455" s="385" t="s">
        <v>1171</v>
      </c>
    </row>
    <row r="2456" spans="1:11" ht="15.75">
      <c r="A2456" s="443">
        <v>44902</v>
      </c>
      <c r="B2456" s="653" t="s">
        <v>2182</v>
      </c>
      <c r="C2456" s="381" t="s">
        <v>1139</v>
      </c>
      <c r="D2456" s="426" t="s">
        <v>3059</v>
      </c>
      <c r="E2456" s="462">
        <v>1500000</v>
      </c>
      <c r="F2456" s="385" t="s">
        <v>1968</v>
      </c>
      <c r="G2456" s="385" t="s">
        <v>30</v>
      </c>
      <c r="H2456" s="387" t="s">
        <v>1955</v>
      </c>
      <c r="I2456" s="387" t="s">
        <v>1644</v>
      </c>
      <c r="J2456" s="387">
        <v>1</v>
      </c>
      <c r="K2456" s="385" t="s">
        <v>3681</v>
      </c>
    </row>
    <row r="2457" spans="1:11" ht="15.75">
      <c r="A2457" s="443" t="s">
        <v>3931</v>
      </c>
      <c r="B2457" s="653" t="s">
        <v>2182</v>
      </c>
      <c r="C2457" s="381" t="s">
        <v>1140</v>
      </c>
      <c r="D2457" s="426" t="s">
        <v>2326</v>
      </c>
      <c r="E2457" s="462">
        <v>1200000</v>
      </c>
      <c r="F2457" s="385" t="s">
        <v>2292</v>
      </c>
      <c r="G2457" s="385" t="s">
        <v>30</v>
      </c>
      <c r="H2457" s="387" t="s">
        <v>1955</v>
      </c>
      <c r="I2457" s="387" t="s">
        <v>1644</v>
      </c>
      <c r="J2457" s="387">
        <v>1</v>
      </c>
      <c r="K2457" s="385" t="s">
        <v>3681</v>
      </c>
    </row>
    <row r="2458" spans="1:11" ht="15.75">
      <c r="A2458" s="443" t="s">
        <v>3934</v>
      </c>
      <c r="B2458" s="653" t="s">
        <v>2182</v>
      </c>
      <c r="C2458" s="381" t="s">
        <v>3963</v>
      </c>
      <c r="D2458" s="426" t="s">
        <v>2711</v>
      </c>
      <c r="E2458" s="462">
        <v>1400000</v>
      </c>
      <c r="F2458" s="385" t="s">
        <v>2292</v>
      </c>
      <c r="G2458" s="385" t="s">
        <v>30</v>
      </c>
      <c r="H2458" s="387" t="s">
        <v>1955</v>
      </c>
      <c r="I2458" s="387" t="s">
        <v>1644</v>
      </c>
      <c r="J2458" s="387">
        <v>1</v>
      </c>
      <c r="K2458" s="385" t="s">
        <v>1245</v>
      </c>
    </row>
    <row r="2459" spans="1:11" ht="15.75">
      <c r="A2459" s="443" t="s">
        <v>3964</v>
      </c>
      <c r="B2459" s="653" t="s">
        <v>2182</v>
      </c>
      <c r="C2459" s="381" t="s">
        <v>3965</v>
      </c>
      <c r="D2459" s="426" t="s">
        <v>2661</v>
      </c>
      <c r="E2459" s="462">
        <v>1000000</v>
      </c>
      <c r="F2459" s="385" t="s">
        <v>2292</v>
      </c>
      <c r="G2459" s="385" t="s">
        <v>30</v>
      </c>
      <c r="H2459" s="387" t="s">
        <v>1955</v>
      </c>
      <c r="I2459" s="387" t="s">
        <v>1644</v>
      </c>
      <c r="J2459" s="387">
        <v>1</v>
      </c>
      <c r="K2459" s="385" t="s">
        <v>1171</v>
      </c>
    </row>
    <row r="2460" spans="1:11" ht="15.75">
      <c r="A2460" s="393"/>
      <c r="B2460" s="381"/>
      <c r="C2460" s="381"/>
      <c r="D2460" s="381"/>
      <c r="E2460" s="451"/>
      <c r="F2460" s="381"/>
      <c r="G2460" s="381"/>
      <c r="H2460" s="383"/>
      <c r="I2460" s="383"/>
      <c r="J2460" s="1246">
        <f>SUM(J2452:J2459)</f>
        <v>8</v>
      </c>
      <c r="K2460" s="381"/>
    </row>
    <row r="2463" spans="1:11" ht="26.25">
      <c r="A2463" s="1667" t="s">
        <v>3966</v>
      </c>
      <c r="B2463" s="1667"/>
      <c r="C2463" s="1667"/>
      <c r="D2463" s="1667"/>
      <c r="E2463" s="1667"/>
      <c r="F2463" s="1667"/>
      <c r="G2463" s="1667"/>
      <c r="H2463" s="1667"/>
      <c r="I2463" s="1667"/>
      <c r="J2463" s="1667"/>
      <c r="K2463" s="1667"/>
    </row>
    <row r="2464" spans="1:11" ht="30.75">
      <c r="A2464" s="375" t="s">
        <v>1941</v>
      </c>
      <c r="B2464" s="378" t="s">
        <v>1942</v>
      </c>
      <c r="C2464" s="378" t="s">
        <v>1943</v>
      </c>
      <c r="D2464" s="378" t="s">
        <v>1944</v>
      </c>
      <c r="E2464" s="452" t="s">
        <v>1945</v>
      </c>
      <c r="F2464" s="378" t="s">
        <v>1946</v>
      </c>
      <c r="G2464" s="378" t="s">
        <v>2590</v>
      </c>
      <c r="H2464" s="378" t="s">
        <v>1947</v>
      </c>
      <c r="I2464" s="378" t="s">
        <v>1948</v>
      </c>
      <c r="J2464" s="453" t="s">
        <v>1949</v>
      </c>
      <c r="K2464" s="378" t="s">
        <v>1950</v>
      </c>
    </row>
    <row r="2465" spans="1:11" ht="15.75">
      <c r="A2465" s="1244">
        <v>44050</v>
      </c>
      <c r="B2465" s="1320" t="s">
        <v>1952</v>
      </c>
      <c r="C2465" s="1073" t="s">
        <v>3967</v>
      </c>
      <c r="D2465" s="1073" t="s">
        <v>2326</v>
      </c>
      <c r="E2465" s="1072">
        <v>240000000</v>
      </c>
      <c r="F2465" s="1073" t="s">
        <v>1968</v>
      </c>
      <c r="G2465" s="1073" t="s">
        <v>2593</v>
      </c>
      <c r="H2465" s="1074" t="s">
        <v>1955</v>
      </c>
      <c r="I2465" s="1074" t="s">
        <v>1625</v>
      </c>
      <c r="J2465" s="1074">
        <v>1</v>
      </c>
      <c r="K2465" s="1073" t="s">
        <v>2629</v>
      </c>
    </row>
    <row r="2466" spans="1:11" ht="15.75">
      <c r="A2466" s="1244" t="s">
        <v>3953</v>
      </c>
      <c r="B2466" s="1321" t="s">
        <v>1966</v>
      </c>
      <c r="C2466" s="1070" t="s">
        <v>3968</v>
      </c>
      <c r="D2466" s="1071" t="s">
        <v>75</v>
      </c>
      <c r="E2466" s="1072">
        <v>650000000</v>
      </c>
      <c r="F2466" s="1073" t="s">
        <v>1968</v>
      </c>
      <c r="G2466" s="1073" t="s">
        <v>2593</v>
      </c>
      <c r="H2466" s="1074" t="s">
        <v>1955</v>
      </c>
      <c r="I2466" s="1074" t="s">
        <v>1644</v>
      </c>
      <c r="J2466" s="1074">
        <v>1</v>
      </c>
      <c r="K2466" s="1073" t="s">
        <v>2629</v>
      </c>
    </row>
    <row r="2467" spans="1:11" ht="15.75">
      <c r="A2467" s="1244"/>
      <c r="B2467" s="1071"/>
      <c r="C2467" s="1073"/>
      <c r="D2467" s="1073"/>
      <c r="E2467" s="1072"/>
      <c r="F2467" s="1073"/>
      <c r="G2467" s="1073"/>
      <c r="H2467" s="1074"/>
      <c r="I2467" s="1074"/>
      <c r="J2467" s="1074"/>
      <c r="K2467" s="1073"/>
    </row>
    <row r="2468" spans="1:11" ht="15.75">
      <c r="A2468" s="479" t="s">
        <v>3917</v>
      </c>
      <c r="B2468" s="381" t="s">
        <v>1966</v>
      </c>
      <c r="C2468" s="381" t="s">
        <v>3969</v>
      </c>
      <c r="D2468" s="381" t="s">
        <v>2845</v>
      </c>
      <c r="E2468" s="451">
        <v>3300000</v>
      </c>
      <c r="F2468" s="275" t="s">
        <v>2461</v>
      </c>
      <c r="G2468" s="275" t="s">
        <v>2593</v>
      </c>
      <c r="H2468" s="383" t="s">
        <v>1955</v>
      </c>
      <c r="I2468" s="383" t="s">
        <v>1625</v>
      </c>
      <c r="J2468" s="383">
        <v>1</v>
      </c>
      <c r="K2468" s="411" t="s">
        <v>3681</v>
      </c>
    </row>
    <row r="2469" spans="1:11" ht="15.75">
      <c r="A2469" s="393" t="s">
        <v>3917</v>
      </c>
      <c r="B2469" s="381" t="s">
        <v>1952</v>
      </c>
      <c r="C2469" s="381" t="s">
        <v>3970</v>
      </c>
      <c r="D2469" s="381" t="s">
        <v>3654</v>
      </c>
      <c r="E2469" s="451">
        <v>950000</v>
      </c>
      <c r="F2469" s="381" t="s">
        <v>1968</v>
      </c>
      <c r="G2469" s="381" t="s">
        <v>2593</v>
      </c>
      <c r="H2469" s="383" t="s">
        <v>1955</v>
      </c>
      <c r="I2469" s="383" t="s">
        <v>1625</v>
      </c>
      <c r="J2469" s="383">
        <v>1</v>
      </c>
      <c r="K2469" s="381" t="s">
        <v>1171</v>
      </c>
    </row>
    <row r="2470" spans="1:11" ht="15.75">
      <c r="A2470" s="579">
        <v>44872</v>
      </c>
      <c r="B2470" s="381" t="s">
        <v>1952</v>
      </c>
      <c r="C2470" s="381" t="s">
        <v>1150</v>
      </c>
      <c r="D2470" s="381" t="s">
        <v>75</v>
      </c>
      <c r="E2470" s="451">
        <v>1500000</v>
      </c>
      <c r="F2470" s="381" t="s">
        <v>2292</v>
      </c>
      <c r="G2470" s="381" t="s">
        <v>2605</v>
      </c>
      <c r="H2470" s="383" t="s">
        <v>1955</v>
      </c>
      <c r="I2470" s="383" t="s">
        <v>1625</v>
      </c>
      <c r="J2470" s="383">
        <v>1</v>
      </c>
      <c r="K2470" s="381" t="s">
        <v>1245</v>
      </c>
    </row>
    <row r="2471" spans="1:11" ht="15.75">
      <c r="A2471" s="579" t="s">
        <v>3931</v>
      </c>
      <c r="B2471" s="381" t="s">
        <v>2182</v>
      </c>
      <c r="C2471" s="381" t="s">
        <v>3971</v>
      </c>
      <c r="D2471" s="381" t="s">
        <v>75</v>
      </c>
      <c r="E2471" s="451">
        <v>2400000</v>
      </c>
      <c r="F2471" s="381" t="s">
        <v>2292</v>
      </c>
      <c r="G2471" s="381" t="s">
        <v>2593</v>
      </c>
      <c r="H2471" s="383" t="s">
        <v>1955</v>
      </c>
      <c r="I2471" s="383" t="s">
        <v>1644</v>
      </c>
      <c r="J2471" s="383">
        <v>1</v>
      </c>
      <c r="K2471" s="381" t="s">
        <v>3681</v>
      </c>
    </row>
    <row r="2472" spans="1:11" ht="15.75">
      <c r="A2472" s="579" t="s">
        <v>3933</v>
      </c>
      <c r="B2472" s="381" t="s">
        <v>2182</v>
      </c>
      <c r="C2472" s="381" t="s">
        <v>1151</v>
      </c>
      <c r="D2472" s="381" t="s">
        <v>2167</v>
      </c>
      <c r="E2472" s="451">
        <v>1700000</v>
      </c>
      <c r="F2472" s="381" t="s">
        <v>2292</v>
      </c>
      <c r="G2472" s="381" t="s">
        <v>2605</v>
      </c>
      <c r="H2472" s="383" t="s">
        <v>1955</v>
      </c>
      <c r="I2472" s="383" t="s">
        <v>1644</v>
      </c>
      <c r="J2472" s="383">
        <v>1</v>
      </c>
      <c r="K2472" s="381" t="s">
        <v>1171</v>
      </c>
    </row>
    <row r="2473" spans="1:11" ht="15.75">
      <c r="A2473" s="579" t="s">
        <v>3936</v>
      </c>
      <c r="B2473" s="381" t="s">
        <v>2182</v>
      </c>
      <c r="C2473" s="381" t="s">
        <v>3972</v>
      </c>
      <c r="D2473" s="381" t="s">
        <v>2711</v>
      </c>
      <c r="E2473" s="451">
        <v>1300000</v>
      </c>
      <c r="F2473" s="381" t="s">
        <v>2292</v>
      </c>
      <c r="G2473" s="381" t="s">
        <v>2593</v>
      </c>
      <c r="H2473" s="383" t="s">
        <v>1955</v>
      </c>
      <c r="I2473" s="383" t="s">
        <v>1644</v>
      </c>
      <c r="J2473" s="383">
        <v>1</v>
      </c>
      <c r="K2473" s="381" t="s">
        <v>3681</v>
      </c>
    </row>
    <row r="2474" spans="1:11" ht="15.75">
      <c r="A2474" s="579" t="s">
        <v>3973</v>
      </c>
      <c r="B2474" s="381" t="s">
        <v>2182</v>
      </c>
      <c r="C2474" s="381" t="s">
        <v>1143</v>
      </c>
      <c r="D2474" s="381" t="s">
        <v>3089</v>
      </c>
      <c r="E2474" s="451">
        <v>1150000</v>
      </c>
      <c r="F2474" s="381" t="s">
        <v>2292</v>
      </c>
      <c r="G2474" s="381" t="s">
        <v>2605</v>
      </c>
      <c r="H2474" s="383" t="s">
        <v>1955</v>
      </c>
      <c r="I2474" s="383" t="s">
        <v>1644</v>
      </c>
      <c r="J2474" s="383">
        <v>1</v>
      </c>
      <c r="K2474" s="381" t="s">
        <v>3681</v>
      </c>
    </row>
    <row r="2475" spans="1:11" ht="15.75">
      <c r="A2475" s="456"/>
      <c r="B2475" s="457"/>
      <c r="C2475" s="457"/>
      <c r="D2475" s="457"/>
      <c r="E2475" s="476"/>
      <c r="F2475" s="457"/>
      <c r="G2475" s="457"/>
      <c r="H2475" s="153"/>
      <c r="I2475" s="153"/>
      <c r="J2475" s="493">
        <f>SUM(J2465:J2474)</f>
        <v>9</v>
      </c>
      <c r="K2475" s="457"/>
    </row>
    <row r="2476" spans="1:11" ht="15.75">
      <c r="A2476" s="394"/>
      <c r="B2476" s="395"/>
      <c r="C2476" s="395"/>
      <c r="D2476" s="395"/>
      <c r="E2476" s="396"/>
      <c r="F2476" s="397"/>
      <c r="G2476" s="397"/>
      <c r="H2476" s="395"/>
      <c r="I2476" s="395"/>
      <c r="J2476" s="395"/>
      <c r="K2476" s="395"/>
    </row>
    <row r="2477" spans="1:11" ht="15.75">
      <c r="A2477" s="394"/>
      <c r="B2477" s="395"/>
      <c r="C2477" s="395"/>
      <c r="D2477" s="395"/>
      <c r="E2477" s="396"/>
      <c r="F2477" s="397"/>
      <c r="G2477" s="397"/>
      <c r="H2477" s="395"/>
      <c r="I2477" s="395"/>
      <c r="J2477" s="395"/>
      <c r="K2477" s="395"/>
    </row>
    <row r="2479" spans="1:11" ht="26.25">
      <c r="A2479" s="1668" t="s">
        <v>3974</v>
      </c>
      <c r="B2479" s="1669"/>
      <c r="C2479" s="1669"/>
      <c r="D2479" s="1669"/>
      <c r="E2479" s="1669"/>
      <c r="F2479" s="1669"/>
      <c r="G2479" s="1669"/>
      <c r="H2479" s="1669"/>
      <c r="I2479" s="1669"/>
      <c r="J2479" s="1669"/>
      <c r="K2479" s="1670"/>
    </row>
    <row r="2480" spans="1:11" ht="30.75">
      <c r="A2480" s="378" t="s">
        <v>1941</v>
      </c>
      <c r="B2480" s="378" t="s">
        <v>1942</v>
      </c>
      <c r="C2480" s="378" t="s">
        <v>1943</v>
      </c>
      <c r="D2480" s="378" t="s">
        <v>1944</v>
      </c>
      <c r="E2480" s="452" t="s">
        <v>1945</v>
      </c>
      <c r="F2480" s="378" t="s">
        <v>1946</v>
      </c>
      <c r="G2480" s="378" t="s">
        <v>2590</v>
      </c>
      <c r="H2480" s="378" t="s">
        <v>1947</v>
      </c>
      <c r="I2480" s="378" t="s">
        <v>1948</v>
      </c>
      <c r="J2480" s="453" t="s">
        <v>1949</v>
      </c>
      <c r="K2480" s="378" t="s">
        <v>1950</v>
      </c>
    </row>
    <row r="2481" spans="1:11" ht="15.75">
      <c r="A2481" s="922" t="s">
        <v>3975</v>
      </c>
      <c r="B2481" s="618" t="s">
        <v>2182</v>
      </c>
      <c r="C2481" s="472" t="s">
        <v>3976</v>
      </c>
      <c r="D2481" s="472" t="s">
        <v>3189</v>
      </c>
      <c r="E2481" s="475">
        <v>320000000</v>
      </c>
      <c r="F2481" s="472" t="s">
        <v>1968</v>
      </c>
      <c r="G2481" s="472" t="s">
        <v>2593</v>
      </c>
      <c r="H2481" s="473" t="s">
        <v>1955</v>
      </c>
      <c r="I2481" s="473" t="s">
        <v>1644</v>
      </c>
      <c r="J2481" s="473">
        <v>1</v>
      </c>
      <c r="K2481" s="472" t="s">
        <v>2629</v>
      </c>
    </row>
    <row r="2482" spans="1:11" ht="15.75">
      <c r="A2482" s="922" t="s">
        <v>3975</v>
      </c>
      <c r="B2482" s="618" t="s">
        <v>2182</v>
      </c>
      <c r="C2482" s="578" t="s">
        <v>1110</v>
      </c>
      <c r="D2482" s="472" t="s">
        <v>2659</v>
      </c>
      <c r="E2482" s="475">
        <v>240000000</v>
      </c>
      <c r="F2482" s="472" t="s">
        <v>1968</v>
      </c>
      <c r="G2482" s="472" t="s">
        <v>2593</v>
      </c>
      <c r="H2482" s="473" t="s">
        <v>1955</v>
      </c>
      <c r="I2482" s="473" t="s">
        <v>1644</v>
      </c>
      <c r="J2482" s="473">
        <v>1</v>
      </c>
      <c r="K2482" s="472" t="s">
        <v>2629</v>
      </c>
    </row>
    <row r="2483" spans="1:11" ht="15.75">
      <c r="A2483" s="611" t="s">
        <v>3964</v>
      </c>
      <c r="B2483" s="472" t="s">
        <v>2182</v>
      </c>
      <c r="C2483" s="472" t="s">
        <v>3977</v>
      </c>
      <c r="D2483" s="472" t="s">
        <v>2661</v>
      </c>
      <c r="E2483" s="475">
        <v>170000000</v>
      </c>
      <c r="F2483" s="472" t="s">
        <v>1968</v>
      </c>
      <c r="G2483" s="472" t="s">
        <v>2593</v>
      </c>
      <c r="H2483" s="473" t="s">
        <v>1955</v>
      </c>
      <c r="I2483" s="473" t="s">
        <v>1644</v>
      </c>
      <c r="J2483" s="473">
        <v>1</v>
      </c>
      <c r="K2483" s="472" t="s">
        <v>2629</v>
      </c>
    </row>
    <row r="2484" spans="1:11" ht="15.75">
      <c r="A2484" s="384" t="s">
        <v>3978</v>
      </c>
      <c r="B2484" s="577" t="s">
        <v>1952</v>
      </c>
      <c r="C2484" s="385" t="s">
        <v>3979</v>
      </c>
      <c r="D2484" s="385" t="s">
        <v>3043</v>
      </c>
      <c r="E2484" s="462">
        <v>1300000</v>
      </c>
      <c r="F2484" s="385" t="s">
        <v>2292</v>
      </c>
      <c r="G2484" s="385" t="s">
        <v>2605</v>
      </c>
      <c r="H2484" s="387" t="s">
        <v>1955</v>
      </c>
      <c r="I2484" s="387" t="s">
        <v>1625</v>
      </c>
      <c r="J2484" s="387">
        <v>1</v>
      </c>
      <c r="K2484" s="385" t="s">
        <v>1171</v>
      </c>
    </row>
    <row r="2485" spans="1:11" ht="15.75">
      <c r="A2485" s="384">
        <v>44599</v>
      </c>
      <c r="B2485" s="577" t="s">
        <v>1952</v>
      </c>
      <c r="C2485" s="426" t="s">
        <v>3980</v>
      </c>
      <c r="D2485" s="385" t="s">
        <v>3981</v>
      </c>
      <c r="E2485" s="462">
        <v>950000</v>
      </c>
      <c r="F2485" s="385" t="s">
        <v>1968</v>
      </c>
      <c r="G2485" s="385" t="s">
        <v>2593</v>
      </c>
      <c r="H2485" s="387" t="s">
        <v>1955</v>
      </c>
      <c r="I2485" s="387" t="s">
        <v>1625</v>
      </c>
      <c r="J2485" s="387">
        <v>1</v>
      </c>
      <c r="K2485" s="385" t="s">
        <v>3681</v>
      </c>
    </row>
    <row r="2486" spans="1:11" ht="15.75">
      <c r="A2486" s="384">
        <v>44599</v>
      </c>
      <c r="B2486" s="577" t="s">
        <v>1952</v>
      </c>
      <c r="C2486" s="426" t="s">
        <v>1154</v>
      </c>
      <c r="D2486" s="385" t="s">
        <v>3043</v>
      </c>
      <c r="E2486" s="462">
        <v>1350000</v>
      </c>
      <c r="F2486" s="385" t="s">
        <v>2292</v>
      </c>
      <c r="G2486" s="385" t="s">
        <v>2605</v>
      </c>
      <c r="H2486" s="387" t="s">
        <v>1955</v>
      </c>
      <c r="I2486" s="387" t="s">
        <v>1625</v>
      </c>
      <c r="J2486" s="387">
        <v>1</v>
      </c>
      <c r="K2486" s="385" t="s">
        <v>1171</v>
      </c>
    </row>
    <row r="2487" spans="1:11" ht="15.75">
      <c r="A2487" s="384">
        <v>44841</v>
      </c>
      <c r="B2487" s="577" t="s">
        <v>1952</v>
      </c>
      <c r="C2487" s="426" t="s">
        <v>1780</v>
      </c>
      <c r="D2487" s="385" t="s">
        <v>3043</v>
      </c>
      <c r="E2487" s="462">
        <v>1700000</v>
      </c>
      <c r="F2487" s="385" t="s">
        <v>2292</v>
      </c>
      <c r="G2487" s="385" t="s">
        <v>30</v>
      </c>
      <c r="H2487" s="387" t="s">
        <v>1955</v>
      </c>
      <c r="I2487" s="387" t="s">
        <v>1625</v>
      </c>
      <c r="J2487" s="387">
        <v>1</v>
      </c>
      <c r="K2487" s="385" t="s">
        <v>1245</v>
      </c>
    </row>
    <row r="2488" spans="1:11" ht="15.75">
      <c r="A2488" s="384" t="s">
        <v>3953</v>
      </c>
      <c r="B2488" s="577" t="s">
        <v>2182</v>
      </c>
      <c r="C2488" s="426" t="s">
        <v>3982</v>
      </c>
      <c r="D2488" s="385" t="s">
        <v>3043</v>
      </c>
      <c r="E2488" s="462">
        <v>1900000</v>
      </c>
      <c r="F2488" s="385" t="s">
        <v>2292</v>
      </c>
      <c r="G2488" s="385" t="s">
        <v>2593</v>
      </c>
      <c r="H2488" s="387" t="s">
        <v>1955</v>
      </c>
      <c r="I2488" s="387" t="s">
        <v>1644</v>
      </c>
      <c r="J2488" s="387">
        <v>1</v>
      </c>
      <c r="K2488" s="385" t="s">
        <v>1171</v>
      </c>
    </row>
    <row r="2489" spans="1:11" ht="15.75">
      <c r="A2489" s="384" t="s">
        <v>3931</v>
      </c>
      <c r="B2489" s="577" t="s">
        <v>1952</v>
      </c>
      <c r="C2489" s="426" t="s">
        <v>3983</v>
      </c>
      <c r="D2489" s="385" t="s">
        <v>2770</v>
      </c>
      <c r="E2489" s="462">
        <v>1450000</v>
      </c>
      <c r="F2489" s="385" t="s">
        <v>2292</v>
      </c>
      <c r="G2489" s="385" t="s">
        <v>2593</v>
      </c>
      <c r="H2489" s="387" t="s">
        <v>1955</v>
      </c>
      <c r="I2489" s="387" t="s">
        <v>1625</v>
      </c>
      <c r="J2489" s="387">
        <v>1</v>
      </c>
      <c r="K2489" s="385" t="s">
        <v>3681</v>
      </c>
    </row>
    <row r="2490" spans="1:11" ht="15.75">
      <c r="A2490" s="384" t="s">
        <v>3931</v>
      </c>
      <c r="B2490" s="577" t="s">
        <v>2060</v>
      </c>
      <c r="C2490" s="426" t="s">
        <v>3984</v>
      </c>
      <c r="D2490" s="385" t="s">
        <v>3867</v>
      </c>
      <c r="E2490" s="462">
        <v>1000000</v>
      </c>
      <c r="F2490" s="385" t="s">
        <v>1968</v>
      </c>
      <c r="G2490" s="385" t="s">
        <v>30</v>
      </c>
      <c r="H2490" s="387" t="s">
        <v>1955</v>
      </c>
      <c r="I2490" s="387" t="s">
        <v>1644</v>
      </c>
      <c r="J2490" s="387">
        <v>1</v>
      </c>
      <c r="K2490" s="385" t="s">
        <v>1245</v>
      </c>
    </row>
    <row r="2491" spans="1:11" ht="15.75">
      <c r="A2491" s="384" t="s">
        <v>3936</v>
      </c>
      <c r="B2491" s="577" t="s">
        <v>2182</v>
      </c>
      <c r="C2491" s="426" t="s">
        <v>1159</v>
      </c>
      <c r="D2491" s="385" t="s">
        <v>2659</v>
      </c>
      <c r="E2491" s="462">
        <v>1500000</v>
      </c>
      <c r="F2491" s="385" t="s">
        <v>2292</v>
      </c>
      <c r="G2491" s="385" t="s">
        <v>30</v>
      </c>
      <c r="H2491" s="387" t="s">
        <v>1955</v>
      </c>
      <c r="I2491" s="387" t="s">
        <v>1644</v>
      </c>
      <c r="J2491" s="387">
        <v>1</v>
      </c>
      <c r="K2491" s="385" t="s">
        <v>1171</v>
      </c>
    </row>
    <row r="2492" spans="1:11" ht="15.75">
      <c r="A2492" s="384" t="s">
        <v>3936</v>
      </c>
      <c r="B2492" s="577" t="s">
        <v>2182</v>
      </c>
      <c r="C2492" s="426" t="s">
        <v>1160</v>
      </c>
      <c r="D2492" s="385" t="s">
        <v>2659</v>
      </c>
      <c r="E2492" s="462">
        <v>1300000</v>
      </c>
      <c r="F2492" s="385" t="s">
        <v>2292</v>
      </c>
      <c r="G2492" s="385" t="s">
        <v>30</v>
      </c>
      <c r="H2492" s="387" t="s">
        <v>1955</v>
      </c>
      <c r="I2492" s="387" t="s">
        <v>1644</v>
      </c>
      <c r="J2492" s="387">
        <v>1</v>
      </c>
      <c r="K2492" s="385" t="s">
        <v>1245</v>
      </c>
    </row>
    <row r="2493" spans="1:11" ht="15.75">
      <c r="A2493" s="384" t="s">
        <v>3973</v>
      </c>
      <c r="B2493" s="577" t="s">
        <v>2182</v>
      </c>
      <c r="C2493" s="426" t="s">
        <v>1161</v>
      </c>
      <c r="D2493" s="385" t="s">
        <v>3043</v>
      </c>
      <c r="E2493" s="462">
        <v>1450000</v>
      </c>
      <c r="F2493" s="385" t="s">
        <v>2292</v>
      </c>
      <c r="G2493" s="385" t="s">
        <v>30</v>
      </c>
      <c r="H2493" s="387" t="s">
        <v>1955</v>
      </c>
      <c r="I2493" s="387" t="s">
        <v>1644</v>
      </c>
      <c r="J2493" s="387">
        <v>1</v>
      </c>
      <c r="K2493" s="385" t="s">
        <v>1171</v>
      </c>
    </row>
    <row r="2494" spans="1:11" ht="15.75">
      <c r="A2494" s="384" t="s">
        <v>3973</v>
      </c>
      <c r="B2494" s="577" t="s">
        <v>2182</v>
      </c>
      <c r="C2494" s="426" t="s">
        <v>3985</v>
      </c>
      <c r="D2494" s="385" t="s">
        <v>3189</v>
      </c>
      <c r="E2494" s="462">
        <v>1700000</v>
      </c>
      <c r="F2494" s="385" t="s">
        <v>1968</v>
      </c>
      <c r="G2494" s="385" t="s">
        <v>2593</v>
      </c>
      <c r="H2494" s="387" t="s">
        <v>1955</v>
      </c>
      <c r="I2494" s="387" t="s">
        <v>1644</v>
      </c>
      <c r="J2494" s="387">
        <v>1</v>
      </c>
      <c r="K2494" s="385" t="s">
        <v>3681</v>
      </c>
    </row>
    <row r="2495" spans="1:11" ht="15.75">
      <c r="A2495" s="412" t="s">
        <v>3973</v>
      </c>
      <c r="B2495" s="381" t="s">
        <v>2182</v>
      </c>
      <c r="C2495" s="426" t="s">
        <v>3986</v>
      </c>
      <c r="D2495" s="385" t="s">
        <v>3987</v>
      </c>
      <c r="E2495" s="462">
        <v>900000</v>
      </c>
      <c r="F2495" s="385" t="s">
        <v>1968</v>
      </c>
      <c r="G2495" s="385" t="s">
        <v>30</v>
      </c>
      <c r="H2495" s="387" t="s">
        <v>1625</v>
      </c>
      <c r="I2495" s="387" t="s">
        <v>1644</v>
      </c>
      <c r="J2495" s="387">
        <v>1</v>
      </c>
      <c r="K2495" s="385" t="s">
        <v>1171</v>
      </c>
    </row>
    <row r="2496" spans="1:11" ht="15.75">
      <c r="A2496" s="412" t="s">
        <v>3975</v>
      </c>
      <c r="B2496" s="381" t="s">
        <v>1966</v>
      </c>
      <c r="C2496" s="426" t="s">
        <v>3988</v>
      </c>
      <c r="D2496" s="385" t="s">
        <v>3989</v>
      </c>
      <c r="E2496" s="462">
        <v>3500000</v>
      </c>
      <c r="F2496" s="385" t="s">
        <v>1968</v>
      </c>
      <c r="G2496" s="385" t="s">
        <v>2593</v>
      </c>
      <c r="H2496" s="387" t="s">
        <v>1955</v>
      </c>
      <c r="I2496" s="387" t="s">
        <v>1644</v>
      </c>
      <c r="J2496" s="387">
        <v>1</v>
      </c>
      <c r="K2496" s="385" t="s">
        <v>1245</v>
      </c>
    </row>
    <row r="2497" spans="1:11" ht="15.75">
      <c r="A2497" s="412" t="s">
        <v>3964</v>
      </c>
      <c r="B2497" s="381" t="s">
        <v>2182</v>
      </c>
      <c r="C2497" s="426" t="s">
        <v>1163</v>
      </c>
      <c r="D2497" s="385" t="s">
        <v>2659</v>
      </c>
      <c r="E2497" s="462">
        <v>1350000</v>
      </c>
      <c r="F2497" s="385" t="s">
        <v>2292</v>
      </c>
      <c r="G2497" s="385" t="s">
        <v>2593</v>
      </c>
      <c r="H2497" s="387" t="s">
        <v>1955</v>
      </c>
      <c r="I2497" s="387" t="s">
        <v>1644</v>
      </c>
      <c r="J2497" s="387">
        <v>1</v>
      </c>
      <c r="K2497" s="385" t="s">
        <v>3681</v>
      </c>
    </row>
    <row r="2498" spans="1:11" ht="15.75">
      <c r="A2498" s="412" t="s">
        <v>3964</v>
      </c>
      <c r="B2498" s="381" t="s">
        <v>2182</v>
      </c>
      <c r="C2498" s="426" t="s">
        <v>1162</v>
      </c>
      <c r="D2498" s="385" t="s">
        <v>2659</v>
      </c>
      <c r="E2498" s="462">
        <v>1350000</v>
      </c>
      <c r="F2498" s="385" t="s">
        <v>2292</v>
      </c>
      <c r="G2498" s="385" t="s">
        <v>30</v>
      </c>
      <c r="H2498" s="387" t="s">
        <v>1955</v>
      </c>
      <c r="I2498" s="387" t="s">
        <v>1644</v>
      </c>
      <c r="J2498" s="387">
        <v>1</v>
      </c>
      <c r="K2498" s="385" t="s">
        <v>1171</v>
      </c>
    </row>
    <row r="2499" spans="1:11" ht="15.75">
      <c r="A2499" s="928" t="s">
        <v>3964</v>
      </c>
      <c r="B2499" s="420" t="s">
        <v>2182</v>
      </c>
      <c r="C2499" s="426" t="s">
        <v>3990</v>
      </c>
      <c r="D2499" s="633" t="s">
        <v>2253</v>
      </c>
      <c r="E2499" s="644">
        <v>980000</v>
      </c>
      <c r="F2499" s="633" t="s">
        <v>1968</v>
      </c>
      <c r="G2499" s="633" t="s">
        <v>30</v>
      </c>
      <c r="H2499" s="635" t="s">
        <v>1625</v>
      </c>
      <c r="I2499" s="635" t="s">
        <v>1644</v>
      </c>
      <c r="J2499" s="387">
        <v>1</v>
      </c>
      <c r="K2499" s="385" t="s">
        <v>1245</v>
      </c>
    </row>
    <row r="2500" spans="1:11" ht="15.75">
      <c r="A2500" s="928" t="s">
        <v>3964</v>
      </c>
      <c r="B2500" s="420" t="s">
        <v>2182</v>
      </c>
      <c r="C2500" s="426" t="s">
        <v>3991</v>
      </c>
      <c r="D2500" s="633" t="s">
        <v>3992</v>
      </c>
      <c r="E2500" s="644">
        <v>1200000</v>
      </c>
      <c r="F2500" s="633" t="s">
        <v>1968</v>
      </c>
      <c r="G2500" s="633" t="s">
        <v>2593</v>
      </c>
      <c r="H2500" s="635" t="s">
        <v>1625</v>
      </c>
      <c r="I2500" s="635" t="s">
        <v>1644</v>
      </c>
      <c r="J2500" s="387">
        <v>1</v>
      </c>
      <c r="K2500" s="385" t="s">
        <v>3681</v>
      </c>
    </row>
    <row r="2501" spans="1:11" ht="15.75">
      <c r="A2501" s="928" t="s">
        <v>3964</v>
      </c>
      <c r="B2501" s="420" t="s">
        <v>2060</v>
      </c>
      <c r="C2501" s="743" t="s">
        <v>3993</v>
      </c>
      <c r="D2501" s="633" t="s">
        <v>3994</v>
      </c>
      <c r="E2501" s="644">
        <v>5000000</v>
      </c>
      <c r="F2501" s="633" t="s">
        <v>1968</v>
      </c>
      <c r="G2501" s="633" t="s">
        <v>2593</v>
      </c>
      <c r="H2501" s="635" t="s">
        <v>1955</v>
      </c>
      <c r="I2501" s="635" t="s">
        <v>1644</v>
      </c>
      <c r="J2501" s="387">
        <v>1</v>
      </c>
      <c r="K2501" s="385" t="s">
        <v>1171</v>
      </c>
    </row>
    <row r="2502" spans="1:11" ht="15.75">
      <c r="A2502" s="928" t="s">
        <v>3964</v>
      </c>
      <c r="B2502" s="420" t="s">
        <v>2182</v>
      </c>
      <c r="C2502" s="743" t="s">
        <v>3995</v>
      </c>
      <c r="D2502" s="633" t="s">
        <v>3996</v>
      </c>
      <c r="E2502" s="644">
        <v>1600000</v>
      </c>
      <c r="F2502" s="633" t="s">
        <v>2290</v>
      </c>
      <c r="G2502" s="633" t="s">
        <v>2593</v>
      </c>
      <c r="H2502" s="635" t="s">
        <v>1955</v>
      </c>
      <c r="I2502" s="635" t="s">
        <v>1644</v>
      </c>
      <c r="J2502" s="387">
        <v>1</v>
      </c>
      <c r="K2502" s="385" t="s">
        <v>1245</v>
      </c>
    </row>
    <row r="2503" spans="1:11" ht="15.75">
      <c r="A2503" s="928" t="s">
        <v>3964</v>
      </c>
      <c r="B2503" s="420" t="s">
        <v>2182</v>
      </c>
      <c r="C2503" s="743" t="s">
        <v>3997</v>
      </c>
      <c r="D2503" s="633" t="s">
        <v>3996</v>
      </c>
      <c r="E2503" s="644">
        <v>1600000</v>
      </c>
      <c r="F2503" s="633" t="s">
        <v>2292</v>
      </c>
      <c r="G2503" s="633" t="s">
        <v>2593</v>
      </c>
      <c r="H2503" s="635" t="s">
        <v>1955</v>
      </c>
      <c r="I2503" s="635" t="s">
        <v>1644</v>
      </c>
      <c r="J2503" s="387">
        <v>1</v>
      </c>
      <c r="K2503" s="385" t="s">
        <v>3681</v>
      </c>
    </row>
    <row r="2504" spans="1:11" ht="15.75">
      <c r="A2504" s="928"/>
      <c r="B2504" s="420"/>
      <c r="C2504" s="743"/>
      <c r="D2504" s="633"/>
      <c r="E2504" s="644"/>
      <c r="F2504" s="633"/>
      <c r="G2504" s="633"/>
      <c r="H2504" s="635"/>
      <c r="I2504" s="635"/>
      <c r="J2504" s="387"/>
      <c r="K2504" s="385"/>
    </row>
    <row r="2505" spans="1:11" ht="15.75">
      <c r="A2505" s="419"/>
      <c r="B2505" s="420"/>
      <c r="C2505" s="457"/>
      <c r="D2505" s="457"/>
      <c r="E2505" s="458"/>
      <c r="F2505" s="457"/>
      <c r="G2505" s="457"/>
      <c r="H2505" s="457"/>
      <c r="I2505" s="457"/>
      <c r="J2505" s="493">
        <f>SUM(J2481:J2504)</f>
        <v>23</v>
      </c>
      <c r="K2505" s="457"/>
    </row>
    <row r="2508" spans="1:11" ht="26.25">
      <c r="A2508" s="1668" t="s">
        <v>3998</v>
      </c>
      <c r="B2508" s="1669"/>
      <c r="C2508" s="1669"/>
      <c r="D2508" s="1669"/>
      <c r="E2508" s="1669"/>
      <c r="F2508" s="1669"/>
      <c r="G2508" s="1669"/>
      <c r="H2508" s="1669"/>
      <c r="I2508" s="1669"/>
      <c r="J2508" s="1669"/>
      <c r="K2508" s="1670"/>
    </row>
    <row r="2509" spans="1:11" ht="30.75">
      <c r="A2509" s="375" t="s">
        <v>1941</v>
      </c>
      <c r="B2509" s="378" t="s">
        <v>1942</v>
      </c>
      <c r="C2509" s="378" t="s">
        <v>1943</v>
      </c>
      <c r="D2509" s="378" t="s">
        <v>1944</v>
      </c>
      <c r="E2509" s="452" t="s">
        <v>1945</v>
      </c>
      <c r="F2509" s="378" t="s">
        <v>1946</v>
      </c>
      <c r="G2509" s="378" t="s">
        <v>2590</v>
      </c>
      <c r="H2509" s="378" t="s">
        <v>1947</v>
      </c>
      <c r="I2509" s="378" t="s">
        <v>1948</v>
      </c>
      <c r="J2509" s="453" t="s">
        <v>1949</v>
      </c>
      <c r="K2509" s="378" t="s">
        <v>1950</v>
      </c>
    </row>
    <row r="2510" spans="1:11" ht="15.75">
      <c r="A2510" s="1068"/>
      <c r="B2510" s="1069"/>
      <c r="C2510" s="1070"/>
      <c r="D2510" s="1071"/>
      <c r="E2510" s="1072"/>
      <c r="F2510" s="1073"/>
      <c r="G2510" s="1073"/>
      <c r="H2510" s="1074"/>
      <c r="I2510" s="1074"/>
      <c r="J2510" s="1074"/>
      <c r="K2510" s="1073"/>
    </row>
    <row r="2511" spans="1:11" ht="15.75">
      <c r="A2511" s="1068"/>
      <c r="B2511" s="1069"/>
      <c r="C2511" s="1070"/>
      <c r="D2511" s="1071"/>
      <c r="E2511" s="1072"/>
      <c r="F2511" s="1073"/>
      <c r="G2511" s="1073"/>
      <c r="H2511" s="1074"/>
      <c r="I2511" s="1074"/>
      <c r="J2511" s="1074"/>
      <c r="K2511" s="1073"/>
    </row>
    <row r="2512" spans="1:11" ht="15.75">
      <c r="A2512" s="443" t="s">
        <v>3919</v>
      </c>
      <c r="B2512" s="653" t="s">
        <v>2060</v>
      </c>
      <c r="C2512" s="381" t="s">
        <v>3999</v>
      </c>
      <c r="D2512" s="426" t="s">
        <v>3189</v>
      </c>
      <c r="E2512" s="462">
        <v>1500000</v>
      </c>
      <c r="F2512" s="385" t="s">
        <v>1968</v>
      </c>
      <c r="G2512" s="385" t="s">
        <v>2593</v>
      </c>
      <c r="H2512" s="387" t="s">
        <v>1955</v>
      </c>
      <c r="I2512" s="387" t="s">
        <v>1625</v>
      </c>
      <c r="J2512" s="387">
        <v>1</v>
      </c>
      <c r="K2512" s="385" t="s">
        <v>3681</v>
      </c>
    </row>
    <row r="2513" spans="1:11" ht="15.75">
      <c r="A2513" s="393"/>
      <c r="B2513" s="653"/>
      <c r="C2513" s="381"/>
      <c r="D2513" s="381"/>
      <c r="E2513" s="451"/>
      <c r="F2513" s="381"/>
      <c r="G2513" s="381"/>
      <c r="H2513" s="383"/>
      <c r="I2513" s="383"/>
      <c r="J2513" s="1246">
        <f>SUM(J2510:J2512)</f>
        <v>1</v>
      </c>
      <c r="K2513" s="381"/>
    </row>
    <row r="2516" spans="1:11" ht="26.25">
      <c r="A2516" s="1668" t="s">
        <v>4000</v>
      </c>
      <c r="B2516" s="1669"/>
      <c r="C2516" s="1669"/>
      <c r="D2516" s="1669"/>
      <c r="E2516" s="1669"/>
      <c r="F2516" s="1669"/>
      <c r="G2516" s="1669"/>
      <c r="H2516" s="1669"/>
      <c r="I2516" s="1669"/>
      <c r="J2516" s="1669"/>
      <c r="K2516" s="1670"/>
    </row>
    <row r="2517" spans="1:11" ht="30.75">
      <c r="A2517" s="375" t="s">
        <v>1941</v>
      </c>
      <c r="B2517" s="378" t="s">
        <v>1942</v>
      </c>
      <c r="C2517" s="378" t="s">
        <v>1943</v>
      </c>
      <c r="D2517" s="378" t="s">
        <v>1944</v>
      </c>
      <c r="E2517" s="452" t="s">
        <v>1945</v>
      </c>
      <c r="F2517" s="378" t="s">
        <v>1946</v>
      </c>
      <c r="G2517" s="378" t="s">
        <v>2590</v>
      </c>
      <c r="H2517" s="378" t="s">
        <v>1947</v>
      </c>
      <c r="I2517" s="378" t="s">
        <v>1948</v>
      </c>
      <c r="J2517" s="453" t="s">
        <v>1949</v>
      </c>
      <c r="K2517" s="378" t="s">
        <v>1950</v>
      </c>
    </row>
    <row r="2518" spans="1:11" ht="15.75">
      <c r="A2518" s="1244" t="s">
        <v>3919</v>
      </c>
      <c r="B2518" s="1069" t="s">
        <v>1952</v>
      </c>
      <c r="C2518" s="1070" t="s">
        <v>4001</v>
      </c>
      <c r="D2518" s="1070" t="s">
        <v>4002</v>
      </c>
      <c r="E2518" s="1245">
        <v>260000000</v>
      </c>
      <c r="F2518" s="1070" t="s">
        <v>1968</v>
      </c>
      <c r="G2518" s="1070" t="s">
        <v>2593</v>
      </c>
      <c r="H2518" s="1246" t="s">
        <v>1955</v>
      </c>
      <c r="I2518" s="1246" t="s">
        <v>1625</v>
      </c>
      <c r="J2518" s="1246">
        <v>1</v>
      </c>
      <c r="K2518" s="1070" t="s">
        <v>2629</v>
      </c>
    </row>
    <row r="2519" spans="1:11" ht="15.75">
      <c r="A2519" s="393"/>
      <c r="B2519" s="653"/>
      <c r="C2519" s="381"/>
      <c r="D2519" s="381"/>
      <c r="E2519" s="451"/>
      <c r="F2519" s="381"/>
      <c r="G2519" s="381"/>
      <c r="H2519" s="383"/>
      <c r="I2519" s="383"/>
      <c r="J2519" s="383"/>
      <c r="K2519" s="381"/>
    </row>
    <row r="2520" spans="1:11" ht="15.75">
      <c r="A2520" s="393"/>
      <c r="B2520" s="653"/>
      <c r="C2520" s="381"/>
      <c r="D2520" s="381"/>
      <c r="E2520" s="451"/>
      <c r="F2520" s="381"/>
      <c r="G2520" s="381"/>
      <c r="H2520" s="383"/>
      <c r="I2520" s="383"/>
      <c r="J2520" s="1246">
        <f>SUM(J2518:J2519)</f>
        <v>1</v>
      </c>
      <c r="K2520" s="381"/>
    </row>
    <row r="2522" spans="1:11" ht="26.25">
      <c r="A2522" s="1668" t="s">
        <v>4003</v>
      </c>
      <c r="B2522" s="1669"/>
      <c r="C2522" s="1669"/>
      <c r="D2522" s="1669"/>
      <c r="E2522" s="1669"/>
      <c r="F2522" s="1669"/>
      <c r="G2522" s="1669"/>
      <c r="H2522" s="1669"/>
      <c r="I2522" s="1669"/>
      <c r="J2522" s="1669"/>
      <c r="K2522" s="1670"/>
    </row>
    <row r="2523" spans="1:11" ht="30.75">
      <c r="A2523" s="375" t="s">
        <v>1941</v>
      </c>
      <c r="B2523" s="378" t="s">
        <v>1942</v>
      </c>
      <c r="C2523" s="378" t="s">
        <v>1943</v>
      </c>
      <c r="D2523" s="378" t="s">
        <v>1944</v>
      </c>
      <c r="E2523" s="452" t="s">
        <v>1945</v>
      </c>
      <c r="F2523" s="378" t="s">
        <v>1946</v>
      </c>
      <c r="G2523" s="378" t="s">
        <v>2590</v>
      </c>
      <c r="H2523" s="378" t="s">
        <v>1947</v>
      </c>
      <c r="I2523" s="378" t="s">
        <v>1948</v>
      </c>
      <c r="J2523" s="453" t="s">
        <v>1949</v>
      </c>
      <c r="K2523" s="378" t="s">
        <v>1950</v>
      </c>
    </row>
    <row r="2524" spans="1:11" ht="15.75">
      <c r="A2524" s="1068"/>
      <c r="B2524" s="1069"/>
      <c r="C2524" s="1070"/>
      <c r="D2524" s="1071"/>
      <c r="E2524" s="1072"/>
      <c r="F2524" s="1073"/>
      <c r="G2524" s="1073"/>
      <c r="H2524" s="1074"/>
      <c r="I2524" s="1074"/>
      <c r="J2524" s="1074"/>
      <c r="K2524" s="1073"/>
    </row>
    <row r="2525" spans="1:11" ht="15.75">
      <c r="A2525" s="1068"/>
      <c r="B2525" s="1069"/>
      <c r="C2525" s="1070"/>
      <c r="D2525" s="1071"/>
      <c r="E2525" s="1072"/>
      <c r="F2525" s="1073"/>
      <c r="G2525" s="1073"/>
      <c r="H2525" s="1074"/>
      <c r="I2525" s="1074"/>
      <c r="J2525" s="1074"/>
      <c r="K2525" s="1073"/>
    </row>
    <row r="2526" spans="1:11" ht="15.75">
      <c r="A2526" s="443" t="s">
        <v>4004</v>
      </c>
      <c r="B2526" s="653" t="s">
        <v>1952</v>
      </c>
      <c r="C2526" s="381" t="s">
        <v>4005</v>
      </c>
      <c r="D2526" s="426" t="s">
        <v>3755</v>
      </c>
      <c r="E2526" s="462">
        <v>750000</v>
      </c>
      <c r="F2526" s="385" t="s">
        <v>4006</v>
      </c>
      <c r="G2526" s="385" t="s">
        <v>30</v>
      </c>
      <c r="H2526" s="387" t="s">
        <v>1955</v>
      </c>
      <c r="I2526" s="387" t="s">
        <v>1625</v>
      </c>
      <c r="J2526" s="387">
        <v>1</v>
      </c>
      <c r="K2526" s="385" t="s">
        <v>856</v>
      </c>
    </row>
    <row r="2527" spans="1:11" ht="15.75">
      <c r="A2527" s="393">
        <v>44688</v>
      </c>
      <c r="B2527" s="653" t="s">
        <v>1952</v>
      </c>
      <c r="C2527" s="381" t="s">
        <v>4007</v>
      </c>
      <c r="D2527" s="381" t="s">
        <v>2253</v>
      </c>
      <c r="E2527" s="451">
        <v>850000</v>
      </c>
      <c r="F2527" s="385" t="s">
        <v>4006</v>
      </c>
      <c r="G2527" s="385" t="s">
        <v>30</v>
      </c>
      <c r="H2527" s="387" t="s">
        <v>1955</v>
      </c>
      <c r="I2527" s="387" t="s">
        <v>1625</v>
      </c>
      <c r="J2527" s="387">
        <v>1</v>
      </c>
      <c r="K2527" s="385" t="s">
        <v>856</v>
      </c>
    </row>
    <row r="2528" spans="1:11" ht="15.75">
      <c r="A2528" s="443">
        <v>44719</v>
      </c>
      <c r="B2528" s="577" t="s">
        <v>1952</v>
      </c>
      <c r="C2528" s="385" t="s">
        <v>4008</v>
      </c>
      <c r="D2528" s="426" t="s">
        <v>2326</v>
      </c>
      <c r="E2528" s="462">
        <v>1150000</v>
      </c>
      <c r="F2528" s="385" t="s">
        <v>4006</v>
      </c>
      <c r="G2528" s="385" t="s">
        <v>30</v>
      </c>
      <c r="H2528" s="387" t="s">
        <v>1955</v>
      </c>
      <c r="I2528" s="387" t="s">
        <v>1625</v>
      </c>
      <c r="J2528" s="387">
        <v>1</v>
      </c>
      <c r="K2528" s="385" t="s">
        <v>856</v>
      </c>
    </row>
    <row r="2529" spans="1:11" ht="15.75">
      <c r="A2529" s="443">
        <v>44719</v>
      </c>
      <c r="B2529" s="577" t="s">
        <v>1952</v>
      </c>
      <c r="C2529" s="385" t="s">
        <v>4009</v>
      </c>
      <c r="D2529" s="426" t="s">
        <v>2711</v>
      </c>
      <c r="E2529" s="462">
        <v>1400000</v>
      </c>
      <c r="F2529" s="385" t="s">
        <v>4010</v>
      </c>
      <c r="G2529" s="385" t="s">
        <v>30</v>
      </c>
      <c r="H2529" s="387" t="s">
        <v>1955</v>
      </c>
      <c r="I2529" s="387" t="s">
        <v>1625</v>
      </c>
      <c r="J2529" s="387">
        <v>1</v>
      </c>
      <c r="K2529" s="385" t="s">
        <v>856</v>
      </c>
    </row>
    <row r="2530" spans="1:11" ht="15.75">
      <c r="A2530" s="443">
        <v>44719</v>
      </c>
      <c r="B2530" s="577" t="s">
        <v>1952</v>
      </c>
      <c r="C2530" s="385" t="s">
        <v>4011</v>
      </c>
      <c r="D2530" s="426" t="s">
        <v>4012</v>
      </c>
      <c r="E2530" s="462">
        <v>1400000</v>
      </c>
      <c r="F2530" s="385" t="s">
        <v>4006</v>
      </c>
      <c r="G2530" s="385" t="s">
        <v>30</v>
      </c>
      <c r="H2530" s="387" t="s">
        <v>1955</v>
      </c>
      <c r="I2530" s="387" t="s">
        <v>1625</v>
      </c>
      <c r="J2530" s="387">
        <v>1</v>
      </c>
      <c r="K2530" s="385" t="s">
        <v>856</v>
      </c>
    </row>
    <row r="2531" spans="1:11" ht="15.75">
      <c r="A2531" s="384">
        <v>44872</v>
      </c>
      <c r="B2531" s="577" t="s">
        <v>1952</v>
      </c>
      <c r="C2531" s="385" t="s">
        <v>4013</v>
      </c>
      <c r="D2531" s="385" t="s">
        <v>2770</v>
      </c>
      <c r="E2531" s="462">
        <v>1200000</v>
      </c>
      <c r="F2531" s="385" t="s">
        <v>4006</v>
      </c>
      <c r="G2531" s="385" t="s">
        <v>30</v>
      </c>
      <c r="H2531" s="387" t="s">
        <v>1955</v>
      </c>
      <c r="I2531" s="387" t="s">
        <v>1625</v>
      </c>
      <c r="J2531" s="387">
        <v>1</v>
      </c>
      <c r="K2531" s="385" t="s">
        <v>856</v>
      </c>
    </row>
    <row r="2532" spans="1:11" ht="15.75">
      <c r="A2532" s="384" t="s">
        <v>3973</v>
      </c>
      <c r="B2532" s="577" t="s">
        <v>1952</v>
      </c>
      <c r="C2532" s="385" t="s">
        <v>571</v>
      </c>
      <c r="D2532" s="385" t="s">
        <v>2347</v>
      </c>
      <c r="E2532" s="462">
        <v>1600000</v>
      </c>
      <c r="F2532" s="385" t="s">
        <v>4006</v>
      </c>
      <c r="G2532" s="385" t="s">
        <v>30</v>
      </c>
      <c r="H2532" s="387" t="s">
        <v>1955</v>
      </c>
      <c r="I2532" s="387" t="s">
        <v>1625</v>
      </c>
      <c r="J2532" s="387">
        <v>1</v>
      </c>
      <c r="K2532" s="385" t="s">
        <v>856</v>
      </c>
    </row>
    <row r="2533" spans="1:11" ht="15.75">
      <c r="A2533" s="384" t="s">
        <v>3975</v>
      </c>
      <c r="B2533" s="577" t="s">
        <v>1952</v>
      </c>
      <c r="C2533" s="385" t="s">
        <v>4014</v>
      </c>
      <c r="D2533" s="385" t="s">
        <v>2669</v>
      </c>
      <c r="E2533" s="462">
        <v>1600000</v>
      </c>
      <c r="F2533" s="385" t="s">
        <v>4010</v>
      </c>
      <c r="G2533" s="385" t="s">
        <v>4015</v>
      </c>
      <c r="H2533" s="387" t="s">
        <v>1955</v>
      </c>
      <c r="I2533" s="387" t="s">
        <v>1625</v>
      </c>
      <c r="J2533" s="387">
        <v>1</v>
      </c>
      <c r="K2533" s="385" t="s">
        <v>856</v>
      </c>
    </row>
    <row r="2534" spans="1:11" ht="15.75">
      <c r="A2534" s="393" t="s">
        <v>4016</v>
      </c>
      <c r="B2534" s="653" t="s">
        <v>1952</v>
      </c>
      <c r="C2534" s="381" t="s">
        <v>383</v>
      </c>
      <c r="D2534" s="381" t="s">
        <v>2711</v>
      </c>
      <c r="E2534" s="451">
        <v>1550000</v>
      </c>
      <c r="F2534" s="381" t="s">
        <v>4006</v>
      </c>
      <c r="G2534" s="381" t="s">
        <v>30</v>
      </c>
      <c r="H2534" s="383" t="s">
        <v>1955</v>
      </c>
      <c r="I2534" s="383" t="s">
        <v>1625</v>
      </c>
      <c r="J2534" s="383">
        <v>1</v>
      </c>
      <c r="K2534" s="381" t="s">
        <v>856</v>
      </c>
    </row>
    <row r="2540" spans="1:11">
      <c r="A2540" s="1665" t="s">
        <v>4017</v>
      </c>
      <c r="B2540" s="1665"/>
      <c r="C2540" s="1665"/>
      <c r="D2540" s="1665"/>
      <c r="E2540" s="1665"/>
      <c r="F2540" s="1665"/>
      <c r="G2540" s="1665"/>
      <c r="H2540" s="1665"/>
      <c r="I2540" s="1665"/>
      <c r="J2540" s="1665"/>
      <c r="K2540" s="1665"/>
    </row>
    <row r="2541" spans="1:11">
      <c r="A2541" s="1666"/>
      <c r="B2541" s="1666"/>
      <c r="C2541" s="1666"/>
      <c r="D2541" s="1666"/>
      <c r="E2541" s="1666"/>
      <c r="F2541" s="1666"/>
      <c r="G2541" s="1666"/>
      <c r="H2541" s="1666"/>
      <c r="I2541" s="1666"/>
      <c r="J2541" s="1666"/>
      <c r="K2541" s="1666"/>
    </row>
    <row r="2543" spans="1:11" ht="15.75">
      <c r="A2543" s="394"/>
      <c r="B2543" s="395"/>
      <c r="C2543" s="395"/>
      <c r="D2543" s="395"/>
      <c r="E2543" s="706"/>
      <c r="F2543" s="707"/>
      <c r="G2543" s="707"/>
      <c r="H2543" s="397"/>
      <c r="I2543" s="397"/>
      <c r="J2543" s="397"/>
      <c r="K2543" s="395"/>
    </row>
    <row r="2544" spans="1:11" ht="26.25">
      <c r="A2544" s="1667" t="s">
        <v>4018</v>
      </c>
      <c r="B2544" s="1667"/>
      <c r="C2544" s="1667"/>
      <c r="D2544" s="1667"/>
      <c r="E2544" s="1667"/>
      <c r="F2544" s="1667"/>
      <c r="G2544" s="1667"/>
      <c r="H2544" s="1667"/>
      <c r="I2544" s="1667"/>
      <c r="J2544" s="1667"/>
      <c r="K2544" s="1667"/>
    </row>
    <row r="2545" spans="1:11" ht="30.75">
      <c r="A2545" s="375" t="s">
        <v>1941</v>
      </c>
      <c r="B2545" s="378" t="s">
        <v>1942</v>
      </c>
      <c r="C2545" s="378" t="s">
        <v>1943</v>
      </c>
      <c r="D2545" s="378" t="s">
        <v>1944</v>
      </c>
      <c r="E2545" s="452" t="s">
        <v>1945</v>
      </c>
      <c r="F2545" s="378" t="s">
        <v>1946</v>
      </c>
      <c r="G2545" s="378" t="s">
        <v>2590</v>
      </c>
      <c r="H2545" s="378" t="s">
        <v>1947</v>
      </c>
      <c r="I2545" s="378" t="s">
        <v>1948</v>
      </c>
      <c r="J2545" s="453" t="s">
        <v>1949</v>
      </c>
      <c r="K2545" s="378" t="s">
        <v>1950</v>
      </c>
    </row>
    <row r="2546" spans="1:11" ht="15.75">
      <c r="A2546" s="611">
        <v>44842</v>
      </c>
      <c r="B2546" s="455" t="s">
        <v>2182</v>
      </c>
      <c r="C2546" s="578" t="s">
        <v>4019</v>
      </c>
      <c r="D2546" s="472" t="s">
        <v>4020</v>
      </c>
      <c r="E2546" s="475">
        <v>142000000</v>
      </c>
      <c r="F2546" s="472" t="s">
        <v>1968</v>
      </c>
      <c r="G2546" s="472" t="s">
        <v>2593</v>
      </c>
      <c r="H2546" s="473" t="s">
        <v>1955</v>
      </c>
      <c r="I2546" s="473" t="s">
        <v>1625</v>
      </c>
      <c r="J2546" s="473">
        <v>1</v>
      </c>
      <c r="K2546" s="472" t="s">
        <v>2629</v>
      </c>
    </row>
    <row r="2547" spans="1:11" ht="15.75">
      <c r="A2547" s="937" t="s">
        <v>4021</v>
      </c>
      <c r="B2547" s="472" t="s">
        <v>2182</v>
      </c>
      <c r="C2547" s="578" t="s">
        <v>4022</v>
      </c>
      <c r="D2547" s="472" t="s">
        <v>2659</v>
      </c>
      <c r="E2547" s="475">
        <v>255000000</v>
      </c>
      <c r="F2547" s="472" t="s">
        <v>2292</v>
      </c>
      <c r="G2547" s="472" t="s">
        <v>2593</v>
      </c>
      <c r="H2547" s="473" t="s">
        <v>1955</v>
      </c>
      <c r="I2547" s="473" t="s">
        <v>1644</v>
      </c>
      <c r="J2547" s="473">
        <v>1</v>
      </c>
      <c r="K2547" s="472" t="s">
        <v>2629</v>
      </c>
    </row>
    <row r="2548" spans="1:11" ht="15.75">
      <c r="A2548" s="937" t="s">
        <v>4023</v>
      </c>
      <c r="B2548" s="472" t="s">
        <v>2182</v>
      </c>
      <c r="C2548" s="578" t="s">
        <v>4024</v>
      </c>
      <c r="D2548" s="472" t="s">
        <v>2568</v>
      </c>
      <c r="E2548" s="475">
        <v>190000000</v>
      </c>
      <c r="F2548" s="472" t="s">
        <v>2292</v>
      </c>
      <c r="G2548" s="472" t="s">
        <v>2625</v>
      </c>
      <c r="H2548" s="473" t="s">
        <v>1955</v>
      </c>
      <c r="I2548" s="473" t="s">
        <v>1644</v>
      </c>
      <c r="J2548" s="473">
        <v>1</v>
      </c>
      <c r="K2548" s="472" t="s">
        <v>2629</v>
      </c>
    </row>
    <row r="2549" spans="1:11" ht="15.75">
      <c r="A2549" s="937" t="s">
        <v>4025</v>
      </c>
      <c r="B2549" s="455" t="s">
        <v>2182</v>
      </c>
      <c r="C2549" s="578" t="s">
        <v>4026</v>
      </c>
      <c r="D2549" s="472" t="s">
        <v>2568</v>
      </c>
      <c r="E2549" s="475">
        <v>190000000</v>
      </c>
      <c r="F2549" s="472" t="s">
        <v>2292</v>
      </c>
      <c r="G2549" s="472" t="s">
        <v>2625</v>
      </c>
      <c r="H2549" s="473" t="s">
        <v>1955</v>
      </c>
      <c r="I2549" s="473" t="s">
        <v>1644</v>
      </c>
      <c r="J2549" s="473">
        <v>1</v>
      </c>
      <c r="K2549" s="472" t="s">
        <v>2629</v>
      </c>
    </row>
    <row r="2550" spans="1:11" ht="15.75">
      <c r="A2550" s="744" t="s">
        <v>4027</v>
      </c>
      <c r="B2550" s="653" t="s">
        <v>1952</v>
      </c>
      <c r="C2550" s="426" t="s">
        <v>4028</v>
      </c>
      <c r="D2550" s="385" t="s">
        <v>3493</v>
      </c>
      <c r="E2550" s="462">
        <v>1900000</v>
      </c>
      <c r="F2550" s="385" t="s">
        <v>2290</v>
      </c>
      <c r="G2550" s="385" t="s">
        <v>2593</v>
      </c>
      <c r="H2550" s="387" t="s">
        <v>1955</v>
      </c>
      <c r="I2550" s="387" t="s">
        <v>1625</v>
      </c>
      <c r="J2550" s="387">
        <v>1</v>
      </c>
      <c r="K2550" s="411" t="s">
        <v>1171</v>
      </c>
    </row>
    <row r="2551" spans="1:11" ht="15.75">
      <c r="A2551" s="393">
        <v>44569</v>
      </c>
      <c r="B2551" s="406" t="s">
        <v>2182</v>
      </c>
      <c r="C2551" s="381" t="s">
        <v>1180</v>
      </c>
      <c r="D2551" s="381" t="s">
        <v>2573</v>
      </c>
      <c r="E2551" s="451">
        <v>1350000</v>
      </c>
      <c r="F2551" s="381" t="s">
        <v>2292</v>
      </c>
      <c r="G2551" s="381" t="s">
        <v>2605</v>
      </c>
      <c r="H2551" s="383" t="s">
        <v>1955</v>
      </c>
      <c r="I2551" s="383" t="s">
        <v>1644</v>
      </c>
      <c r="J2551" s="383">
        <v>1</v>
      </c>
      <c r="K2551" s="381" t="s">
        <v>1245</v>
      </c>
    </row>
    <row r="2552" spans="1:11" ht="15.75">
      <c r="A2552" s="579">
        <v>44628</v>
      </c>
      <c r="B2552" s="381" t="s">
        <v>2182</v>
      </c>
      <c r="C2552" s="381" t="s">
        <v>2921</v>
      </c>
      <c r="D2552" s="381" t="s">
        <v>2770</v>
      </c>
      <c r="E2552" s="451">
        <v>1400000</v>
      </c>
      <c r="F2552" s="381" t="s">
        <v>1968</v>
      </c>
      <c r="G2552" s="381" t="s">
        <v>2593</v>
      </c>
      <c r="H2552" s="383" t="s">
        <v>1955</v>
      </c>
      <c r="I2552" s="383" t="s">
        <v>1644</v>
      </c>
      <c r="J2552" s="383">
        <v>1</v>
      </c>
      <c r="K2552" s="381" t="s">
        <v>3681</v>
      </c>
    </row>
    <row r="2553" spans="1:11" ht="15.75">
      <c r="A2553" s="579">
        <v>44628</v>
      </c>
      <c r="B2553" s="381" t="s">
        <v>2182</v>
      </c>
      <c r="C2553" s="381" t="s">
        <v>4029</v>
      </c>
      <c r="D2553" s="381" t="s">
        <v>2253</v>
      </c>
      <c r="E2553" s="451">
        <v>850000</v>
      </c>
      <c r="F2553" s="381" t="s">
        <v>2292</v>
      </c>
      <c r="G2553" s="381" t="s">
        <v>2593</v>
      </c>
      <c r="H2553" s="383" t="s">
        <v>1955</v>
      </c>
      <c r="I2553" s="383" t="s">
        <v>1644</v>
      </c>
      <c r="J2553" s="383">
        <v>1</v>
      </c>
      <c r="K2553" s="381" t="s">
        <v>1171</v>
      </c>
    </row>
    <row r="2554" spans="1:11" ht="15.75">
      <c r="A2554" s="579">
        <v>44628</v>
      </c>
      <c r="B2554" s="381" t="s">
        <v>2182</v>
      </c>
      <c r="C2554" s="381" t="s">
        <v>4030</v>
      </c>
      <c r="D2554" s="381" t="s">
        <v>2966</v>
      </c>
      <c r="E2554" s="451">
        <v>1600000</v>
      </c>
      <c r="F2554" s="381" t="s">
        <v>2292</v>
      </c>
      <c r="G2554" s="381" t="s">
        <v>2605</v>
      </c>
      <c r="H2554" s="383" t="s">
        <v>1955</v>
      </c>
      <c r="I2554" s="383" t="s">
        <v>1644</v>
      </c>
      <c r="J2554" s="383">
        <v>1</v>
      </c>
      <c r="K2554" s="381" t="s">
        <v>1245</v>
      </c>
    </row>
    <row r="2555" spans="1:11" ht="15.75">
      <c r="A2555" s="579">
        <v>44689</v>
      </c>
      <c r="B2555" s="381" t="s">
        <v>2182</v>
      </c>
      <c r="C2555" s="381" t="s">
        <v>4031</v>
      </c>
      <c r="D2555" s="381" t="s">
        <v>4032</v>
      </c>
      <c r="E2555" s="451">
        <v>1700000</v>
      </c>
      <c r="F2555" s="381" t="s">
        <v>2292</v>
      </c>
      <c r="G2555" s="381" t="s">
        <v>2625</v>
      </c>
      <c r="H2555" s="383" t="s">
        <v>1955</v>
      </c>
      <c r="I2555" s="383" t="s">
        <v>1644</v>
      </c>
      <c r="J2555" s="383">
        <v>1</v>
      </c>
      <c r="K2555" s="381" t="s">
        <v>3681</v>
      </c>
    </row>
    <row r="2556" spans="1:11" ht="15.75">
      <c r="A2556" s="579">
        <v>44781</v>
      </c>
      <c r="B2556" s="381" t="s">
        <v>2182</v>
      </c>
      <c r="C2556" s="381" t="s">
        <v>4033</v>
      </c>
      <c r="D2556" s="381" t="s">
        <v>75</v>
      </c>
      <c r="E2556" s="451">
        <v>1700000</v>
      </c>
      <c r="F2556" s="381" t="s">
        <v>1968</v>
      </c>
      <c r="G2556" s="381" t="s">
        <v>2593</v>
      </c>
      <c r="H2556" s="383" t="s">
        <v>1955</v>
      </c>
      <c r="I2556" s="383" t="s">
        <v>1644</v>
      </c>
      <c r="J2556" s="383">
        <v>1</v>
      </c>
      <c r="K2556" s="381" t="s">
        <v>4034</v>
      </c>
    </row>
    <row r="2557" spans="1:11" ht="15.75">
      <c r="A2557" s="579">
        <v>44781</v>
      </c>
      <c r="B2557" s="381" t="s">
        <v>2182</v>
      </c>
      <c r="C2557" s="381" t="s">
        <v>2064</v>
      </c>
      <c r="D2557" s="381" t="s">
        <v>4032</v>
      </c>
      <c r="E2557" s="451">
        <v>1500000</v>
      </c>
      <c r="F2557" s="381" t="s">
        <v>4035</v>
      </c>
      <c r="G2557" s="381" t="s">
        <v>2625</v>
      </c>
      <c r="H2557" s="383" t="s">
        <v>1955</v>
      </c>
      <c r="I2557" s="383" t="s">
        <v>1644</v>
      </c>
      <c r="J2557" s="383">
        <v>1</v>
      </c>
      <c r="K2557" s="381" t="s">
        <v>1245</v>
      </c>
    </row>
    <row r="2558" spans="1:11" ht="15.75">
      <c r="A2558" s="579">
        <v>44812</v>
      </c>
      <c r="B2558" s="381" t="s">
        <v>2182</v>
      </c>
      <c r="C2558" s="381" t="s">
        <v>4036</v>
      </c>
      <c r="D2558" s="381" t="s">
        <v>4037</v>
      </c>
      <c r="E2558" s="451">
        <v>14000000</v>
      </c>
      <c r="F2558" s="381" t="s">
        <v>2265</v>
      </c>
      <c r="G2558" s="381" t="s">
        <v>2593</v>
      </c>
      <c r="H2558" s="383" t="s">
        <v>1955</v>
      </c>
      <c r="I2558" s="383" t="s">
        <v>1644</v>
      </c>
      <c r="J2558" s="383">
        <v>1</v>
      </c>
      <c r="K2558" s="381" t="s">
        <v>4034</v>
      </c>
    </row>
    <row r="2559" spans="1:11" ht="15.75">
      <c r="A2559" s="579">
        <v>44812</v>
      </c>
      <c r="B2559" s="381" t="s">
        <v>2182</v>
      </c>
      <c r="C2559" s="381" t="s">
        <v>4038</v>
      </c>
      <c r="D2559" s="381" t="s">
        <v>2693</v>
      </c>
      <c r="E2559" s="451">
        <v>900000</v>
      </c>
      <c r="F2559" s="381" t="s">
        <v>1968</v>
      </c>
      <c r="G2559" s="381" t="s">
        <v>2593</v>
      </c>
      <c r="H2559" s="383" t="s">
        <v>1955</v>
      </c>
      <c r="I2559" s="383" t="s">
        <v>1644</v>
      </c>
      <c r="J2559" s="383">
        <v>1</v>
      </c>
      <c r="K2559" s="381" t="s">
        <v>4039</v>
      </c>
    </row>
    <row r="2560" spans="1:11" ht="15.75">
      <c r="A2560" s="579">
        <v>44842</v>
      </c>
      <c r="B2560" s="381" t="s">
        <v>2182</v>
      </c>
      <c r="C2560" s="381" t="s">
        <v>4019</v>
      </c>
      <c r="D2560" s="381" t="s">
        <v>4020</v>
      </c>
      <c r="E2560" s="451">
        <v>900000</v>
      </c>
      <c r="F2560" s="381" t="s">
        <v>1968</v>
      </c>
      <c r="G2560" s="381" t="s">
        <v>2593</v>
      </c>
      <c r="H2560" s="383" t="s">
        <v>1955</v>
      </c>
      <c r="I2560" s="383" t="s">
        <v>1644</v>
      </c>
      <c r="J2560" s="383">
        <v>1</v>
      </c>
      <c r="K2560" s="381" t="s">
        <v>4034</v>
      </c>
    </row>
    <row r="2561" spans="1:11" ht="15.75">
      <c r="A2561" s="579">
        <v>44873</v>
      </c>
      <c r="B2561" s="381" t="s">
        <v>2182</v>
      </c>
      <c r="C2561" s="381" t="s">
        <v>472</v>
      </c>
      <c r="D2561" s="381" t="s">
        <v>3128</v>
      </c>
      <c r="E2561" s="451">
        <v>900000</v>
      </c>
      <c r="F2561" s="381" t="s">
        <v>1968</v>
      </c>
      <c r="G2561" s="381" t="s">
        <v>4040</v>
      </c>
      <c r="H2561" s="383" t="s">
        <v>1955</v>
      </c>
      <c r="I2561" s="383" t="s">
        <v>1644</v>
      </c>
      <c r="J2561" s="383">
        <v>1</v>
      </c>
      <c r="K2561" s="381" t="s">
        <v>4039</v>
      </c>
    </row>
    <row r="2562" spans="1:11" ht="15.75">
      <c r="A2562" s="579">
        <v>44873</v>
      </c>
      <c r="B2562" s="381" t="s">
        <v>2182</v>
      </c>
      <c r="C2562" s="381" t="s">
        <v>4041</v>
      </c>
      <c r="D2562" s="381" t="s">
        <v>2568</v>
      </c>
      <c r="E2562" s="451">
        <v>1200000</v>
      </c>
      <c r="F2562" s="381" t="s">
        <v>2292</v>
      </c>
      <c r="G2562" s="381" t="s">
        <v>2593</v>
      </c>
      <c r="H2562" s="383" t="s">
        <v>1955</v>
      </c>
      <c r="I2562" s="383" t="s">
        <v>1644</v>
      </c>
      <c r="J2562" s="383">
        <v>1</v>
      </c>
      <c r="K2562" s="381" t="s">
        <v>3681</v>
      </c>
    </row>
    <row r="2563" spans="1:11" ht="15.75">
      <c r="A2563" s="579">
        <v>44903</v>
      </c>
      <c r="B2563" s="381" t="s">
        <v>2182</v>
      </c>
      <c r="C2563" s="381" t="s">
        <v>4042</v>
      </c>
      <c r="D2563" s="381" t="s">
        <v>2693</v>
      </c>
      <c r="E2563" s="451">
        <v>900000</v>
      </c>
      <c r="F2563" s="381" t="s">
        <v>1968</v>
      </c>
      <c r="G2563" s="381" t="s">
        <v>4040</v>
      </c>
      <c r="H2563" s="383" t="s">
        <v>1955</v>
      </c>
      <c r="I2563" s="383" t="s">
        <v>1644</v>
      </c>
      <c r="J2563" s="383">
        <v>1</v>
      </c>
      <c r="K2563" s="381" t="s">
        <v>4039</v>
      </c>
    </row>
    <row r="2564" spans="1:11" ht="15.75">
      <c r="A2564" s="579" t="s">
        <v>4043</v>
      </c>
      <c r="B2564" s="381" t="s">
        <v>2182</v>
      </c>
      <c r="C2564" s="381" t="s">
        <v>4044</v>
      </c>
      <c r="D2564" s="381" t="s">
        <v>3493</v>
      </c>
      <c r="E2564" s="451">
        <v>2100000</v>
      </c>
      <c r="F2564" s="381" t="s">
        <v>2292</v>
      </c>
      <c r="G2564" s="381" t="s">
        <v>2625</v>
      </c>
      <c r="H2564" s="383" t="s">
        <v>1955</v>
      </c>
      <c r="I2564" s="383" t="s">
        <v>1644</v>
      </c>
      <c r="J2564" s="383">
        <v>1</v>
      </c>
      <c r="K2564" s="381" t="s">
        <v>3681</v>
      </c>
    </row>
    <row r="2565" spans="1:11" ht="15.75">
      <c r="A2565" s="579" t="s">
        <v>4045</v>
      </c>
      <c r="B2565" s="381" t="s">
        <v>1952</v>
      </c>
      <c r="C2565" s="381" t="s">
        <v>4046</v>
      </c>
      <c r="D2565" s="381" t="s">
        <v>2659</v>
      </c>
      <c r="E2565" s="451">
        <v>1600000</v>
      </c>
      <c r="F2565" s="381" t="s">
        <v>2292</v>
      </c>
      <c r="G2565" s="381" t="s">
        <v>2593</v>
      </c>
      <c r="H2565" s="383" t="s">
        <v>1955</v>
      </c>
      <c r="I2565" s="383" t="s">
        <v>1644</v>
      </c>
      <c r="J2565" s="383">
        <v>1</v>
      </c>
      <c r="K2565" s="381" t="s">
        <v>4039</v>
      </c>
    </row>
    <row r="2566" spans="1:11" ht="15.75">
      <c r="A2566" s="579" t="s">
        <v>4045</v>
      </c>
      <c r="B2566" s="381" t="s">
        <v>2182</v>
      </c>
      <c r="C2566" s="381" t="s">
        <v>4047</v>
      </c>
      <c r="D2566" s="381" t="s">
        <v>4020</v>
      </c>
      <c r="E2566" s="451">
        <v>750000</v>
      </c>
      <c r="F2566" s="381" t="s">
        <v>1968</v>
      </c>
      <c r="G2566" s="381" t="s">
        <v>185</v>
      </c>
      <c r="H2566" s="383" t="s">
        <v>1955</v>
      </c>
      <c r="I2566" s="383" t="s">
        <v>1644</v>
      </c>
      <c r="J2566" s="383">
        <v>1</v>
      </c>
      <c r="K2566" s="381" t="s">
        <v>3681</v>
      </c>
    </row>
    <row r="2567" spans="1:11" ht="15.75">
      <c r="A2567" s="579" t="s">
        <v>4048</v>
      </c>
      <c r="B2567" s="381" t="s">
        <v>2182</v>
      </c>
      <c r="C2567" s="381" t="s">
        <v>4049</v>
      </c>
      <c r="D2567" s="381" t="s">
        <v>3758</v>
      </c>
      <c r="E2567" s="451">
        <v>1100000</v>
      </c>
      <c r="F2567" s="381" t="s">
        <v>2292</v>
      </c>
      <c r="G2567" s="381" t="s">
        <v>2593</v>
      </c>
      <c r="H2567" s="383" t="s">
        <v>1955</v>
      </c>
      <c r="I2567" s="383" t="s">
        <v>1644</v>
      </c>
      <c r="J2567" s="383">
        <v>1</v>
      </c>
      <c r="K2567" s="381" t="s">
        <v>1245</v>
      </c>
    </row>
    <row r="2568" spans="1:11" ht="15.75">
      <c r="A2568" s="744" t="s">
        <v>4050</v>
      </c>
      <c r="B2568" s="381" t="s">
        <v>2182</v>
      </c>
      <c r="C2568" s="381" t="s">
        <v>4051</v>
      </c>
      <c r="D2568" s="381" t="s">
        <v>2659</v>
      </c>
      <c r="E2568" s="451">
        <v>1700000</v>
      </c>
      <c r="F2568" s="381" t="s">
        <v>2292</v>
      </c>
      <c r="G2568" s="381" t="s">
        <v>2593</v>
      </c>
      <c r="H2568" s="383" t="s">
        <v>1955</v>
      </c>
      <c r="I2568" s="383" t="s">
        <v>1644</v>
      </c>
      <c r="J2568" s="383">
        <v>1</v>
      </c>
      <c r="K2568" s="381" t="s">
        <v>3681</v>
      </c>
    </row>
    <row r="2569" spans="1:11" ht="15.75">
      <c r="A2569" s="393" t="s">
        <v>4052</v>
      </c>
      <c r="B2569" s="610" t="s">
        <v>2182</v>
      </c>
      <c r="C2569" s="482" t="s">
        <v>4053</v>
      </c>
      <c r="D2569" s="482" t="s">
        <v>2568</v>
      </c>
      <c r="E2569" s="483">
        <v>900000</v>
      </c>
      <c r="F2569" s="482" t="s">
        <v>2292</v>
      </c>
      <c r="G2569" s="482" t="s">
        <v>2593</v>
      </c>
      <c r="H2569" s="484" t="s">
        <v>1955</v>
      </c>
      <c r="I2569" s="484" t="s">
        <v>1644</v>
      </c>
      <c r="J2569" s="484">
        <v>1</v>
      </c>
      <c r="K2569" s="482" t="s">
        <v>1245</v>
      </c>
    </row>
    <row r="2570" spans="1:11" ht="15.75">
      <c r="A2570" s="456"/>
      <c r="B2570" s="457"/>
      <c r="C2570" s="457"/>
      <c r="D2570" s="457"/>
      <c r="E2570" s="476"/>
      <c r="F2570" s="457"/>
      <c r="G2570" s="457"/>
      <c r="H2570" s="153"/>
      <c r="I2570" s="153"/>
      <c r="J2570" s="493">
        <f>SUM(J2546:J2569)</f>
        <v>24</v>
      </c>
      <c r="K2570" s="457"/>
    </row>
    <row r="2571" spans="1:11" ht="15.75">
      <c r="A2571" s="394"/>
      <c r="B2571" s="395"/>
      <c r="C2571" s="395"/>
      <c r="D2571" s="395"/>
      <c r="E2571" s="396"/>
      <c r="F2571" s="397"/>
      <c r="G2571" s="397"/>
      <c r="H2571" s="395"/>
      <c r="I2571" s="395"/>
      <c r="J2571" s="395"/>
      <c r="K2571" s="395"/>
    </row>
    <row r="2572" spans="1:11" ht="15.75">
      <c r="A2572" s="394"/>
      <c r="B2572" s="395"/>
      <c r="C2572" s="395"/>
      <c r="D2572" s="395"/>
      <c r="E2572" s="396"/>
      <c r="F2572" s="397"/>
      <c r="G2572" s="397"/>
      <c r="H2572" s="395"/>
      <c r="I2572" s="395"/>
      <c r="J2572" s="395"/>
      <c r="K2572" s="395"/>
    </row>
    <row r="2574" spans="1:11" ht="26.25">
      <c r="A2574" s="1668" t="s">
        <v>4054</v>
      </c>
      <c r="B2574" s="1669"/>
      <c r="C2574" s="1669"/>
      <c r="D2574" s="1669"/>
      <c r="E2574" s="1669"/>
      <c r="F2574" s="1669"/>
      <c r="G2574" s="1669"/>
      <c r="H2574" s="1669"/>
      <c r="I2574" s="1669"/>
      <c r="J2574" s="1669"/>
      <c r="K2574" s="1670"/>
    </row>
    <row r="2575" spans="1:11" ht="30.75">
      <c r="A2575" s="378" t="s">
        <v>1941</v>
      </c>
      <c r="B2575" s="378" t="s">
        <v>1942</v>
      </c>
      <c r="C2575" s="378" t="s">
        <v>1943</v>
      </c>
      <c r="D2575" s="378" t="s">
        <v>1944</v>
      </c>
      <c r="E2575" s="452" t="s">
        <v>1945</v>
      </c>
      <c r="F2575" s="378" t="s">
        <v>1946</v>
      </c>
      <c r="G2575" s="378" t="s">
        <v>2590</v>
      </c>
      <c r="H2575" s="378" t="s">
        <v>1947</v>
      </c>
      <c r="I2575" s="378" t="s">
        <v>1948</v>
      </c>
      <c r="J2575" s="453" t="s">
        <v>1949</v>
      </c>
      <c r="K2575" s="378" t="s">
        <v>1950</v>
      </c>
    </row>
    <row r="2576" spans="1:11" ht="15.75">
      <c r="A2576" s="922">
        <v>44781</v>
      </c>
      <c r="B2576" s="618" t="s">
        <v>2182</v>
      </c>
      <c r="C2576" s="472" t="s">
        <v>1207</v>
      </c>
      <c r="D2576" s="472" t="s">
        <v>2758</v>
      </c>
      <c r="E2576" s="475">
        <v>195000000</v>
      </c>
      <c r="F2576" s="472" t="s">
        <v>1968</v>
      </c>
      <c r="G2576" s="472" t="s">
        <v>185</v>
      </c>
      <c r="H2576" s="473" t="s">
        <v>1955</v>
      </c>
      <c r="I2576" s="473" t="s">
        <v>1955</v>
      </c>
      <c r="J2576" s="473">
        <v>1</v>
      </c>
      <c r="K2576" s="472" t="s">
        <v>2629</v>
      </c>
    </row>
    <row r="2577" spans="1:11" ht="15.75">
      <c r="A2577" s="922"/>
      <c r="B2577" s="618"/>
      <c r="C2577" s="578"/>
      <c r="D2577" s="472"/>
      <c r="E2577" s="475"/>
      <c r="F2577" s="472"/>
      <c r="G2577" s="472"/>
      <c r="H2577" s="473"/>
      <c r="I2577" s="473"/>
      <c r="J2577" s="473"/>
      <c r="K2577" s="472"/>
    </row>
    <row r="2578" spans="1:11" ht="15.75">
      <c r="A2578" s="611"/>
      <c r="B2578" s="472"/>
      <c r="C2578" s="472"/>
      <c r="D2578" s="472"/>
      <c r="E2578" s="475"/>
      <c r="F2578" s="472"/>
      <c r="G2578" s="472"/>
      <c r="H2578" s="473"/>
      <c r="I2578" s="473"/>
      <c r="J2578" s="473"/>
      <c r="K2578" s="472"/>
    </row>
    <row r="2579" spans="1:11" ht="15.75">
      <c r="A2579" s="384" t="s">
        <v>4016</v>
      </c>
      <c r="B2579" s="577" t="s">
        <v>1952</v>
      </c>
      <c r="C2579" s="385" t="s">
        <v>4055</v>
      </c>
      <c r="D2579" s="385" t="s">
        <v>2326</v>
      </c>
      <c r="E2579" s="462">
        <v>1100000</v>
      </c>
      <c r="F2579" s="385" t="s">
        <v>2292</v>
      </c>
      <c r="G2579" s="385" t="s">
        <v>2593</v>
      </c>
      <c r="H2579" s="387" t="s">
        <v>1955</v>
      </c>
      <c r="I2579" s="387" t="s">
        <v>1625</v>
      </c>
      <c r="J2579" s="387">
        <v>1</v>
      </c>
      <c r="K2579" s="385" t="s">
        <v>3681</v>
      </c>
    </row>
    <row r="2580" spans="1:11" ht="15.75">
      <c r="A2580" s="384" t="s">
        <v>4056</v>
      </c>
      <c r="B2580" s="577" t="s">
        <v>1966</v>
      </c>
      <c r="C2580" s="426" t="s">
        <v>4057</v>
      </c>
      <c r="D2580" s="385" t="s">
        <v>3535</v>
      </c>
      <c r="E2580" s="462">
        <v>4000000</v>
      </c>
      <c r="F2580" s="385" t="s">
        <v>1968</v>
      </c>
      <c r="G2580" s="385" t="s">
        <v>2593</v>
      </c>
      <c r="H2580" s="387" t="s">
        <v>1955</v>
      </c>
      <c r="I2580" s="387" t="s">
        <v>1625</v>
      </c>
      <c r="J2580" s="387">
        <v>1</v>
      </c>
      <c r="K2580" s="385" t="s">
        <v>1245</v>
      </c>
    </row>
    <row r="2581" spans="1:11" ht="15.75">
      <c r="A2581" s="384" t="s">
        <v>4027</v>
      </c>
      <c r="B2581" s="577" t="s">
        <v>1952</v>
      </c>
      <c r="C2581" s="426" t="s">
        <v>4058</v>
      </c>
      <c r="D2581" s="385" t="s">
        <v>4059</v>
      </c>
      <c r="E2581" s="462">
        <v>1250000</v>
      </c>
      <c r="F2581" s="385" t="s">
        <v>2292</v>
      </c>
      <c r="G2581" s="385" t="s">
        <v>2605</v>
      </c>
      <c r="H2581" s="387" t="s">
        <v>1955</v>
      </c>
      <c r="I2581" s="387" t="s">
        <v>1625</v>
      </c>
      <c r="J2581" s="387">
        <v>1</v>
      </c>
      <c r="K2581" s="385" t="s">
        <v>3681</v>
      </c>
    </row>
    <row r="2582" spans="1:11" ht="15.75">
      <c r="A2582" s="412" t="s">
        <v>4027</v>
      </c>
      <c r="B2582" s="381" t="s">
        <v>1952</v>
      </c>
      <c r="C2582" s="426" t="s">
        <v>4060</v>
      </c>
      <c r="D2582" s="385" t="s">
        <v>2711</v>
      </c>
      <c r="E2582" s="462">
        <v>1200000</v>
      </c>
      <c r="F2582" s="385" t="s">
        <v>2292</v>
      </c>
      <c r="G2582" s="385" t="s">
        <v>30</v>
      </c>
      <c r="H2582" s="387" t="s">
        <v>1955</v>
      </c>
      <c r="I2582" s="387" t="s">
        <v>1625</v>
      </c>
      <c r="J2582" s="387">
        <v>1</v>
      </c>
      <c r="K2582" s="385" t="s">
        <v>1171</v>
      </c>
    </row>
    <row r="2583" spans="1:11" ht="15.75">
      <c r="A2583" s="412">
        <v>44569</v>
      </c>
      <c r="B2583" s="381" t="s">
        <v>1966</v>
      </c>
      <c r="C2583" s="426" t="s">
        <v>4061</v>
      </c>
      <c r="D2583" s="385" t="s">
        <v>75</v>
      </c>
      <c r="E2583" s="462">
        <v>2800000</v>
      </c>
      <c r="F2583" s="385" t="s">
        <v>2292</v>
      </c>
      <c r="G2583" s="385" t="s">
        <v>2593</v>
      </c>
      <c r="H2583" s="387" t="s">
        <v>1955</v>
      </c>
      <c r="I2583" s="387" t="s">
        <v>1625</v>
      </c>
      <c r="J2583" s="387">
        <v>1</v>
      </c>
      <c r="K2583" s="385" t="s">
        <v>1245</v>
      </c>
    </row>
    <row r="2584" spans="1:11" ht="15.75">
      <c r="A2584" s="412">
        <v>44628</v>
      </c>
      <c r="B2584" s="381" t="s">
        <v>1952</v>
      </c>
      <c r="C2584" s="426" t="s">
        <v>1193</v>
      </c>
      <c r="D2584" s="385" t="s">
        <v>2711</v>
      </c>
      <c r="E2584" s="462">
        <v>1700000</v>
      </c>
      <c r="F2584" s="385" t="s">
        <v>2292</v>
      </c>
      <c r="G2584" s="385" t="s">
        <v>2593</v>
      </c>
      <c r="H2584" s="387" t="s">
        <v>1955</v>
      </c>
      <c r="I2584" s="387" t="s">
        <v>1625</v>
      </c>
      <c r="J2584" s="387">
        <v>1</v>
      </c>
      <c r="K2584" s="385" t="s">
        <v>3681</v>
      </c>
    </row>
    <row r="2585" spans="1:11" ht="15.75">
      <c r="A2585" s="928">
        <v>44628</v>
      </c>
      <c r="B2585" s="420" t="s">
        <v>1952</v>
      </c>
      <c r="C2585" s="743" t="s">
        <v>4062</v>
      </c>
      <c r="D2585" s="633" t="s">
        <v>3764</v>
      </c>
      <c r="E2585" s="644">
        <v>900000</v>
      </c>
      <c r="F2585" s="633" t="s">
        <v>1968</v>
      </c>
      <c r="G2585" s="633" t="s">
        <v>2593</v>
      </c>
      <c r="H2585" s="635" t="s">
        <v>1955</v>
      </c>
      <c r="I2585" s="635" t="s">
        <v>1625</v>
      </c>
      <c r="J2585" s="387">
        <v>1</v>
      </c>
      <c r="K2585" s="385" t="s">
        <v>1245</v>
      </c>
    </row>
    <row r="2586" spans="1:11" ht="15.75">
      <c r="A2586" s="928">
        <v>44659</v>
      </c>
      <c r="B2586" s="420" t="s">
        <v>2182</v>
      </c>
      <c r="C2586" s="743" t="s">
        <v>4063</v>
      </c>
      <c r="D2586" s="633" t="s">
        <v>2326</v>
      </c>
      <c r="E2586" s="644">
        <v>1050000</v>
      </c>
      <c r="F2586" s="633" t="s">
        <v>2292</v>
      </c>
      <c r="G2586" s="633" t="s">
        <v>2593</v>
      </c>
      <c r="H2586" s="635" t="s">
        <v>1955</v>
      </c>
      <c r="I2586" s="635" t="s">
        <v>1644</v>
      </c>
      <c r="J2586" s="387">
        <v>1</v>
      </c>
      <c r="K2586" s="385" t="s">
        <v>1171</v>
      </c>
    </row>
    <row r="2587" spans="1:11" ht="15.75">
      <c r="A2587" s="928" t="s">
        <v>4064</v>
      </c>
      <c r="B2587" s="420" t="s">
        <v>1952</v>
      </c>
      <c r="C2587" s="743" t="s">
        <v>4065</v>
      </c>
      <c r="D2587" s="633" t="s">
        <v>2326</v>
      </c>
      <c r="E2587" s="644">
        <v>1100000</v>
      </c>
      <c r="F2587" s="633" t="s">
        <v>2292</v>
      </c>
      <c r="G2587" s="633" t="s">
        <v>2593</v>
      </c>
      <c r="H2587" s="635" t="s">
        <v>1955</v>
      </c>
      <c r="I2587" s="635" t="s">
        <v>1644</v>
      </c>
      <c r="J2587" s="387">
        <v>1</v>
      </c>
      <c r="K2587" s="385" t="s">
        <v>3681</v>
      </c>
    </row>
    <row r="2588" spans="1:11" ht="15.75">
      <c r="A2588" s="924">
        <v>44659</v>
      </c>
      <c r="B2588" s="426" t="s">
        <v>2182</v>
      </c>
      <c r="C2588" s="385" t="s">
        <v>4066</v>
      </c>
      <c r="D2588" s="385" t="s">
        <v>2347</v>
      </c>
      <c r="E2588" s="462">
        <v>2000000</v>
      </c>
      <c r="F2588" s="633" t="s">
        <v>2292</v>
      </c>
      <c r="G2588" s="633" t="s">
        <v>2593</v>
      </c>
      <c r="H2588" s="387" t="s">
        <v>1955</v>
      </c>
      <c r="I2588" s="387" t="s">
        <v>1644</v>
      </c>
      <c r="J2588" s="387">
        <v>1</v>
      </c>
      <c r="K2588" s="385" t="s">
        <v>1245</v>
      </c>
    </row>
    <row r="2589" spans="1:11" ht="15.75">
      <c r="A2589" s="412">
        <v>44781</v>
      </c>
      <c r="B2589" s="381" t="s">
        <v>2182</v>
      </c>
      <c r="C2589" s="381" t="s">
        <v>4067</v>
      </c>
      <c r="D2589" s="381" t="s">
        <v>4068</v>
      </c>
      <c r="E2589" s="451">
        <v>1100000</v>
      </c>
      <c r="F2589" s="381" t="s">
        <v>1968</v>
      </c>
      <c r="G2589" s="381" t="s">
        <v>2593</v>
      </c>
      <c r="H2589" s="383" t="s">
        <v>1955</v>
      </c>
      <c r="I2589" s="383" t="s">
        <v>1644</v>
      </c>
      <c r="J2589" s="383">
        <v>1</v>
      </c>
      <c r="K2589" s="381" t="s">
        <v>4039</v>
      </c>
    </row>
    <row r="2590" spans="1:11" ht="15.75">
      <c r="A2590" s="412">
        <v>44781</v>
      </c>
      <c r="B2590" s="381" t="s">
        <v>2182</v>
      </c>
      <c r="C2590" s="381" t="s">
        <v>4069</v>
      </c>
      <c r="D2590" s="381" t="s">
        <v>4068</v>
      </c>
      <c r="E2590" s="451">
        <v>1100000</v>
      </c>
      <c r="F2590" s="381" t="s">
        <v>1968</v>
      </c>
      <c r="G2590" s="381" t="s">
        <v>2593</v>
      </c>
      <c r="H2590" s="383" t="s">
        <v>1955</v>
      </c>
      <c r="I2590" s="383" t="s">
        <v>1644</v>
      </c>
      <c r="J2590" s="383">
        <v>1</v>
      </c>
      <c r="K2590" s="381" t="s">
        <v>4034</v>
      </c>
    </row>
    <row r="2591" spans="1:11" ht="15.75">
      <c r="A2591" s="928" t="s">
        <v>4052</v>
      </c>
      <c r="B2591" s="420" t="s">
        <v>2182</v>
      </c>
      <c r="C2591" s="1303" t="s">
        <v>4070</v>
      </c>
      <c r="D2591" s="1304" t="s">
        <v>2167</v>
      </c>
      <c r="E2591" s="1305">
        <v>1800000</v>
      </c>
      <c r="F2591" s="1304" t="s">
        <v>2292</v>
      </c>
      <c r="G2591" s="1304" t="s">
        <v>2593</v>
      </c>
      <c r="H2591" s="1306" t="s">
        <v>1955</v>
      </c>
      <c r="I2591" s="1306" t="s">
        <v>1644</v>
      </c>
      <c r="J2591" s="484">
        <v>1</v>
      </c>
      <c r="K2591" s="482" t="s">
        <v>856</v>
      </c>
    </row>
    <row r="2592" spans="1:11" ht="15.75">
      <c r="A2592" s="928" t="s">
        <v>4052</v>
      </c>
      <c r="B2592" s="420" t="s">
        <v>2182</v>
      </c>
      <c r="C2592" s="743" t="s">
        <v>1211</v>
      </c>
      <c r="D2592" s="633" t="s">
        <v>2326</v>
      </c>
      <c r="E2592" s="644">
        <v>1000000</v>
      </c>
      <c r="F2592" s="633" t="s">
        <v>2292</v>
      </c>
      <c r="G2592" s="633" t="s">
        <v>2593</v>
      </c>
      <c r="H2592" s="635" t="s">
        <v>1955</v>
      </c>
      <c r="I2592" s="635" t="s">
        <v>1644</v>
      </c>
      <c r="J2592" s="387">
        <v>1</v>
      </c>
      <c r="K2592" s="385" t="s">
        <v>1245</v>
      </c>
    </row>
    <row r="2593" spans="1:11" ht="15.75">
      <c r="A2593" s="928" t="s">
        <v>4052</v>
      </c>
      <c r="B2593" s="420" t="s">
        <v>2182</v>
      </c>
      <c r="C2593" s="743" t="s">
        <v>4071</v>
      </c>
      <c r="D2593" s="633" t="s">
        <v>2711</v>
      </c>
      <c r="E2593" s="644">
        <v>1400000</v>
      </c>
      <c r="F2593" s="633" t="s">
        <v>2292</v>
      </c>
      <c r="G2593" s="633" t="s">
        <v>2741</v>
      </c>
      <c r="H2593" s="635" t="s">
        <v>1955</v>
      </c>
      <c r="I2593" s="635" t="s">
        <v>1644</v>
      </c>
      <c r="J2593" s="387">
        <v>1</v>
      </c>
      <c r="K2593" s="385" t="s">
        <v>3681</v>
      </c>
    </row>
    <row r="2594" spans="1:11" ht="15.75">
      <c r="A2594" s="419"/>
      <c r="B2594" s="420"/>
      <c r="C2594" s="457"/>
      <c r="D2594" s="457"/>
      <c r="E2594" s="458"/>
      <c r="F2594" s="457"/>
      <c r="G2594" s="457"/>
      <c r="H2594" s="457"/>
      <c r="I2594" s="457"/>
      <c r="J2594" s="493">
        <f>SUM(J2576:J2593)</f>
        <v>16</v>
      </c>
      <c r="K2594" s="457"/>
    </row>
    <row r="2597" spans="1:11" ht="26.25">
      <c r="A2597" s="1668" t="s">
        <v>4072</v>
      </c>
      <c r="B2597" s="1669"/>
      <c r="C2597" s="1669"/>
      <c r="D2597" s="1669"/>
      <c r="E2597" s="1669"/>
      <c r="F2597" s="1669"/>
      <c r="G2597" s="1669"/>
      <c r="H2597" s="1669"/>
      <c r="I2597" s="1669"/>
      <c r="J2597" s="1669"/>
      <c r="K2597" s="1670"/>
    </row>
    <row r="2598" spans="1:11" ht="30.75">
      <c r="A2598" s="375" t="s">
        <v>1941</v>
      </c>
      <c r="B2598" s="378" t="s">
        <v>1942</v>
      </c>
      <c r="C2598" s="378" t="s">
        <v>1943</v>
      </c>
      <c r="D2598" s="378" t="s">
        <v>1944</v>
      </c>
      <c r="E2598" s="452" t="s">
        <v>1945</v>
      </c>
      <c r="F2598" s="378" t="s">
        <v>1946</v>
      </c>
      <c r="G2598" s="378" t="s">
        <v>2590</v>
      </c>
      <c r="H2598" s="378" t="s">
        <v>1947</v>
      </c>
      <c r="I2598" s="378" t="s">
        <v>1948</v>
      </c>
      <c r="J2598" s="453" t="s">
        <v>1949</v>
      </c>
      <c r="K2598" s="378" t="s">
        <v>1950</v>
      </c>
    </row>
    <row r="2599" spans="1:11" ht="15.75">
      <c r="A2599" s="1068">
        <v>44628</v>
      </c>
      <c r="B2599" s="1069" t="s">
        <v>1952</v>
      </c>
      <c r="C2599" s="1070" t="s">
        <v>3088</v>
      </c>
      <c r="D2599" s="1071" t="s">
        <v>3089</v>
      </c>
      <c r="E2599" s="1072">
        <v>190000000</v>
      </c>
      <c r="F2599" s="1073" t="s">
        <v>2292</v>
      </c>
      <c r="G2599" s="1073" t="s">
        <v>2593</v>
      </c>
      <c r="H2599" s="1074" t="s">
        <v>1955</v>
      </c>
      <c r="I2599" s="1074" t="s">
        <v>1625</v>
      </c>
      <c r="J2599" s="1074">
        <v>1</v>
      </c>
      <c r="K2599" s="1073" t="s">
        <v>2629</v>
      </c>
    </row>
    <row r="2600" spans="1:11" ht="15.75">
      <c r="A2600" s="1068">
        <v>44659</v>
      </c>
      <c r="B2600" s="1069" t="s">
        <v>1952</v>
      </c>
      <c r="C2600" s="1070" t="s">
        <v>4073</v>
      </c>
      <c r="D2600" s="1071" t="s">
        <v>2326</v>
      </c>
      <c r="E2600" s="1072">
        <v>180000000</v>
      </c>
      <c r="F2600" s="1073" t="s">
        <v>1968</v>
      </c>
      <c r="G2600" s="1073" t="s">
        <v>2593</v>
      </c>
      <c r="H2600" s="1074" t="s">
        <v>1955</v>
      </c>
      <c r="I2600" s="1074" t="s">
        <v>1625</v>
      </c>
      <c r="J2600" s="1074">
        <v>1</v>
      </c>
      <c r="K2600" s="1073" t="s">
        <v>2629</v>
      </c>
    </row>
    <row r="2601" spans="1:11" ht="15.75">
      <c r="A2601" s="1068">
        <v>44659</v>
      </c>
      <c r="B2601" s="1069" t="s">
        <v>1952</v>
      </c>
      <c r="C2601" s="1070" t="s">
        <v>4074</v>
      </c>
      <c r="D2601" s="1071" t="s">
        <v>2576</v>
      </c>
      <c r="E2601" s="1072">
        <v>180000000</v>
      </c>
      <c r="F2601" s="1073" t="s">
        <v>2292</v>
      </c>
      <c r="G2601" s="1073" t="s">
        <v>2593</v>
      </c>
      <c r="H2601" s="1074" t="s">
        <v>1955</v>
      </c>
      <c r="I2601" s="1074" t="s">
        <v>1625</v>
      </c>
      <c r="J2601" s="1074">
        <v>1</v>
      </c>
      <c r="K2601" s="1073" t="s">
        <v>2629</v>
      </c>
    </row>
    <row r="2602" spans="1:11" ht="15.75">
      <c r="A2602" s="1068">
        <v>44659</v>
      </c>
      <c r="B2602" s="1069" t="s">
        <v>1952</v>
      </c>
      <c r="C2602" s="1070" t="s">
        <v>4075</v>
      </c>
      <c r="D2602" s="1071" t="s">
        <v>2711</v>
      </c>
      <c r="E2602" s="1072">
        <v>350000000</v>
      </c>
      <c r="F2602" s="1073" t="s">
        <v>2292</v>
      </c>
      <c r="G2602" s="1073" t="s">
        <v>2593</v>
      </c>
      <c r="H2602" s="1074" t="s">
        <v>1955</v>
      </c>
      <c r="I2602" s="1074" t="s">
        <v>1625</v>
      </c>
      <c r="J2602" s="1074">
        <v>1</v>
      </c>
      <c r="K2602" s="1073" t="s">
        <v>2629</v>
      </c>
    </row>
    <row r="2603" spans="1:11" ht="15.75">
      <c r="A2603" s="1068">
        <v>44659</v>
      </c>
      <c r="B2603" s="1069" t="s">
        <v>1952</v>
      </c>
      <c r="C2603" s="1070" t="s">
        <v>4076</v>
      </c>
      <c r="D2603" s="1071" t="s">
        <v>2711</v>
      </c>
      <c r="E2603" s="1072">
        <v>150000000</v>
      </c>
      <c r="F2603" s="1073" t="s">
        <v>1968</v>
      </c>
      <c r="G2603" s="1073" t="s">
        <v>2593</v>
      </c>
      <c r="H2603" s="1074" t="s">
        <v>1955</v>
      </c>
      <c r="I2603" s="1074" t="s">
        <v>1625</v>
      </c>
      <c r="J2603" s="1074">
        <v>1</v>
      </c>
      <c r="K2603" s="1073" t="s">
        <v>2629</v>
      </c>
    </row>
    <row r="2604" spans="1:11" ht="15.75">
      <c r="A2604" s="443" t="s">
        <v>4016</v>
      </c>
      <c r="B2604" s="653" t="s">
        <v>1952</v>
      </c>
      <c r="C2604" s="381" t="s">
        <v>4077</v>
      </c>
      <c r="D2604" s="426" t="s">
        <v>2326</v>
      </c>
      <c r="E2604" s="462">
        <v>850000</v>
      </c>
      <c r="F2604" s="385" t="s">
        <v>2290</v>
      </c>
      <c r="G2604" s="385" t="s">
        <v>30</v>
      </c>
      <c r="H2604" s="387" t="s">
        <v>1955</v>
      </c>
      <c r="I2604" s="387" t="s">
        <v>1625</v>
      </c>
      <c r="J2604" s="387">
        <v>1</v>
      </c>
      <c r="K2604" s="385" t="s">
        <v>1171</v>
      </c>
    </row>
    <row r="2605" spans="1:11" ht="15.75">
      <c r="A2605" s="443" t="s">
        <v>4016</v>
      </c>
      <c r="B2605" s="653" t="s">
        <v>1952</v>
      </c>
      <c r="C2605" s="381" t="s">
        <v>4078</v>
      </c>
      <c r="D2605" s="426" t="s">
        <v>2661</v>
      </c>
      <c r="E2605" s="462">
        <v>1000000</v>
      </c>
      <c r="F2605" s="385" t="s">
        <v>2292</v>
      </c>
      <c r="G2605" s="385" t="s">
        <v>2605</v>
      </c>
      <c r="H2605" s="387" t="s">
        <v>1955</v>
      </c>
      <c r="I2605" s="387" t="s">
        <v>1625</v>
      </c>
      <c r="J2605" s="387">
        <v>1</v>
      </c>
      <c r="K2605" s="385" t="s">
        <v>1245</v>
      </c>
    </row>
    <row r="2606" spans="1:11" ht="15.75">
      <c r="A2606" s="443">
        <v>44600</v>
      </c>
      <c r="B2606" s="653" t="s">
        <v>1952</v>
      </c>
      <c r="C2606" s="381" t="s">
        <v>4079</v>
      </c>
      <c r="D2606" s="426" t="s">
        <v>2326</v>
      </c>
      <c r="E2606" s="462">
        <v>1100000</v>
      </c>
      <c r="F2606" s="385" t="s">
        <v>2292</v>
      </c>
      <c r="G2606" s="385" t="s">
        <v>2593</v>
      </c>
      <c r="H2606" s="387" t="s">
        <v>1955</v>
      </c>
      <c r="I2606" s="387" t="s">
        <v>1625</v>
      </c>
      <c r="J2606" s="387">
        <v>1</v>
      </c>
      <c r="K2606" s="385" t="s">
        <v>3681</v>
      </c>
    </row>
    <row r="2607" spans="1:11" ht="15.75">
      <c r="A2607" s="443">
        <v>44781</v>
      </c>
      <c r="B2607" s="653" t="s">
        <v>2182</v>
      </c>
      <c r="C2607" s="381" t="s">
        <v>1207</v>
      </c>
      <c r="D2607" s="426" t="s">
        <v>2758</v>
      </c>
      <c r="E2607" s="462">
        <v>1200000</v>
      </c>
      <c r="F2607" s="385" t="s">
        <v>2306</v>
      </c>
      <c r="G2607" s="385" t="s">
        <v>30</v>
      </c>
      <c r="H2607" s="387" t="s">
        <v>1955</v>
      </c>
      <c r="I2607" s="387" t="s">
        <v>1644</v>
      </c>
      <c r="J2607" s="387">
        <v>1</v>
      </c>
      <c r="K2607" s="385" t="s">
        <v>4039</v>
      </c>
    </row>
    <row r="2608" spans="1:11" ht="15.75">
      <c r="A2608" s="443">
        <v>44842</v>
      </c>
      <c r="B2608" s="653" t="s">
        <v>2182</v>
      </c>
      <c r="C2608" s="381" t="s">
        <v>1208</v>
      </c>
      <c r="D2608" s="426" t="s">
        <v>2288</v>
      </c>
      <c r="E2608" s="462">
        <v>1150000</v>
      </c>
      <c r="F2608" s="385" t="s">
        <v>2292</v>
      </c>
      <c r="G2608" s="385" t="s">
        <v>2605</v>
      </c>
      <c r="H2608" s="387" t="s">
        <v>1955</v>
      </c>
      <c r="I2608" s="387" t="s">
        <v>1644</v>
      </c>
      <c r="J2608" s="387">
        <v>1</v>
      </c>
      <c r="K2608" s="385" t="s">
        <v>4034</v>
      </c>
    </row>
    <row r="2609" spans="1:11" ht="15.75">
      <c r="A2609" s="443">
        <v>44842</v>
      </c>
      <c r="B2609" s="653" t="s">
        <v>2182</v>
      </c>
      <c r="C2609" s="381" t="s">
        <v>4080</v>
      </c>
      <c r="D2609" s="426" t="s">
        <v>2288</v>
      </c>
      <c r="E2609" s="462">
        <v>1150000</v>
      </c>
      <c r="F2609" s="385" t="s">
        <v>2292</v>
      </c>
      <c r="G2609" s="385" t="s">
        <v>2625</v>
      </c>
      <c r="H2609" s="387" t="s">
        <v>1955</v>
      </c>
      <c r="I2609" s="387" t="s">
        <v>1644</v>
      </c>
      <c r="J2609" s="387">
        <v>1</v>
      </c>
      <c r="K2609" s="385" t="s">
        <v>4039</v>
      </c>
    </row>
    <row r="2610" spans="1:11" ht="15.75">
      <c r="A2610" s="443">
        <v>44842</v>
      </c>
      <c r="B2610" s="653" t="s">
        <v>2060</v>
      </c>
      <c r="C2610" s="381" t="s">
        <v>4081</v>
      </c>
      <c r="D2610" s="426" t="s">
        <v>4082</v>
      </c>
      <c r="E2610" s="462">
        <v>2800000</v>
      </c>
      <c r="F2610" s="385" t="s">
        <v>1968</v>
      </c>
      <c r="G2610" s="385" t="s">
        <v>3164</v>
      </c>
      <c r="H2610" s="387" t="s">
        <v>1625</v>
      </c>
      <c r="I2610" s="387" t="s">
        <v>1644</v>
      </c>
      <c r="J2610" s="387">
        <v>1</v>
      </c>
      <c r="K2610" s="385" t="s">
        <v>4039</v>
      </c>
    </row>
    <row r="2611" spans="1:11" ht="15.75">
      <c r="A2611" s="443">
        <v>44842</v>
      </c>
      <c r="B2611" s="653" t="s">
        <v>1966</v>
      </c>
      <c r="C2611" s="381" t="s">
        <v>4083</v>
      </c>
      <c r="D2611" s="426" t="s">
        <v>4084</v>
      </c>
      <c r="E2611" s="462">
        <v>4500000</v>
      </c>
      <c r="F2611" s="385" t="s">
        <v>1968</v>
      </c>
      <c r="G2611" s="385" t="s">
        <v>4085</v>
      </c>
      <c r="H2611" s="387" t="s">
        <v>1955</v>
      </c>
      <c r="I2611" s="387" t="s">
        <v>1644</v>
      </c>
      <c r="J2611" s="387">
        <v>1</v>
      </c>
      <c r="K2611" s="385" t="s">
        <v>4034</v>
      </c>
    </row>
    <row r="2612" spans="1:11" ht="15.75">
      <c r="A2612" s="443" t="s">
        <v>4086</v>
      </c>
      <c r="B2612" s="653" t="s">
        <v>2182</v>
      </c>
      <c r="C2612" s="381" t="s">
        <v>4087</v>
      </c>
      <c r="D2612" s="426" t="s">
        <v>2326</v>
      </c>
      <c r="E2612" s="462">
        <v>1150000</v>
      </c>
      <c r="F2612" s="385" t="s">
        <v>2292</v>
      </c>
      <c r="G2612" s="385" t="s">
        <v>30</v>
      </c>
      <c r="H2612" s="387" t="s">
        <v>1955</v>
      </c>
      <c r="I2612" s="387" t="s">
        <v>1644</v>
      </c>
      <c r="J2612" s="387">
        <v>1</v>
      </c>
      <c r="K2612" s="385" t="s">
        <v>3681</v>
      </c>
    </row>
    <row r="2613" spans="1:11" ht="15.75">
      <c r="A2613" s="443" t="s">
        <v>4023</v>
      </c>
      <c r="B2613" s="653" t="s">
        <v>2182</v>
      </c>
      <c r="C2613" s="381" t="s">
        <v>4088</v>
      </c>
      <c r="D2613" s="426" t="s">
        <v>2326</v>
      </c>
      <c r="E2613" s="462">
        <v>850000</v>
      </c>
      <c r="F2613" s="385" t="s">
        <v>2292</v>
      </c>
      <c r="G2613" s="385" t="s">
        <v>2625</v>
      </c>
      <c r="H2613" s="387" t="s">
        <v>1955</v>
      </c>
      <c r="I2613" s="387" t="s">
        <v>1644</v>
      </c>
      <c r="J2613" s="387">
        <v>1</v>
      </c>
      <c r="K2613" s="385" t="s">
        <v>1245</v>
      </c>
    </row>
    <row r="2614" spans="1:11" ht="15.75">
      <c r="A2614" s="443" t="s">
        <v>4089</v>
      </c>
      <c r="B2614" s="653" t="s">
        <v>1952</v>
      </c>
      <c r="C2614" s="381" t="s">
        <v>4090</v>
      </c>
      <c r="D2614" s="426" t="s">
        <v>2758</v>
      </c>
      <c r="E2614" s="462">
        <v>1200000</v>
      </c>
      <c r="F2614" s="385" t="s">
        <v>2292</v>
      </c>
      <c r="G2614" s="385" t="s">
        <v>30</v>
      </c>
      <c r="H2614" s="387" t="s">
        <v>1955</v>
      </c>
      <c r="I2614" s="387" t="s">
        <v>1644</v>
      </c>
      <c r="J2614" s="387">
        <v>1</v>
      </c>
      <c r="K2614" s="385" t="s">
        <v>3681</v>
      </c>
    </row>
    <row r="2615" spans="1:11" ht="15.75">
      <c r="A2615" s="443" t="s">
        <v>4052</v>
      </c>
      <c r="B2615" s="653" t="s">
        <v>1952</v>
      </c>
      <c r="C2615" s="381" t="s">
        <v>2587</v>
      </c>
      <c r="D2615" s="426" t="s">
        <v>75</v>
      </c>
      <c r="E2615" s="462">
        <v>1850000</v>
      </c>
      <c r="F2615" s="385" t="s">
        <v>2292</v>
      </c>
      <c r="G2615" s="385" t="s">
        <v>185</v>
      </c>
      <c r="H2615" s="387" t="s">
        <v>1955</v>
      </c>
      <c r="I2615" s="387" t="s">
        <v>1644</v>
      </c>
      <c r="J2615" s="387">
        <v>1</v>
      </c>
      <c r="K2615" s="385" t="s">
        <v>4039</v>
      </c>
    </row>
    <row r="2616" spans="1:11" ht="15.75">
      <c r="A2616" s="443" t="s">
        <v>4091</v>
      </c>
      <c r="B2616" s="653" t="s">
        <v>2182</v>
      </c>
      <c r="C2616" s="381" t="s">
        <v>1283</v>
      </c>
      <c r="D2616" s="426" t="s">
        <v>2758</v>
      </c>
      <c r="E2616" s="462">
        <v>1200000</v>
      </c>
      <c r="F2616" s="385" t="s">
        <v>2292</v>
      </c>
      <c r="G2616" s="385" t="s">
        <v>2741</v>
      </c>
      <c r="H2616" s="387" t="s">
        <v>1955</v>
      </c>
      <c r="I2616" s="387" t="s">
        <v>1644</v>
      </c>
      <c r="J2616" s="387">
        <v>1</v>
      </c>
      <c r="K2616" s="385" t="s">
        <v>3681</v>
      </c>
    </row>
    <row r="2617" spans="1:11" ht="15.75">
      <c r="A2617" s="443" t="s">
        <v>4091</v>
      </c>
      <c r="B2617" s="653" t="s">
        <v>2060</v>
      </c>
      <c r="C2617" s="381" t="s">
        <v>4092</v>
      </c>
      <c r="D2617" s="426" t="s">
        <v>3755</v>
      </c>
      <c r="E2617" s="462">
        <v>1000000</v>
      </c>
      <c r="F2617" s="385" t="s">
        <v>1968</v>
      </c>
      <c r="G2617" s="385" t="s">
        <v>2741</v>
      </c>
      <c r="H2617" s="387" t="s">
        <v>1955</v>
      </c>
      <c r="I2617" s="387" t="s">
        <v>1644</v>
      </c>
      <c r="J2617" s="387">
        <v>1</v>
      </c>
      <c r="K2617" s="385" t="s">
        <v>1245</v>
      </c>
    </row>
    <row r="2618" spans="1:11" ht="15.75">
      <c r="A2618" s="443" t="s">
        <v>4091</v>
      </c>
      <c r="B2618" s="653" t="s">
        <v>2060</v>
      </c>
      <c r="C2618" s="381" t="s">
        <v>4093</v>
      </c>
      <c r="D2618" s="426" t="s">
        <v>3755</v>
      </c>
      <c r="E2618" s="462">
        <v>1000000</v>
      </c>
      <c r="F2618" s="385" t="s">
        <v>1968</v>
      </c>
      <c r="G2618" s="385" t="s">
        <v>2741</v>
      </c>
      <c r="H2618" s="387" t="s">
        <v>1955</v>
      </c>
      <c r="I2618" s="387" t="s">
        <v>1644</v>
      </c>
      <c r="J2618" s="387">
        <v>1</v>
      </c>
      <c r="K2618" s="385" t="s">
        <v>3681</v>
      </c>
    </row>
    <row r="2619" spans="1:11" ht="15.75">
      <c r="A2619" s="443" t="s">
        <v>4091</v>
      </c>
      <c r="B2619" s="653" t="s">
        <v>1966</v>
      </c>
      <c r="C2619" s="381" t="s">
        <v>4094</v>
      </c>
      <c r="D2619" s="426" t="s">
        <v>75</v>
      </c>
      <c r="E2619" s="462">
        <v>4000000</v>
      </c>
      <c r="F2619" s="385" t="s">
        <v>2292</v>
      </c>
      <c r="G2619" s="385" t="s">
        <v>2741</v>
      </c>
      <c r="H2619" s="387" t="s">
        <v>1955</v>
      </c>
      <c r="I2619" s="387" t="s">
        <v>1644</v>
      </c>
      <c r="J2619" s="387">
        <v>1</v>
      </c>
      <c r="K2619" s="385" t="s">
        <v>4039</v>
      </c>
    </row>
    <row r="2620" spans="1:11" ht="15.75">
      <c r="A2620" s="393"/>
      <c r="B2620" s="381"/>
      <c r="C2620" s="381"/>
      <c r="D2620" s="381"/>
      <c r="E2620" s="451"/>
      <c r="F2620" s="381"/>
      <c r="G2620" s="381"/>
      <c r="H2620" s="383"/>
      <c r="I2620" s="383"/>
      <c r="J2620" s="1246">
        <f>SUM(J2599:J2619)</f>
        <v>21</v>
      </c>
      <c r="K2620" s="381"/>
    </row>
    <row r="2623" spans="1:11" ht="26.25">
      <c r="A2623" s="1667" t="s">
        <v>4095</v>
      </c>
      <c r="B2623" s="1667"/>
      <c r="C2623" s="1667"/>
      <c r="D2623" s="1667"/>
      <c r="E2623" s="1667"/>
      <c r="F2623" s="1667"/>
      <c r="G2623" s="1667"/>
      <c r="H2623" s="1667"/>
      <c r="I2623" s="1667"/>
      <c r="J2623" s="1667"/>
      <c r="K2623" s="1667"/>
    </row>
    <row r="2624" spans="1:11" ht="30.75">
      <c r="A2624" s="375" t="s">
        <v>1941</v>
      </c>
      <c r="B2624" s="378" t="s">
        <v>1942</v>
      </c>
      <c r="C2624" s="378" t="s">
        <v>1943</v>
      </c>
      <c r="D2624" s="378" t="s">
        <v>1944</v>
      </c>
      <c r="E2624" s="452" t="s">
        <v>1945</v>
      </c>
      <c r="F2624" s="378" t="s">
        <v>1946</v>
      </c>
      <c r="G2624" s="378" t="s">
        <v>2590</v>
      </c>
      <c r="H2624" s="378" t="s">
        <v>1947</v>
      </c>
      <c r="I2624" s="378" t="s">
        <v>1948</v>
      </c>
      <c r="J2624" s="453" t="s">
        <v>1949</v>
      </c>
      <c r="K2624" s="378" t="s">
        <v>1950</v>
      </c>
    </row>
    <row r="2625" spans="1:11" ht="15.75">
      <c r="A2625" s="1244">
        <v>44628</v>
      </c>
      <c r="B2625" s="1320" t="s">
        <v>2182</v>
      </c>
      <c r="C2625" s="1073" t="s">
        <v>4096</v>
      </c>
      <c r="D2625" s="1073" t="s">
        <v>1957</v>
      </c>
      <c r="E2625" s="1072">
        <v>1600000000</v>
      </c>
      <c r="F2625" s="1073" t="s">
        <v>2292</v>
      </c>
      <c r="G2625" s="1073" t="s">
        <v>2741</v>
      </c>
      <c r="H2625" s="1074" t="s">
        <v>1955</v>
      </c>
      <c r="I2625" s="1074" t="s">
        <v>1644</v>
      </c>
      <c r="J2625" s="1074">
        <v>1</v>
      </c>
      <c r="K2625" s="1073" t="s">
        <v>2629</v>
      </c>
    </row>
    <row r="2626" spans="1:11" ht="15.75">
      <c r="A2626" s="1244">
        <v>44903</v>
      </c>
      <c r="B2626" s="1320" t="s">
        <v>2182</v>
      </c>
      <c r="C2626" s="1073" t="s">
        <v>4097</v>
      </c>
      <c r="D2626" s="1073" t="s">
        <v>2711</v>
      </c>
      <c r="E2626" s="1072">
        <v>260000000</v>
      </c>
      <c r="F2626" s="1073" t="s">
        <v>2292</v>
      </c>
      <c r="G2626" s="1073" t="s">
        <v>2741</v>
      </c>
      <c r="H2626" s="1074" t="s">
        <v>1955</v>
      </c>
      <c r="I2626" s="1074" t="s">
        <v>1644</v>
      </c>
      <c r="J2626" s="1074">
        <v>1</v>
      </c>
      <c r="K2626" s="1073" t="s">
        <v>2629</v>
      </c>
    </row>
    <row r="2627" spans="1:11" ht="15.75">
      <c r="A2627" s="1244" t="s">
        <v>4052</v>
      </c>
      <c r="B2627" s="1071" t="s">
        <v>1952</v>
      </c>
      <c r="C2627" s="1073" t="s">
        <v>1358</v>
      </c>
      <c r="D2627" s="1073" t="s">
        <v>3089</v>
      </c>
      <c r="E2627" s="1072">
        <v>180000000</v>
      </c>
      <c r="F2627" s="1073" t="s">
        <v>2292</v>
      </c>
      <c r="G2627" s="1073" t="s">
        <v>2741</v>
      </c>
      <c r="H2627" s="1074" t="s">
        <v>1955</v>
      </c>
      <c r="I2627" s="1074" t="s">
        <v>1644</v>
      </c>
      <c r="J2627" s="1074">
        <v>1</v>
      </c>
      <c r="K2627" s="1073" t="s">
        <v>2629</v>
      </c>
    </row>
    <row r="2628" spans="1:11" ht="15.75">
      <c r="A2628" s="479" t="s">
        <v>4098</v>
      </c>
      <c r="B2628" s="381" t="s">
        <v>1952</v>
      </c>
      <c r="C2628" s="381" t="s">
        <v>1190</v>
      </c>
      <c r="D2628" s="381" t="s">
        <v>3089</v>
      </c>
      <c r="E2628" s="451">
        <v>1250000</v>
      </c>
      <c r="F2628" s="275" t="s">
        <v>2290</v>
      </c>
      <c r="G2628" s="275" t="s">
        <v>2605</v>
      </c>
      <c r="H2628" s="383" t="s">
        <v>1955</v>
      </c>
      <c r="I2628" s="383" t="s">
        <v>1625</v>
      </c>
      <c r="J2628" s="383">
        <v>1</v>
      </c>
      <c r="K2628" s="411" t="s">
        <v>1171</v>
      </c>
    </row>
    <row r="2629" spans="1:11" ht="15.75">
      <c r="A2629" s="479" t="s">
        <v>4027</v>
      </c>
      <c r="B2629" s="381" t="s">
        <v>1952</v>
      </c>
      <c r="C2629" s="381" t="s">
        <v>4099</v>
      </c>
      <c r="D2629" s="381" t="s">
        <v>2167</v>
      </c>
      <c r="E2629" s="451">
        <v>1750000</v>
      </c>
      <c r="F2629" s="275" t="s">
        <v>2292</v>
      </c>
      <c r="G2629" s="275" t="s">
        <v>2605</v>
      </c>
      <c r="H2629" s="383" t="s">
        <v>1955</v>
      </c>
      <c r="I2629" s="383" t="s">
        <v>1625</v>
      </c>
      <c r="J2629" s="383">
        <v>1</v>
      </c>
      <c r="K2629" s="411" t="s">
        <v>1245</v>
      </c>
    </row>
    <row r="2630" spans="1:11" ht="15.75">
      <c r="A2630" s="393">
        <v>44689</v>
      </c>
      <c r="B2630" s="381" t="s">
        <v>4100</v>
      </c>
      <c r="C2630" s="381" t="s">
        <v>1221</v>
      </c>
      <c r="D2630" s="381" t="s">
        <v>3089</v>
      </c>
      <c r="E2630" s="451">
        <v>1200000</v>
      </c>
      <c r="F2630" s="381" t="s">
        <v>2292</v>
      </c>
      <c r="G2630" s="381" t="s">
        <v>2605</v>
      </c>
      <c r="H2630" s="383" t="s">
        <v>1955</v>
      </c>
      <c r="I2630" s="383" t="s">
        <v>1644</v>
      </c>
      <c r="J2630" s="383">
        <v>1</v>
      </c>
      <c r="K2630" s="381" t="s">
        <v>4039</v>
      </c>
    </row>
    <row r="2631" spans="1:11" ht="15.75">
      <c r="A2631" s="579">
        <v>44842</v>
      </c>
      <c r="B2631" s="381" t="s">
        <v>2182</v>
      </c>
      <c r="C2631" s="381" t="s">
        <v>3967</v>
      </c>
      <c r="D2631" s="381" t="s">
        <v>2288</v>
      </c>
      <c r="E2631" s="451">
        <v>1300000</v>
      </c>
      <c r="F2631" s="381" t="s">
        <v>2306</v>
      </c>
      <c r="G2631" s="381" t="s">
        <v>2741</v>
      </c>
      <c r="H2631" s="383" t="s">
        <v>1955</v>
      </c>
      <c r="I2631" s="383" t="s">
        <v>1644</v>
      </c>
      <c r="J2631" s="383">
        <v>1</v>
      </c>
      <c r="K2631" s="381" t="s">
        <v>4034</v>
      </c>
    </row>
    <row r="2632" spans="1:11" ht="15.75">
      <c r="A2632" s="579">
        <v>44842</v>
      </c>
      <c r="B2632" s="381" t="s">
        <v>2182</v>
      </c>
      <c r="C2632" s="381" t="s">
        <v>1414</v>
      </c>
      <c r="D2632" s="381" t="s">
        <v>2758</v>
      </c>
      <c r="E2632" s="451">
        <v>1250000</v>
      </c>
      <c r="F2632" s="381" t="s">
        <v>2292</v>
      </c>
      <c r="G2632" s="381" t="s">
        <v>2741</v>
      </c>
      <c r="H2632" s="383" t="s">
        <v>1955</v>
      </c>
      <c r="I2632" s="383" t="s">
        <v>1644</v>
      </c>
      <c r="J2632" s="383">
        <v>1</v>
      </c>
      <c r="K2632" s="381" t="s">
        <v>4039</v>
      </c>
    </row>
    <row r="2633" spans="1:11" ht="15.75">
      <c r="A2633" s="579" t="s">
        <v>4023</v>
      </c>
      <c r="B2633" s="381" t="s">
        <v>2182</v>
      </c>
      <c r="C2633" s="381" t="s">
        <v>1223</v>
      </c>
      <c r="D2633" s="381" t="s">
        <v>3089</v>
      </c>
      <c r="E2633" s="451">
        <v>1200000</v>
      </c>
      <c r="F2633" s="381" t="s">
        <v>2292</v>
      </c>
      <c r="G2633" s="381" t="s">
        <v>2741</v>
      </c>
      <c r="H2633" s="383" t="s">
        <v>1955</v>
      </c>
      <c r="I2633" s="383" t="s">
        <v>1644</v>
      </c>
      <c r="J2633" s="383">
        <v>1</v>
      </c>
      <c r="K2633" s="381" t="s">
        <v>3681</v>
      </c>
    </row>
    <row r="2634" spans="1:11" ht="15.75">
      <c r="A2634" s="579" t="s">
        <v>4052</v>
      </c>
      <c r="B2634" s="381" t="s">
        <v>1952</v>
      </c>
      <c r="C2634" s="381" t="s">
        <v>4101</v>
      </c>
      <c r="D2634" s="381" t="s">
        <v>2167</v>
      </c>
      <c r="E2634" s="451">
        <v>2700000</v>
      </c>
      <c r="F2634" s="381" t="s">
        <v>2292</v>
      </c>
      <c r="G2634" s="381" t="s">
        <v>2625</v>
      </c>
      <c r="H2634" s="383" t="s">
        <v>1955</v>
      </c>
      <c r="I2634" s="383" t="s">
        <v>1644</v>
      </c>
      <c r="J2634" s="383">
        <v>1</v>
      </c>
      <c r="K2634" s="381" t="s">
        <v>4039</v>
      </c>
    </row>
    <row r="2635" spans="1:11" ht="15.75">
      <c r="A2635" s="579" t="s">
        <v>4052</v>
      </c>
      <c r="B2635" s="381" t="s">
        <v>1952</v>
      </c>
      <c r="C2635" s="381" t="s">
        <v>4102</v>
      </c>
      <c r="D2635" s="381" t="s">
        <v>3193</v>
      </c>
      <c r="E2635" s="451">
        <v>1350000</v>
      </c>
      <c r="F2635" s="381" t="s">
        <v>2292</v>
      </c>
      <c r="G2635" s="381" t="s">
        <v>2625</v>
      </c>
      <c r="H2635" s="383" t="s">
        <v>1955</v>
      </c>
      <c r="I2635" s="383" t="s">
        <v>1644</v>
      </c>
      <c r="J2635" s="383">
        <v>1</v>
      </c>
      <c r="K2635" s="381"/>
    </row>
    <row r="2636" spans="1:11" ht="15.75">
      <c r="A2636" s="456"/>
      <c r="B2636" s="457"/>
      <c r="C2636" s="457"/>
      <c r="D2636" s="457"/>
      <c r="E2636" s="476"/>
      <c r="F2636" s="457"/>
      <c r="G2636" s="457"/>
      <c r="H2636" s="153"/>
      <c r="I2636" s="153"/>
      <c r="J2636" s="493">
        <f>SUM(J2625:J2635)</f>
        <v>11</v>
      </c>
      <c r="K2636" s="457"/>
    </row>
    <row r="2637" spans="1:11" ht="15.75">
      <c r="A2637" s="394"/>
      <c r="B2637" s="395"/>
      <c r="C2637" s="395"/>
      <c r="D2637" s="395"/>
      <c r="E2637" s="396"/>
      <c r="F2637" s="397"/>
      <c r="G2637" s="397"/>
      <c r="H2637" s="395"/>
      <c r="I2637" s="395"/>
      <c r="J2637" s="395"/>
      <c r="K2637" s="395"/>
    </row>
    <row r="2638" spans="1:11" ht="15.75">
      <c r="A2638" s="394"/>
      <c r="B2638" s="395"/>
      <c r="C2638" s="395"/>
      <c r="D2638" s="395"/>
      <c r="E2638" s="396"/>
      <c r="F2638" s="397"/>
      <c r="G2638" s="397"/>
      <c r="H2638" s="395"/>
      <c r="I2638" s="395"/>
      <c r="J2638" s="395"/>
      <c r="K2638" s="395"/>
    </row>
    <row r="2640" spans="1:11" ht="26.25">
      <c r="A2640" s="1668" t="s">
        <v>4103</v>
      </c>
      <c r="B2640" s="1669"/>
      <c r="C2640" s="1669"/>
      <c r="D2640" s="1669"/>
      <c r="E2640" s="1669"/>
      <c r="F2640" s="1669"/>
      <c r="G2640" s="1669"/>
      <c r="H2640" s="1669"/>
      <c r="I2640" s="1669"/>
      <c r="J2640" s="1669"/>
      <c r="K2640" s="1670"/>
    </row>
    <row r="2641" spans="1:11" ht="30.75">
      <c r="A2641" s="378" t="s">
        <v>1941</v>
      </c>
      <c r="B2641" s="378" t="s">
        <v>1942</v>
      </c>
      <c r="C2641" s="378" t="s">
        <v>1943</v>
      </c>
      <c r="D2641" s="378" t="s">
        <v>1944</v>
      </c>
      <c r="E2641" s="452" t="s">
        <v>1945</v>
      </c>
      <c r="F2641" s="378" t="s">
        <v>1946</v>
      </c>
      <c r="G2641" s="378" t="s">
        <v>2590</v>
      </c>
      <c r="H2641" s="378" t="s">
        <v>1947</v>
      </c>
      <c r="I2641" s="378" t="s">
        <v>1948</v>
      </c>
      <c r="J2641" s="453" t="s">
        <v>1949</v>
      </c>
      <c r="K2641" s="378" t="s">
        <v>1950</v>
      </c>
    </row>
    <row r="2642" spans="1:11" ht="15.75">
      <c r="A2642" s="922">
        <v>44659</v>
      </c>
      <c r="B2642" s="618" t="s">
        <v>1952</v>
      </c>
      <c r="C2642" s="472" t="s">
        <v>4104</v>
      </c>
      <c r="D2642" s="472" t="s">
        <v>3764</v>
      </c>
      <c r="E2642" s="475">
        <v>160000000</v>
      </c>
      <c r="F2642" s="472" t="s">
        <v>1968</v>
      </c>
      <c r="G2642" s="472" t="s">
        <v>30</v>
      </c>
      <c r="H2642" s="473" t="s">
        <v>1955</v>
      </c>
      <c r="I2642" s="473" t="s">
        <v>1625</v>
      </c>
      <c r="J2642" s="473">
        <v>1</v>
      </c>
      <c r="K2642" s="472" t="s">
        <v>2629</v>
      </c>
    </row>
    <row r="2643" spans="1:11" ht="15.75">
      <c r="A2643" s="922">
        <v>44659</v>
      </c>
      <c r="B2643" s="618" t="s">
        <v>1952</v>
      </c>
      <c r="C2643" s="472" t="s">
        <v>4105</v>
      </c>
      <c r="D2643" s="472" t="s">
        <v>3764</v>
      </c>
      <c r="E2643" s="475">
        <v>170000000</v>
      </c>
      <c r="F2643" s="472" t="s">
        <v>1968</v>
      </c>
      <c r="G2643" s="472" t="s">
        <v>30</v>
      </c>
      <c r="H2643" s="473" t="s">
        <v>1955</v>
      </c>
      <c r="I2643" s="473" t="s">
        <v>1625</v>
      </c>
      <c r="J2643" s="473">
        <v>1</v>
      </c>
      <c r="K2643" s="472" t="s">
        <v>2629</v>
      </c>
    </row>
    <row r="2644" spans="1:11" ht="15.75">
      <c r="A2644" s="611" t="s">
        <v>4052</v>
      </c>
      <c r="B2644" s="472" t="s">
        <v>1952</v>
      </c>
      <c r="C2644" s="472" t="s">
        <v>4106</v>
      </c>
      <c r="D2644" s="472" t="s">
        <v>2253</v>
      </c>
      <c r="E2644" s="475">
        <v>130000000</v>
      </c>
      <c r="F2644" s="472" t="s">
        <v>1968</v>
      </c>
      <c r="G2644" s="472" t="s">
        <v>185</v>
      </c>
      <c r="H2644" s="473" t="s">
        <v>1955</v>
      </c>
      <c r="I2644" s="473" t="s">
        <v>1644</v>
      </c>
      <c r="J2644" s="473">
        <v>1</v>
      </c>
      <c r="K2644" s="472" t="s">
        <v>2629</v>
      </c>
    </row>
    <row r="2645" spans="1:11" ht="15.75">
      <c r="A2645" s="384" t="s">
        <v>4098</v>
      </c>
      <c r="B2645" s="577" t="s">
        <v>1952</v>
      </c>
      <c r="C2645" s="385" t="s">
        <v>4107</v>
      </c>
      <c r="D2645" s="385" t="s">
        <v>4108</v>
      </c>
      <c r="E2645" s="462">
        <v>1350000</v>
      </c>
      <c r="F2645" s="385" t="s">
        <v>2290</v>
      </c>
      <c r="G2645" s="385" t="s">
        <v>2605</v>
      </c>
      <c r="H2645" s="387" t="s">
        <v>1955</v>
      </c>
      <c r="I2645" s="387" t="s">
        <v>1625</v>
      </c>
      <c r="J2645" s="387">
        <v>1</v>
      </c>
      <c r="K2645" s="385" t="s">
        <v>1171</v>
      </c>
    </row>
    <row r="2646" spans="1:11" ht="15.75">
      <c r="A2646" s="384" t="s">
        <v>4098</v>
      </c>
      <c r="B2646" s="577" t="s">
        <v>1952</v>
      </c>
      <c r="C2646" s="426" t="s">
        <v>1164</v>
      </c>
      <c r="D2646" s="385" t="s">
        <v>2659</v>
      </c>
      <c r="E2646" s="462">
        <v>1350000</v>
      </c>
      <c r="F2646" s="385" t="s">
        <v>2292</v>
      </c>
      <c r="G2646" s="385" t="s">
        <v>2593</v>
      </c>
      <c r="H2646" s="387" t="s">
        <v>1955</v>
      </c>
      <c r="I2646" s="387" t="s">
        <v>1625</v>
      </c>
      <c r="J2646" s="387">
        <v>1</v>
      </c>
      <c r="K2646" s="385" t="s">
        <v>3681</v>
      </c>
    </row>
    <row r="2647" spans="1:11" ht="15.75">
      <c r="A2647" s="384">
        <v>44659</v>
      </c>
      <c r="B2647" s="577" t="s">
        <v>1952</v>
      </c>
      <c r="C2647" s="426" t="s">
        <v>4109</v>
      </c>
      <c r="D2647" s="385" t="s">
        <v>2659</v>
      </c>
      <c r="E2647" s="462">
        <v>1450000</v>
      </c>
      <c r="F2647" s="385" t="s">
        <v>2292</v>
      </c>
      <c r="G2647" s="385" t="s">
        <v>2593</v>
      </c>
      <c r="H2647" s="387" t="s">
        <v>1955</v>
      </c>
      <c r="I2647" s="387" t="s">
        <v>1625</v>
      </c>
      <c r="J2647" s="387">
        <v>1</v>
      </c>
      <c r="K2647" s="385" t="s">
        <v>1171</v>
      </c>
    </row>
    <row r="2648" spans="1:11" ht="15.75">
      <c r="A2648" s="384">
        <v>44781</v>
      </c>
      <c r="B2648" s="577" t="s">
        <v>1952</v>
      </c>
      <c r="C2648" s="426" t="s">
        <v>4110</v>
      </c>
      <c r="D2648" s="385" t="s">
        <v>3987</v>
      </c>
      <c r="E2648" s="462">
        <v>950000</v>
      </c>
      <c r="F2648" s="385" t="s">
        <v>1968</v>
      </c>
      <c r="G2648" s="385" t="s">
        <v>185</v>
      </c>
      <c r="H2648" s="387" t="s">
        <v>1625</v>
      </c>
      <c r="I2648" s="387" t="s">
        <v>1644</v>
      </c>
      <c r="J2648" s="387">
        <v>1</v>
      </c>
      <c r="K2648" s="385" t="s">
        <v>3681</v>
      </c>
    </row>
    <row r="2649" spans="1:11" ht="15.75">
      <c r="A2649" s="384">
        <v>44812</v>
      </c>
      <c r="B2649" s="577" t="s">
        <v>2182</v>
      </c>
      <c r="C2649" s="426" t="s">
        <v>1258</v>
      </c>
      <c r="D2649" s="385" t="s">
        <v>2659</v>
      </c>
      <c r="E2649" s="462">
        <v>1650000</v>
      </c>
      <c r="F2649" s="385" t="s">
        <v>2292</v>
      </c>
      <c r="G2649" s="385" t="s">
        <v>2741</v>
      </c>
      <c r="H2649" s="387" t="s">
        <v>1955</v>
      </c>
      <c r="I2649" s="387" t="s">
        <v>1644</v>
      </c>
      <c r="J2649" s="387">
        <v>1</v>
      </c>
      <c r="K2649" s="385" t="s">
        <v>3681</v>
      </c>
    </row>
    <row r="2650" spans="1:11" ht="15.75">
      <c r="A2650" s="384" t="s">
        <v>4021</v>
      </c>
      <c r="B2650" s="577" t="s">
        <v>2182</v>
      </c>
      <c r="C2650" s="426" t="s">
        <v>1233</v>
      </c>
      <c r="D2650" s="385" t="s">
        <v>3043</v>
      </c>
      <c r="E2650" s="462">
        <v>1350000</v>
      </c>
      <c r="F2650" s="385" t="s">
        <v>2292</v>
      </c>
      <c r="G2650" s="385" t="s">
        <v>2605</v>
      </c>
      <c r="H2650" s="387" t="s">
        <v>1955</v>
      </c>
      <c r="I2650" s="387" t="s">
        <v>1644</v>
      </c>
      <c r="J2650" s="387">
        <v>1</v>
      </c>
      <c r="K2650" s="385" t="s">
        <v>1245</v>
      </c>
    </row>
    <row r="2651" spans="1:11" ht="15.75">
      <c r="A2651" s="384" t="s">
        <v>4023</v>
      </c>
      <c r="B2651" s="577" t="s">
        <v>2694</v>
      </c>
      <c r="C2651" s="426" t="s">
        <v>4111</v>
      </c>
      <c r="D2651" s="385" t="s">
        <v>3987</v>
      </c>
      <c r="E2651" s="462">
        <v>800000</v>
      </c>
      <c r="F2651" s="385" t="s">
        <v>1968</v>
      </c>
      <c r="G2651" s="385" t="s">
        <v>185</v>
      </c>
      <c r="H2651" s="387" t="s">
        <v>1955</v>
      </c>
      <c r="I2651" s="387" t="s">
        <v>1644</v>
      </c>
      <c r="J2651" s="387">
        <v>1</v>
      </c>
      <c r="K2651" s="385" t="s">
        <v>1245</v>
      </c>
    </row>
    <row r="2652" spans="1:11" ht="15.75">
      <c r="A2652" s="419"/>
      <c r="B2652" s="420"/>
      <c r="C2652" s="457"/>
      <c r="D2652" s="457"/>
      <c r="E2652" s="458"/>
      <c r="F2652" s="457"/>
      <c r="G2652" s="457"/>
      <c r="H2652" s="457"/>
      <c r="I2652" s="457"/>
      <c r="J2652" s="493">
        <f>SUM(J2642:J2651)</f>
        <v>10</v>
      </c>
      <c r="K2652" s="457"/>
    </row>
    <row r="2655" spans="1:11" ht="26.25">
      <c r="A2655" s="1668" t="s">
        <v>4112</v>
      </c>
      <c r="B2655" s="1669"/>
      <c r="C2655" s="1669"/>
      <c r="D2655" s="1669"/>
      <c r="E2655" s="1669"/>
      <c r="F2655" s="1669"/>
      <c r="G2655" s="1669"/>
      <c r="H2655" s="1669"/>
      <c r="I2655" s="1669"/>
      <c r="J2655" s="1669"/>
      <c r="K2655" s="1670"/>
    </row>
    <row r="2656" spans="1:11" ht="30.75">
      <c r="A2656" s="375" t="s">
        <v>1941</v>
      </c>
      <c r="B2656" s="378" t="s">
        <v>1942</v>
      </c>
      <c r="C2656" s="378" t="s">
        <v>1943</v>
      </c>
      <c r="D2656" s="378" t="s">
        <v>1944</v>
      </c>
      <c r="E2656" s="452" t="s">
        <v>1945</v>
      </c>
      <c r="F2656" s="378" t="s">
        <v>1946</v>
      </c>
      <c r="G2656" s="378" t="s">
        <v>2590</v>
      </c>
      <c r="H2656" s="378" t="s">
        <v>1947</v>
      </c>
      <c r="I2656" s="378" t="s">
        <v>1948</v>
      </c>
      <c r="J2656" s="453" t="s">
        <v>1949</v>
      </c>
      <c r="K2656" s="378" t="s">
        <v>1950</v>
      </c>
    </row>
    <row r="2657" spans="1:11" ht="15.75">
      <c r="A2657" s="1068"/>
      <c r="B2657" s="1069"/>
      <c r="C2657" s="1070"/>
      <c r="D2657" s="1071"/>
      <c r="E2657" s="1072"/>
      <c r="F2657" s="1073"/>
      <c r="G2657" s="1073"/>
      <c r="H2657" s="1074"/>
      <c r="I2657" s="1074"/>
      <c r="J2657" s="1074"/>
      <c r="K2657" s="1073"/>
    </row>
    <row r="2658" spans="1:11" ht="15.75">
      <c r="A2658" s="1068"/>
      <c r="B2658" s="1069"/>
      <c r="C2658" s="1070"/>
      <c r="D2658" s="1071"/>
      <c r="E2658" s="1072"/>
      <c r="F2658" s="1073"/>
      <c r="G2658" s="1073"/>
      <c r="H2658" s="1074"/>
      <c r="I2658" s="1074"/>
      <c r="J2658" s="1074"/>
      <c r="K2658" s="1073"/>
    </row>
    <row r="2659" spans="1:11" ht="15.75">
      <c r="A2659" s="443"/>
      <c r="B2659" s="653"/>
      <c r="C2659" s="381"/>
      <c r="D2659" s="426"/>
      <c r="E2659" s="462"/>
      <c r="F2659" s="385"/>
      <c r="G2659" s="385"/>
      <c r="H2659" s="387"/>
      <c r="I2659" s="387"/>
      <c r="J2659" s="387"/>
      <c r="K2659" s="385"/>
    </row>
    <row r="2660" spans="1:11" ht="15.75">
      <c r="A2660" s="393"/>
      <c r="B2660" s="653"/>
      <c r="C2660" s="381"/>
      <c r="D2660" s="381"/>
      <c r="E2660" s="451"/>
      <c r="F2660" s="381"/>
      <c r="G2660" s="381"/>
      <c r="H2660" s="383"/>
      <c r="I2660" s="383"/>
      <c r="J2660" s="1246">
        <f>SUM(J2657:J2659)</f>
        <v>0</v>
      </c>
      <c r="K2660" s="381"/>
    </row>
    <row r="2663" spans="1:11" ht="26.25">
      <c r="A2663" s="1668" t="s">
        <v>4113</v>
      </c>
      <c r="B2663" s="1669"/>
      <c r="C2663" s="1669"/>
      <c r="D2663" s="1669"/>
      <c r="E2663" s="1669"/>
      <c r="F2663" s="1669"/>
      <c r="G2663" s="1669"/>
      <c r="H2663" s="1669"/>
      <c r="I2663" s="1669"/>
      <c r="J2663" s="1669"/>
      <c r="K2663" s="1670"/>
    </row>
    <row r="2664" spans="1:11" ht="30.75">
      <c r="A2664" s="375" t="s">
        <v>1941</v>
      </c>
      <c r="B2664" s="378" t="s">
        <v>1942</v>
      </c>
      <c r="C2664" s="378" t="s">
        <v>1943</v>
      </c>
      <c r="D2664" s="378" t="s">
        <v>1944</v>
      </c>
      <c r="E2664" s="452" t="s">
        <v>1945</v>
      </c>
      <c r="F2664" s="378" t="s">
        <v>1946</v>
      </c>
      <c r="G2664" s="378" t="s">
        <v>2590</v>
      </c>
      <c r="H2664" s="378" t="s">
        <v>1947</v>
      </c>
      <c r="I2664" s="378" t="s">
        <v>1948</v>
      </c>
      <c r="J2664" s="453" t="s">
        <v>1949</v>
      </c>
      <c r="K2664" s="378" t="s">
        <v>1950</v>
      </c>
    </row>
    <row r="2665" spans="1:11" ht="15.75">
      <c r="A2665" s="1244"/>
      <c r="B2665" s="1069"/>
      <c r="C2665" s="1070"/>
      <c r="D2665" s="1070"/>
      <c r="E2665" s="1245"/>
      <c r="F2665" s="1070"/>
      <c r="G2665" s="1070"/>
      <c r="H2665" s="1246"/>
      <c r="I2665" s="1246"/>
      <c r="J2665" s="1246"/>
      <c r="K2665" s="1070"/>
    </row>
    <row r="2666" spans="1:11" ht="15.75">
      <c r="A2666" s="393" t="s">
        <v>4114</v>
      </c>
      <c r="B2666" s="653" t="s">
        <v>4115</v>
      </c>
      <c r="C2666" s="381" t="s">
        <v>4116</v>
      </c>
      <c r="D2666" s="381" t="s">
        <v>4117</v>
      </c>
      <c r="E2666" s="451">
        <v>6500000</v>
      </c>
      <c r="F2666" s="381" t="s">
        <v>1968</v>
      </c>
      <c r="G2666" s="381" t="s">
        <v>2741</v>
      </c>
      <c r="H2666" s="383" t="s">
        <v>1955</v>
      </c>
      <c r="I2666" s="383" t="s">
        <v>1644</v>
      </c>
      <c r="J2666" s="383">
        <v>1</v>
      </c>
      <c r="K2666" s="381" t="s">
        <v>3681</v>
      </c>
    </row>
    <row r="2667" spans="1:11" ht="15.75">
      <c r="A2667" s="393"/>
      <c r="B2667" s="653"/>
      <c r="C2667" s="381"/>
      <c r="D2667" s="381"/>
      <c r="E2667" s="451"/>
      <c r="F2667" s="381"/>
      <c r="G2667" s="381"/>
      <c r="H2667" s="383"/>
      <c r="I2667" s="383"/>
      <c r="J2667" s="1246">
        <f>SUM(J2665:J2666)</f>
        <v>1</v>
      </c>
      <c r="K2667" s="381"/>
    </row>
    <row r="2669" spans="1:11" ht="26.25">
      <c r="A2669" s="1668" t="s">
        <v>4118</v>
      </c>
      <c r="B2669" s="1669"/>
      <c r="C2669" s="1669"/>
      <c r="D2669" s="1669"/>
      <c r="E2669" s="1669"/>
      <c r="F2669" s="1669"/>
      <c r="G2669" s="1669"/>
      <c r="H2669" s="1669"/>
      <c r="I2669" s="1669"/>
      <c r="J2669" s="1669"/>
      <c r="K2669" s="1670"/>
    </row>
    <row r="2670" spans="1:11" ht="30.75">
      <c r="A2670" s="375" t="s">
        <v>1941</v>
      </c>
      <c r="B2670" s="378" t="s">
        <v>1942</v>
      </c>
      <c r="C2670" s="378" t="s">
        <v>1943</v>
      </c>
      <c r="D2670" s="378" t="s">
        <v>1944</v>
      </c>
      <c r="E2670" s="452" t="s">
        <v>1945</v>
      </c>
      <c r="F2670" s="378" t="s">
        <v>1946</v>
      </c>
      <c r="G2670" s="378" t="s">
        <v>2590</v>
      </c>
      <c r="H2670" s="378" t="s">
        <v>1947</v>
      </c>
      <c r="I2670" s="378" t="s">
        <v>1948</v>
      </c>
      <c r="J2670" s="453" t="s">
        <v>1949</v>
      </c>
      <c r="K2670" s="378" t="s">
        <v>1950</v>
      </c>
    </row>
    <row r="2671" spans="1:11" ht="15.75">
      <c r="A2671" s="1068"/>
      <c r="B2671" s="1069"/>
      <c r="C2671" s="1070"/>
      <c r="D2671" s="1071"/>
      <c r="E2671" s="1072"/>
      <c r="F2671" s="1073"/>
      <c r="G2671" s="1073"/>
      <c r="H2671" s="1074"/>
      <c r="I2671" s="1074"/>
      <c r="J2671" s="1074"/>
      <c r="K2671" s="1073"/>
    </row>
    <row r="2672" spans="1:11" ht="15.75">
      <c r="A2672" s="1068"/>
      <c r="B2672" s="1069"/>
      <c r="C2672" s="1070"/>
      <c r="D2672" s="1071"/>
      <c r="E2672" s="1072"/>
      <c r="F2672" s="1073"/>
      <c r="G2672" s="1073"/>
      <c r="H2672" s="1074"/>
      <c r="I2672" s="1074"/>
      <c r="J2672" s="1074"/>
      <c r="K2672" s="1073"/>
    </row>
    <row r="2673" spans="1:11" ht="15.75">
      <c r="A2673" s="443">
        <v>44569</v>
      </c>
      <c r="B2673" s="653" t="s">
        <v>1952</v>
      </c>
      <c r="C2673" s="381" t="s">
        <v>4119</v>
      </c>
      <c r="D2673" s="426" t="s">
        <v>3089</v>
      </c>
      <c r="E2673" s="462">
        <v>1400000</v>
      </c>
      <c r="F2673" s="385" t="s">
        <v>1968</v>
      </c>
      <c r="G2673" s="385" t="s">
        <v>2593</v>
      </c>
      <c r="H2673" s="387" t="s">
        <v>1955</v>
      </c>
      <c r="I2673" s="387" t="s">
        <v>1625</v>
      </c>
      <c r="J2673" s="387">
        <v>1</v>
      </c>
      <c r="K2673" s="385" t="s">
        <v>1245</v>
      </c>
    </row>
    <row r="2674" spans="1:11" ht="15.75">
      <c r="A2674" s="443">
        <v>44600</v>
      </c>
      <c r="B2674" s="653" t="s">
        <v>1952</v>
      </c>
      <c r="C2674" s="381" t="s">
        <v>154</v>
      </c>
      <c r="D2674" s="426" t="s">
        <v>3043</v>
      </c>
      <c r="E2674" s="462">
        <v>1100000</v>
      </c>
      <c r="F2674" s="385" t="s">
        <v>1968</v>
      </c>
      <c r="G2674" s="385" t="s">
        <v>2593</v>
      </c>
      <c r="H2674" s="387" t="s">
        <v>1955</v>
      </c>
      <c r="I2674" s="387" t="s">
        <v>1625</v>
      </c>
      <c r="J2674" s="387">
        <v>1</v>
      </c>
      <c r="K2674" s="385" t="s">
        <v>4120</v>
      </c>
    </row>
    <row r="2675" spans="1:11" ht="15.75">
      <c r="A2675" s="393">
        <v>44689</v>
      </c>
      <c r="B2675" s="653" t="s">
        <v>1952</v>
      </c>
      <c r="C2675" s="381" t="s">
        <v>4121</v>
      </c>
      <c r="D2675" s="381" t="s">
        <v>2659</v>
      </c>
      <c r="E2675" s="451">
        <v>1500000</v>
      </c>
      <c r="F2675" s="385" t="s">
        <v>1968</v>
      </c>
      <c r="G2675" s="385" t="s">
        <v>2593</v>
      </c>
      <c r="H2675" s="387" t="s">
        <v>1955</v>
      </c>
      <c r="I2675" s="387" t="s">
        <v>1625</v>
      </c>
      <c r="J2675" s="387">
        <v>1</v>
      </c>
      <c r="K2675" s="385" t="s">
        <v>4120</v>
      </c>
    </row>
    <row r="2676" spans="1:11" ht="15.75">
      <c r="A2676" s="443">
        <v>44689</v>
      </c>
      <c r="B2676" s="653" t="s">
        <v>1952</v>
      </c>
      <c r="C2676" s="385" t="s">
        <v>3086</v>
      </c>
      <c r="D2676" s="426" t="s">
        <v>3059</v>
      </c>
      <c r="E2676" s="462">
        <v>1600000</v>
      </c>
      <c r="F2676" s="385" t="s">
        <v>1968</v>
      </c>
      <c r="G2676" s="385" t="s">
        <v>2593</v>
      </c>
      <c r="H2676" s="387" t="s">
        <v>1955</v>
      </c>
      <c r="I2676" s="387" t="s">
        <v>1625</v>
      </c>
      <c r="J2676" s="387">
        <v>1</v>
      </c>
      <c r="K2676" s="385" t="s">
        <v>4120</v>
      </c>
    </row>
    <row r="2677" spans="1:11" ht="15.75">
      <c r="A2677" s="443" t="s">
        <v>4021</v>
      </c>
      <c r="B2677" s="653" t="s">
        <v>1952</v>
      </c>
      <c r="C2677" s="385" t="s">
        <v>1224</v>
      </c>
      <c r="D2677" s="426" t="s">
        <v>75</v>
      </c>
      <c r="E2677" s="462">
        <v>1500000</v>
      </c>
      <c r="F2677" s="385" t="s">
        <v>1968</v>
      </c>
      <c r="G2677" s="385" t="s">
        <v>2593</v>
      </c>
      <c r="H2677" s="387" t="s">
        <v>1955</v>
      </c>
      <c r="I2677" s="387" t="s">
        <v>1625</v>
      </c>
      <c r="J2677" s="387">
        <v>1</v>
      </c>
      <c r="K2677" s="385" t="s">
        <v>4120</v>
      </c>
    </row>
    <row r="2678" spans="1:11" ht="15.75">
      <c r="A2678" s="443" t="s">
        <v>4043</v>
      </c>
      <c r="B2678" s="577" t="s">
        <v>1952</v>
      </c>
      <c r="C2678" s="385" t="s">
        <v>4122</v>
      </c>
      <c r="D2678" s="426" t="s">
        <v>3043</v>
      </c>
      <c r="E2678" s="462">
        <v>1300000</v>
      </c>
      <c r="F2678" s="385" t="s">
        <v>1968</v>
      </c>
      <c r="G2678" s="385" t="s">
        <v>2593</v>
      </c>
      <c r="H2678" s="387" t="s">
        <v>1955</v>
      </c>
      <c r="I2678" s="387" t="s">
        <v>1625</v>
      </c>
      <c r="J2678" s="387">
        <v>1</v>
      </c>
      <c r="K2678" s="385" t="s">
        <v>4120</v>
      </c>
    </row>
    <row r="2679" spans="1:11" ht="15.75">
      <c r="A2679" s="384" t="s">
        <v>4089</v>
      </c>
      <c r="B2679" s="577" t="s">
        <v>1952</v>
      </c>
      <c r="C2679" s="385" t="s">
        <v>1266</v>
      </c>
      <c r="D2679" s="385" t="s">
        <v>2576</v>
      </c>
      <c r="E2679" s="462">
        <v>850000</v>
      </c>
      <c r="F2679" s="385" t="s">
        <v>1968</v>
      </c>
      <c r="G2679" s="385" t="s">
        <v>30</v>
      </c>
      <c r="H2679" s="387" t="s">
        <v>1955</v>
      </c>
      <c r="I2679" s="387" t="s">
        <v>1625</v>
      </c>
      <c r="J2679" s="387">
        <v>1</v>
      </c>
      <c r="K2679" s="385" t="s">
        <v>4120</v>
      </c>
    </row>
    <row r="2680" spans="1:11" ht="15.75">
      <c r="A2680" s="384" t="s">
        <v>4123</v>
      </c>
      <c r="B2680" s="577" t="s">
        <v>1952</v>
      </c>
      <c r="C2680" s="385" t="s">
        <v>4124</v>
      </c>
      <c r="D2680" s="385" t="s">
        <v>3043</v>
      </c>
      <c r="E2680" s="462">
        <v>1100000</v>
      </c>
      <c r="F2680" s="385" t="s">
        <v>1968</v>
      </c>
      <c r="G2680" s="385" t="s">
        <v>30</v>
      </c>
      <c r="H2680" s="387" t="s">
        <v>1955</v>
      </c>
      <c r="I2680" s="387" t="s">
        <v>1644</v>
      </c>
      <c r="J2680" s="387">
        <v>1</v>
      </c>
      <c r="K2680" s="385" t="s">
        <v>4120</v>
      </c>
    </row>
    <row r="2681" spans="1:11" ht="15.75">
      <c r="A2681" s="384" t="s">
        <v>4091</v>
      </c>
      <c r="B2681" s="577" t="s">
        <v>1952</v>
      </c>
      <c r="C2681" s="385" t="s">
        <v>4125</v>
      </c>
      <c r="D2681" s="385" t="s">
        <v>2711</v>
      </c>
      <c r="E2681" s="462">
        <v>1550000</v>
      </c>
      <c r="F2681" s="385" t="s">
        <v>1968</v>
      </c>
      <c r="G2681" s="385" t="s">
        <v>30</v>
      </c>
      <c r="H2681" s="387" t="s">
        <v>1955</v>
      </c>
      <c r="I2681" s="387" t="s">
        <v>1644</v>
      </c>
      <c r="J2681" s="387">
        <v>1</v>
      </c>
      <c r="K2681" s="385" t="s">
        <v>4120</v>
      </c>
    </row>
    <row r="2682" spans="1:11" ht="15.75">
      <c r="A2682" s="384" t="s">
        <v>4091</v>
      </c>
      <c r="B2682" s="577" t="s">
        <v>1952</v>
      </c>
      <c r="C2682" s="385" t="s">
        <v>1373</v>
      </c>
      <c r="D2682" s="385" t="s">
        <v>2576</v>
      </c>
      <c r="E2682" s="462">
        <v>950000</v>
      </c>
      <c r="F2682" s="385" t="s">
        <v>1968</v>
      </c>
      <c r="G2682" s="385" t="s">
        <v>30</v>
      </c>
      <c r="H2682" s="387" t="s">
        <v>1955</v>
      </c>
      <c r="I2682" s="387" t="s">
        <v>1644</v>
      </c>
      <c r="J2682" s="387">
        <v>1</v>
      </c>
      <c r="K2682" s="385" t="s">
        <v>4120</v>
      </c>
    </row>
    <row r="2683" spans="1:11" ht="15.75">
      <c r="A2683" s="109"/>
      <c r="B2683" s="80"/>
      <c r="C2683" s="80"/>
      <c r="D2683" s="80"/>
      <c r="E2683" s="119"/>
      <c r="F2683" s="71"/>
      <c r="G2683" s="71"/>
      <c r="H2683" s="80"/>
      <c r="I2683" s="1354"/>
      <c r="J2683" s="1246">
        <f>SUM(J2673:J2682)</f>
        <v>10</v>
      </c>
      <c r="K2683" s="1355"/>
    </row>
    <row r="2686" spans="1:11">
      <c r="A2686" s="1665" t="s">
        <v>4126</v>
      </c>
      <c r="B2686" s="1665"/>
      <c r="C2686" s="1665"/>
      <c r="D2686" s="1665"/>
      <c r="E2686" s="1665"/>
      <c r="F2686" s="1665"/>
      <c r="G2686" s="1665"/>
      <c r="H2686" s="1665"/>
      <c r="I2686" s="1665"/>
      <c r="J2686" s="1665"/>
      <c r="K2686" s="1665"/>
    </row>
    <row r="2687" spans="1:11">
      <c r="A2687" s="1666"/>
      <c r="B2687" s="1666"/>
      <c r="C2687" s="1666"/>
      <c r="D2687" s="1666"/>
      <c r="E2687" s="1666"/>
      <c r="F2687" s="1666"/>
      <c r="G2687" s="1666"/>
      <c r="H2687" s="1666"/>
      <c r="I2687" s="1666"/>
      <c r="J2687" s="1666"/>
      <c r="K2687" s="1666"/>
    </row>
    <row r="2689" spans="1:11" ht="15.75">
      <c r="A2689" s="394"/>
      <c r="B2689" s="395"/>
      <c r="C2689" s="395"/>
      <c r="D2689" s="395"/>
      <c r="E2689" s="706"/>
      <c r="F2689" s="707"/>
      <c r="G2689" s="707"/>
      <c r="H2689" s="397"/>
      <c r="I2689" s="397"/>
      <c r="J2689" s="397"/>
      <c r="K2689" s="395"/>
    </row>
    <row r="2690" spans="1:11" ht="26.25">
      <c r="A2690" s="1667" t="s">
        <v>4127</v>
      </c>
      <c r="B2690" s="1667"/>
      <c r="C2690" s="1667"/>
      <c r="D2690" s="1667"/>
      <c r="E2690" s="1667"/>
      <c r="F2690" s="1667"/>
      <c r="G2690" s="1667"/>
      <c r="H2690" s="1667"/>
      <c r="I2690" s="1667"/>
      <c r="J2690" s="1667"/>
      <c r="K2690" s="1667"/>
    </row>
    <row r="2691" spans="1:11" ht="30.75">
      <c r="A2691" s="375" t="s">
        <v>1941</v>
      </c>
      <c r="B2691" s="378" t="s">
        <v>1942</v>
      </c>
      <c r="C2691" s="378" t="s">
        <v>1943</v>
      </c>
      <c r="D2691" s="378" t="s">
        <v>1944</v>
      </c>
      <c r="E2691" s="452" t="s">
        <v>1945</v>
      </c>
      <c r="F2691" s="378" t="s">
        <v>1946</v>
      </c>
      <c r="G2691" s="378" t="s">
        <v>2590</v>
      </c>
      <c r="H2691" s="378" t="s">
        <v>1947</v>
      </c>
      <c r="I2691" s="378" t="s">
        <v>1948</v>
      </c>
      <c r="J2691" s="453" t="s">
        <v>1949</v>
      </c>
      <c r="K2691" s="378" t="s">
        <v>1950</v>
      </c>
    </row>
    <row r="2692" spans="1:11" ht="15.75">
      <c r="A2692" s="611">
        <v>44782</v>
      </c>
      <c r="B2692" s="455" t="s">
        <v>2182</v>
      </c>
      <c r="C2692" s="578" t="s">
        <v>4128</v>
      </c>
      <c r="D2692" s="472" t="s">
        <v>2659</v>
      </c>
      <c r="E2692" s="475">
        <v>260000000</v>
      </c>
      <c r="F2692" s="472" t="s">
        <v>2292</v>
      </c>
      <c r="G2692" s="472" t="s">
        <v>2741</v>
      </c>
      <c r="H2692" s="473" t="s">
        <v>1955</v>
      </c>
      <c r="I2692" s="473" t="s">
        <v>1644</v>
      </c>
      <c r="J2692" s="473">
        <v>1</v>
      </c>
      <c r="K2692" s="472" t="s">
        <v>2629</v>
      </c>
    </row>
    <row r="2693" spans="1:11" ht="15.75">
      <c r="A2693" s="937">
        <v>44782</v>
      </c>
      <c r="B2693" s="472" t="s">
        <v>2182</v>
      </c>
      <c r="C2693" s="578" t="s">
        <v>4129</v>
      </c>
      <c r="D2693" s="472" t="s">
        <v>2089</v>
      </c>
      <c r="E2693" s="475">
        <v>275000000</v>
      </c>
      <c r="F2693" s="472" t="s">
        <v>1968</v>
      </c>
      <c r="G2693" s="472" t="s">
        <v>2605</v>
      </c>
      <c r="H2693" s="473" t="s">
        <v>1955</v>
      </c>
      <c r="I2693" s="473" t="s">
        <v>1644</v>
      </c>
      <c r="J2693" s="473">
        <v>1</v>
      </c>
      <c r="K2693" s="472" t="s">
        <v>2629</v>
      </c>
    </row>
    <row r="2694" spans="1:11" ht="15.75">
      <c r="A2694" s="937" t="s">
        <v>4130</v>
      </c>
      <c r="B2694" s="472" t="s">
        <v>2182</v>
      </c>
      <c r="C2694" s="578" t="s">
        <v>4131</v>
      </c>
      <c r="D2694" s="472" t="s">
        <v>2669</v>
      </c>
      <c r="E2694" s="475">
        <v>240000000</v>
      </c>
      <c r="F2694" s="472" t="s">
        <v>2292</v>
      </c>
      <c r="G2694" s="472" t="s">
        <v>2741</v>
      </c>
      <c r="H2694" s="473" t="s">
        <v>1955</v>
      </c>
      <c r="I2694" s="473" t="s">
        <v>1644</v>
      </c>
      <c r="J2694" s="473">
        <v>1</v>
      </c>
      <c r="K2694" s="472" t="s">
        <v>2629</v>
      </c>
    </row>
    <row r="2695" spans="1:11" ht="15.75">
      <c r="A2695" s="937" t="s">
        <v>4132</v>
      </c>
      <c r="B2695" s="472" t="s">
        <v>2182</v>
      </c>
      <c r="C2695" s="578" t="s">
        <v>4133</v>
      </c>
      <c r="D2695" s="472" t="s">
        <v>4134</v>
      </c>
      <c r="E2695" s="475">
        <v>160000000</v>
      </c>
      <c r="F2695" s="472" t="s">
        <v>1968</v>
      </c>
      <c r="G2695" s="472" t="s">
        <v>185</v>
      </c>
      <c r="H2695" s="473" t="s">
        <v>1955</v>
      </c>
      <c r="I2695" s="473" t="s">
        <v>1644</v>
      </c>
      <c r="J2695" s="473">
        <v>1</v>
      </c>
      <c r="K2695" s="578" t="s">
        <v>2629</v>
      </c>
    </row>
    <row r="2696" spans="1:11" ht="15.75">
      <c r="A2696" s="744" t="s">
        <v>4135</v>
      </c>
      <c r="B2696" s="653" t="s">
        <v>2182</v>
      </c>
      <c r="C2696" s="426" t="s">
        <v>1253</v>
      </c>
      <c r="D2696" s="385" t="s">
        <v>2326</v>
      </c>
      <c r="E2696" s="462">
        <v>1100000</v>
      </c>
      <c r="F2696" s="385" t="s">
        <v>2292</v>
      </c>
      <c r="G2696" s="385" t="s">
        <v>2605</v>
      </c>
      <c r="H2696" s="387" t="s">
        <v>1955</v>
      </c>
      <c r="I2696" s="387" t="s">
        <v>1644</v>
      </c>
      <c r="J2696" s="387">
        <v>1</v>
      </c>
      <c r="K2696" s="411" t="s">
        <v>3681</v>
      </c>
    </row>
    <row r="2697" spans="1:11" ht="15.75">
      <c r="A2697" s="393" t="s">
        <v>4136</v>
      </c>
      <c r="B2697" s="406" t="s">
        <v>2182</v>
      </c>
      <c r="C2697" s="381" t="s">
        <v>1252</v>
      </c>
      <c r="D2697" s="381" t="s">
        <v>3493</v>
      </c>
      <c r="E2697" s="451">
        <v>1900000</v>
      </c>
      <c r="F2697" s="381" t="s">
        <v>2461</v>
      </c>
      <c r="G2697" s="381" t="s">
        <v>2605</v>
      </c>
      <c r="H2697" s="383" t="s">
        <v>1955</v>
      </c>
      <c r="I2697" s="383" t="s">
        <v>1644</v>
      </c>
      <c r="J2697" s="383">
        <v>1</v>
      </c>
      <c r="K2697" s="381" t="s">
        <v>3681</v>
      </c>
    </row>
    <row r="2698" spans="1:11" ht="15.75">
      <c r="A2698" s="579" t="s">
        <v>4136</v>
      </c>
      <c r="B2698" s="381" t="s">
        <v>2182</v>
      </c>
      <c r="C2698" s="381" t="s">
        <v>1249</v>
      </c>
      <c r="D2698" s="381" t="s">
        <v>2711</v>
      </c>
      <c r="E2698" s="451">
        <v>1200000</v>
      </c>
      <c r="F2698" s="381" t="s">
        <v>2292</v>
      </c>
      <c r="G2698" s="381" t="s">
        <v>185</v>
      </c>
      <c r="H2698" s="383" t="s">
        <v>1955</v>
      </c>
      <c r="I2698" s="383" t="s">
        <v>1644</v>
      </c>
      <c r="J2698" s="383">
        <v>1</v>
      </c>
      <c r="K2698" s="381" t="s">
        <v>1245</v>
      </c>
    </row>
    <row r="2699" spans="1:11" ht="15.75">
      <c r="A2699" s="579">
        <v>44601</v>
      </c>
      <c r="B2699" s="381" t="s">
        <v>2182</v>
      </c>
      <c r="C2699" s="381" t="s">
        <v>1251</v>
      </c>
      <c r="D2699" s="381" t="s">
        <v>75</v>
      </c>
      <c r="E2699" s="451">
        <v>1800000</v>
      </c>
      <c r="F2699" s="381" t="s">
        <v>2292</v>
      </c>
      <c r="G2699" s="381" t="s">
        <v>2605</v>
      </c>
      <c r="H2699" s="383" t="s">
        <v>1955</v>
      </c>
      <c r="I2699" s="383" t="s">
        <v>1644</v>
      </c>
      <c r="J2699" s="383">
        <v>1</v>
      </c>
      <c r="K2699" s="381" t="s">
        <v>1171</v>
      </c>
    </row>
    <row r="2700" spans="1:11" ht="15.75">
      <c r="A2700" s="579">
        <v>44601</v>
      </c>
      <c r="B2700" s="381" t="s">
        <v>2182</v>
      </c>
      <c r="C2700" s="381" t="s">
        <v>1256</v>
      </c>
      <c r="D2700" s="381" t="s">
        <v>2573</v>
      </c>
      <c r="E2700" s="451">
        <v>1600000</v>
      </c>
      <c r="F2700" s="381" t="s">
        <v>2292</v>
      </c>
      <c r="G2700" s="381" t="s">
        <v>2605</v>
      </c>
      <c r="H2700" s="383" t="s">
        <v>1955</v>
      </c>
      <c r="I2700" s="383" t="s">
        <v>1644</v>
      </c>
      <c r="J2700" s="383">
        <v>1</v>
      </c>
      <c r="K2700" s="381" t="s">
        <v>1171</v>
      </c>
    </row>
    <row r="2701" spans="1:11" ht="15.75">
      <c r="A2701" s="579">
        <v>44690</v>
      </c>
      <c r="B2701" s="381" t="s">
        <v>2182</v>
      </c>
      <c r="C2701" s="381" t="s">
        <v>1259</v>
      </c>
      <c r="D2701" s="381" t="s">
        <v>2573</v>
      </c>
      <c r="E2701" s="451">
        <v>1600000</v>
      </c>
      <c r="F2701" s="381" t="s">
        <v>2292</v>
      </c>
      <c r="G2701" s="381" t="s">
        <v>185</v>
      </c>
      <c r="H2701" s="383" t="s">
        <v>1955</v>
      </c>
      <c r="I2701" s="383" t="s">
        <v>1644</v>
      </c>
      <c r="J2701" s="383">
        <v>1</v>
      </c>
      <c r="K2701" s="381" t="s">
        <v>1171</v>
      </c>
    </row>
    <row r="2702" spans="1:11" ht="15.75">
      <c r="A2702" s="579">
        <v>44751</v>
      </c>
      <c r="B2702" s="381" t="s">
        <v>2182</v>
      </c>
      <c r="C2702" s="381" t="s">
        <v>1829</v>
      </c>
      <c r="D2702" s="381" t="s">
        <v>3493</v>
      </c>
      <c r="E2702" s="451">
        <v>2000000</v>
      </c>
      <c r="F2702" s="381" t="s">
        <v>2292</v>
      </c>
      <c r="G2702" s="381" t="s">
        <v>185</v>
      </c>
      <c r="H2702" s="383" t="s">
        <v>1955</v>
      </c>
      <c r="I2702" s="383" t="s">
        <v>1644</v>
      </c>
      <c r="J2702" s="383">
        <v>1</v>
      </c>
      <c r="K2702" s="381" t="s">
        <v>1171</v>
      </c>
    </row>
    <row r="2703" spans="1:11" ht="15.75">
      <c r="A2703" s="579">
        <v>44751</v>
      </c>
      <c r="B2703" s="381" t="s">
        <v>2182</v>
      </c>
      <c r="C2703" s="381" t="s">
        <v>1263</v>
      </c>
      <c r="D2703" s="381" t="s">
        <v>2573</v>
      </c>
      <c r="E2703" s="451">
        <v>1600000</v>
      </c>
      <c r="F2703" s="381" t="s">
        <v>2292</v>
      </c>
      <c r="G2703" s="381" t="s">
        <v>185</v>
      </c>
      <c r="H2703" s="383" t="s">
        <v>1955</v>
      </c>
      <c r="I2703" s="383" t="s">
        <v>1644</v>
      </c>
      <c r="J2703" s="383">
        <v>1</v>
      </c>
      <c r="K2703" s="381" t="s">
        <v>1245</v>
      </c>
    </row>
    <row r="2704" spans="1:11" ht="15.75">
      <c r="A2704" s="579">
        <v>44904</v>
      </c>
      <c r="B2704" s="381" t="s">
        <v>2182</v>
      </c>
      <c r="C2704" s="381" t="s">
        <v>4137</v>
      </c>
      <c r="D2704" s="381" t="s">
        <v>2661</v>
      </c>
      <c r="E2704" s="451">
        <v>850000</v>
      </c>
      <c r="F2704" s="381" t="s">
        <v>2292</v>
      </c>
      <c r="G2704" s="381" t="s">
        <v>185</v>
      </c>
      <c r="H2704" s="383" t="s">
        <v>1955</v>
      </c>
      <c r="I2704" s="383" t="s">
        <v>1644</v>
      </c>
      <c r="J2704" s="383">
        <v>1</v>
      </c>
      <c r="K2704" s="381" t="s">
        <v>3681</v>
      </c>
    </row>
    <row r="2705" spans="1:11" ht="15.75">
      <c r="A2705" s="579">
        <v>44904</v>
      </c>
      <c r="B2705" s="381" t="s">
        <v>2182</v>
      </c>
      <c r="C2705" s="381" t="s">
        <v>4138</v>
      </c>
      <c r="D2705" s="381" t="s">
        <v>2478</v>
      </c>
      <c r="E2705" s="451">
        <v>1300000</v>
      </c>
      <c r="F2705" s="381" t="s">
        <v>2292</v>
      </c>
      <c r="G2705" s="381" t="s">
        <v>2593</v>
      </c>
      <c r="H2705" s="383" t="s">
        <v>1955</v>
      </c>
      <c r="I2705" s="383" t="s">
        <v>1644</v>
      </c>
      <c r="J2705" s="383">
        <v>1</v>
      </c>
      <c r="K2705" s="381" t="s">
        <v>1171</v>
      </c>
    </row>
    <row r="2706" spans="1:11" ht="15.75">
      <c r="A2706" s="579" t="s">
        <v>4139</v>
      </c>
      <c r="B2706" s="381" t="s">
        <v>2182</v>
      </c>
      <c r="C2706" s="381" t="s">
        <v>1262</v>
      </c>
      <c r="D2706" s="381" t="s">
        <v>2669</v>
      </c>
      <c r="E2706" s="451">
        <v>1650000</v>
      </c>
      <c r="F2706" s="381" t="s">
        <v>2292</v>
      </c>
      <c r="G2706" s="381" t="s">
        <v>2605</v>
      </c>
      <c r="H2706" s="383" t="s">
        <v>1955</v>
      </c>
      <c r="I2706" s="383" t="s">
        <v>1644</v>
      </c>
      <c r="J2706" s="383">
        <v>1</v>
      </c>
      <c r="K2706" s="381" t="s">
        <v>3681</v>
      </c>
    </row>
    <row r="2707" spans="1:11" ht="15.75">
      <c r="A2707" s="579" t="s">
        <v>4140</v>
      </c>
      <c r="B2707" s="381" t="s">
        <v>2182</v>
      </c>
      <c r="C2707" s="381" t="s">
        <v>1833</v>
      </c>
      <c r="D2707" s="381" t="s">
        <v>2669</v>
      </c>
      <c r="E2707" s="451">
        <v>1800000</v>
      </c>
      <c r="F2707" s="381" t="s">
        <v>2292</v>
      </c>
      <c r="G2707" s="381" t="s">
        <v>2605</v>
      </c>
      <c r="H2707" s="383" t="s">
        <v>1955</v>
      </c>
      <c r="I2707" s="383" t="s">
        <v>1644</v>
      </c>
      <c r="J2707" s="383">
        <v>1</v>
      </c>
      <c r="K2707" s="381" t="s">
        <v>1171</v>
      </c>
    </row>
    <row r="2708" spans="1:11" ht="15.75">
      <c r="A2708" s="579" t="s">
        <v>4141</v>
      </c>
      <c r="B2708" s="381" t="s">
        <v>2182</v>
      </c>
      <c r="C2708" s="381" t="s">
        <v>1264</v>
      </c>
      <c r="D2708" s="381" t="s">
        <v>2669</v>
      </c>
      <c r="E2708" s="451">
        <v>1600000</v>
      </c>
      <c r="F2708" s="381" t="s">
        <v>1968</v>
      </c>
      <c r="G2708" s="381" t="s">
        <v>185</v>
      </c>
      <c r="H2708" s="383" t="s">
        <v>1955</v>
      </c>
      <c r="I2708" s="383" t="s">
        <v>1644</v>
      </c>
      <c r="J2708" s="383">
        <v>1</v>
      </c>
      <c r="K2708" s="381" t="s">
        <v>3681</v>
      </c>
    </row>
    <row r="2709" spans="1:11" ht="15.75">
      <c r="A2709" s="579" t="s">
        <v>4142</v>
      </c>
      <c r="B2709" s="381" t="s">
        <v>2182</v>
      </c>
      <c r="C2709" s="381" t="s">
        <v>1323</v>
      </c>
      <c r="D2709" s="381" t="s">
        <v>2659</v>
      </c>
      <c r="E2709" s="451">
        <v>1800000</v>
      </c>
      <c r="F2709" s="381" t="s">
        <v>2292</v>
      </c>
      <c r="G2709" s="381" t="s">
        <v>2741</v>
      </c>
      <c r="H2709" s="383" t="s">
        <v>1955</v>
      </c>
      <c r="I2709" s="383" t="s">
        <v>1644</v>
      </c>
      <c r="J2709" s="383">
        <v>1</v>
      </c>
      <c r="K2709" s="381" t="s">
        <v>1171</v>
      </c>
    </row>
    <row r="2710" spans="1:11" ht="15.75">
      <c r="A2710" s="579" t="s">
        <v>4130</v>
      </c>
      <c r="B2710" s="381" t="s">
        <v>2182</v>
      </c>
      <c r="C2710" s="381" t="s">
        <v>1325</v>
      </c>
      <c r="D2710" s="381" t="s">
        <v>2659</v>
      </c>
      <c r="E2710" s="451">
        <v>1800000</v>
      </c>
      <c r="F2710" s="381" t="s">
        <v>2292</v>
      </c>
      <c r="G2710" s="381" t="s">
        <v>2741</v>
      </c>
      <c r="H2710" s="383" t="s">
        <v>1955</v>
      </c>
      <c r="I2710" s="383" t="s">
        <v>1644</v>
      </c>
      <c r="J2710" s="383">
        <v>1</v>
      </c>
      <c r="K2710" s="381" t="s">
        <v>3681</v>
      </c>
    </row>
    <row r="2711" spans="1:11" ht="15.75">
      <c r="A2711" s="579" t="s">
        <v>4132</v>
      </c>
      <c r="B2711" s="381" t="s">
        <v>2182</v>
      </c>
      <c r="C2711" s="381" t="s">
        <v>4143</v>
      </c>
      <c r="D2711" s="381" t="s">
        <v>2326</v>
      </c>
      <c r="E2711" s="451">
        <v>1300000</v>
      </c>
      <c r="F2711" s="381" t="s">
        <v>1968</v>
      </c>
      <c r="G2711" s="381" t="s">
        <v>185</v>
      </c>
      <c r="H2711" s="383" t="s">
        <v>1955</v>
      </c>
      <c r="I2711" s="383" t="s">
        <v>1644</v>
      </c>
      <c r="J2711" s="383">
        <v>1</v>
      </c>
      <c r="K2711" s="381" t="s">
        <v>1171</v>
      </c>
    </row>
    <row r="2712" spans="1:11" ht="15.75">
      <c r="A2712" s="579" t="s">
        <v>4132</v>
      </c>
      <c r="B2712" s="381" t="s">
        <v>2182</v>
      </c>
      <c r="C2712" s="381" t="s">
        <v>4133</v>
      </c>
      <c r="D2712" s="381" t="s">
        <v>4134</v>
      </c>
      <c r="E2712" s="451">
        <v>850000</v>
      </c>
      <c r="F2712" s="381" t="s">
        <v>1968</v>
      </c>
      <c r="G2712" s="381" t="s">
        <v>185</v>
      </c>
      <c r="H2712" s="383" t="s">
        <v>1955</v>
      </c>
      <c r="I2712" s="383" t="s">
        <v>1644</v>
      </c>
      <c r="J2712" s="383">
        <v>1</v>
      </c>
      <c r="K2712" s="381" t="s">
        <v>3681</v>
      </c>
    </row>
    <row r="2713" spans="1:11" ht="15.75">
      <c r="A2713" s="579" t="s">
        <v>4144</v>
      </c>
      <c r="B2713" s="381" t="s">
        <v>2182</v>
      </c>
      <c r="C2713" s="381" t="s">
        <v>4145</v>
      </c>
      <c r="D2713" s="381" t="s">
        <v>3493</v>
      </c>
      <c r="E2713" s="451">
        <v>1900000</v>
      </c>
      <c r="F2713" s="381" t="s">
        <v>2292</v>
      </c>
      <c r="G2713" s="381" t="s">
        <v>2605</v>
      </c>
      <c r="H2713" s="383" t="s">
        <v>1955</v>
      </c>
      <c r="I2713" s="383" t="s">
        <v>1644</v>
      </c>
      <c r="J2713" s="383">
        <v>1</v>
      </c>
      <c r="K2713" s="381" t="s">
        <v>3681</v>
      </c>
    </row>
    <row r="2714" spans="1:11" ht="15.75">
      <c r="A2714" s="744"/>
      <c r="B2714" s="381"/>
      <c r="C2714" s="381"/>
      <c r="D2714" s="381"/>
      <c r="E2714" s="451"/>
      <c r="F2714" s="381"/>
      <c r="G2714" s="381"/>
      <c r="H2714" s="383"/>
      <c r="I2714" s="383"/>
      <c r="J2714" s="383"/>
      <c r="K2714" s="381"/>
    </row>
    <row r="2715" spans="1:11" ht="15.75">
      <c r="A2715" s="393"/>
      <c r="B2715" s="610"/>
      <c r="C2715" s="482"/>
      <c r="D2715" s="482"/>
      <c r="E2715" s="483"/>
      <c r="F2715" s="482"/>
      <c r="G2715" s="482"/>
      <c r="H2715" s="484"/>
      <c r="I2715" s="484"/>
      <c r="J2715" s="484"/>
      <c r="K2715" s="482"/>
    </row>
    <row r="2716" spans="1:11" ht="15.75">
      <c r="A2716" s="456"/>
      <c r="B2716" s="457"/>
      <c r="C2716" s="457"/>
      <c r="D2716" s="457"/>
      <c r="E2716" s="476"/>
      <c r="F2716" s="457"/>
      <c r="G2716" s="457"/>
      <c r="H2716" s="153"/>
      <c r="I2716" s="153"/>
      <c r="J2716" s="493">
        <f>SUM(J2692:J2715)</f>
        <v>22</v>
      </c>
      <c r="K2716" s="457"/>
    </row>
    <row r="2717" spans="1:11" ht="15.75">
      <c r="A2717" s="394"/>
      <c r="B2717" s="395"/>
      <c r="C2717" s="395"/>
      <c r="D2717" s="395"/>
      <c r="E2717" s="396"/>
      <c r="F2717" s="397"/>
      <c r="G2717" s="397"/>
      <c r="H2717" s="395"/>
      <c r="I2717" s="395"/>
      <c r="J2717" s="395"/>
      <c r="K2717" s="395"/>
    </row>
    <row r="2718" spans="1:11" ht="15.75">
      <c r="A2718" s="394"/>
      <c r="B2718" s="395"/>
      <c r="C2718" s="395"/>
      <c r="D2718" s="395"/>
      <c r="E2718" s="396"/>
      <c r="F2718" s="397"/>
      <c r="G2718" s="397"/>
      <c r="H2718" s="395"/>
      <c r="I2718" s="395"/>
      <c r="J2718" s="395"/>
      <c r="K2718" s="395"/>
    </row>
    <row r="2720" spans="1:11" ht="26.25">
      <c r="A2720" s="1668" t="s">
        <v>4146</v>
      </c>
      <c r="B2720" s="1669"/>
      <c r="C2720" s="1669"/>
      <c r="D2720" s="1669"/>
      <c r="E2720" s="1669"/>
      <c r="F2720" s="1669"/>
      <c r="G2720" s="1669"/>
      <c r="H2720" s="1669"/>
      <c r="I2720" s="1669"/>
      <c r="J2720" s="1669"/>
      <c r="K2720" s="1670"/>
    </row>
    <row r="2721" spans="1:11" ht="30.75">
      <c r="A2721" s="378" t="s">
        <v>1941</v>
      </c>
      <c r="B2721" s="378" t="s">
        <v>1942</v>
      </c>
      <c r="C2721" s="378" t="s">
        <v>1943</v>
      </c>
      <c r="D2721" s="378" t="s">
        <v>1944</v>
      </c>
      <c r="E2721" s="452" t="s">
        <v>1945</v>
      </c>
      <c r="F2721" s="378" t="s">
        <v>1946</v>
      </c>
      <c r="G2721" s="378" t="s">
        <v>2590</v>
      </c>
      <c r="H2721" s="378" t="s">
        <v>1947</v>
      </c>
      <c r="I2721" s="378" t="s">
        <v>1948</v>
      </c>
      <c r="J2721" s="453" t="s">
        <v>1949</v>
      </c>
      <c r="K2721" s="378" t="s">
        <v>1950</v>
      </c>
    </row>
    <row r="2722" spans="1:11" ht="15.75">
      <c r="A2722" s="922">
        <v>44904</v>
      </c>
      <c r="B2722" s="618" t="s">
        <v>2182</v>
      </c>
      <c r="C2722" s="472" t="s">
        <v>4147</v>
      </c>
      <c r="D2722" s="472" t="s">
        <v>2711</v>
      </c>
      <c r="E2722" s="475">
        <v>298000000</v>
      </c>
      <c r="F2722" s="472" t="s">
        <v>1968</v>
      </c>
      <c r="G2722" s="472" t="s">
        <v>2741</v>
      </c>
      <c r="H2722" s="473" t="s">
        <v>1955</v>
      </c>
      <c r="I2722" s="473" t="s">
        <v>1644</v>
      </c>
      <c r="J2722" s="473">
        <v>1</v>
      </c>
      <c r="K2722" s="472" t="s">
        <v>2629</v>
      </c>
    </row>
    <row r="2723" spans="1:11" ht="15.75">
      <c r="A2723" s="922" t="s">
        <v>4148</v>
      </c>
      <c r="B2723" s="618" t="s">
        <v>2182</v>
      </c>
      <c r="C2723" s="472" t="s">
        <v>1272</v>
      </c>
      <c r="D2723" s="472" t="s">
        <v>75</v>
      </c>
      <c r="E2723" s="475">
        <v>350000000</v>
      </c>
      <c r="F2723" s="472" t="s">
        <v>1968</v>
      </c>
      <c r="G2723" s="472" t="s">
        <v>185</v>
      </c>
      <c r="H2723" s="473" t="s">
        <v>1955</v>
      </c>
      <c r="I2723" s="473" t="s">
        <v>1644</v>
      </c>
      <c r="J2723" s="473">
        <v>1</v>
      </c>
      <c r="K2723" s="472" t="s">
        <v>2629</v>
      </c>
    </row>
    <row r="2724" spans="1:11" ht="15.75">
      <c r="A2724" s="611" t="s">
        <v>4130</v>
      </c>
      <c r="B2724" s="472" t="s">
        <v>2182</v>
      </c>
      <c r="C2724" s="472" t="s">
        <v>4149</v>
      </c>
      <c r="D2724" s="472" t="s">
        <v>2326</v>
      </c>
      <c r="E2724" s="475">
        <v>210000000</v>
      </c>
      <c r="F2724" s="472" t="s">
        <v>2292</v>
      </c>
      <c r="G2724" s="472" t="s">
        <v>2741</v>
      </c>
      <c r="H2724" s="473" t="s">
        <v>1955</v>
      </c>
      <c r="I2724" s="473" t="s">
        <v>1644</v>
      </c>
      <c r="J2724" s="473">
        <v>1</v>
      </c>
      <c r="K2724" s="472" t="s">
        <v>2629</v>
      </c>
    </row>
    <row r="2725" spans="1:11" ht="15.75">
      <c r="A2725" s="384" t="s">
        <v>4136</v>
      </c>
      <c r="B2725" s="577" t="s">
        <v>1952</v>
      </c>
      <c r="C2725" s="385" t="s">
        <v>1255</v>
      </c>
      <c r="D2725" s="385" t="s">
        <v>2347</v>
      </c>
      <c r="E2725" s="462">
        <v>1600000</v>
      </c>
      <c r="F2725" s="385" t="s">
        <v>2292</v>
      </c>
      <c r="G2725" s="385" t="s">
        <v>2593</v>
      </c>
      <c r="H2725" s="387" t="s">
        <v>1955</v>
      </c>
      <c r="I2725" s="387" t="s">
        <v>1625</v>
      </c>
      <c r="J2725" s="387">
        <v>1</v>
      </c>
      <c r="K2725" s="385" t="s">
        <v>1245</v>
      </c>
    </row>
    <row r="2726" spans="1:11" ht="15.75">
      <c r="A2726" s="384" t="s">
        <v>4136</v>
      </c>
      <c r="B2726" s="577" t="s">
        <v>1952</v>
      </c>
      <c r="C2726" s="426" t="s">
        <v>4150</v>
      </c>
      <c r="D2726" s="385" t="s">
        <v>2711</v>
      </c>
      <c r="E2726" s="462">
        <v>1300000</v>
      </c>
      <c r="F2726" s="385" t="s">
        <v>2292</v>
      </c>
      <c r="G2726" s="385" t="s">
        <v>2593</v>
      </c>
      <c r="H2726" s="387" t="s">
        <v>1955</v>
      </c>
      <c r="I2726" s="387" t="s">
        <v>1625</v>
      </c>
      <c r="J2726" s="387">
        <v>1</v>
      </c>
      <c r="K2726" s="385" t="s">
        <v>3681</v>
      </c>
    </row>
    <row r="2727" spans="1:11" ht="15.75">
      <c r="A2727" s="384" t="s">
        <v>4151</v>
      </c>
      <c r="B2727" s="577" t="s">
        <v>1952</v>
      </c>
      <c r="C2727" s="426" t="s">
        <v>4152</v>
      </c>
      <c r="D2727" s="385" t="s">
        <v>2326</v>
      </c>
      <c r="E2727" s="462">
        <v>900000</v>
      </c>
      <c r="F2727" s="385" t="s">
        <v>2292</v>
      </c>
      <c r="G2727" s="385" t="s">
        <v>2593</v>
      </c>
      <c r="H2727" s="387" t="s">
        <v>1955</v>
      </c>
      <c r="I2727" s="387" t="s">
        <v>1625</v>
      </c>
      <c r="J2727" s="387">
        <v>1</v>
      </c>
      <c r="K2727" s="385" t="s">
        <v>1245</v>
      </c>
    </row>
    <row r="2728" spans="1:11" ht="15.75">
      <c r="A2728" s="412">
        <v>44570</v>
      </c>
      <c r="B2728" s="381" t="s">
        <v>1952</v>
      </c>
      <c r="C2728" s="426" t="s">
        <v>4153</v>
      </c>
      <c r="D2728" s="385" t="s">
        <v>2711</v>
      </c>
      <c r="E2728" s="462">
        <v>1700000</v>
      </c>
      <c r="F2728" s="385" t="s">
        <v>2290</v>
      </c>
      <c r="G2728" s="385" t="s">
        <v>2605</v>
      </c>
      <c r="H2728" s="387" t="s">
        <v>1955</v>
      </c>
      <c r="I2728" s="387" t="s">
        <v>1625</v>
      </c>
      <c r="J2728" s="387">
        <v>1</v>
      </c>
      <c r="K2728" s="385" t="s">
        <v>1171</v>
      </c>
    </row>
    <row r="2729" spans="1:11" ht="15.75">
      <c r="A2729" s="412">
        <v>44601</v>
      </c>
      <c r="B2729" s="381" t="s">
        <v>1952</v>
      </c>
      <c r="C2729" s="426" t="s">
        <v>1274</v>
      </c>
      <c r="D2729" s="385" t="s">
        <v>75</v>
      </c>
      <c r="E2729" s="462">
        <v>2000000</v>
      </c>
      <c r="F2729" s="385" t="s">
        <v>2292</v>
      </c>
      <c r="G2729" s="385" t="s">
        <v>2593</v>
      </c>
      <c r="H2729" s="387" t="s">
        <v>1955</v>
      </c>
      <c r="I2729" s="387" t="s">
        <v>1644</v>
      </c>
      <c r="J2729" s="387">
        <v>1</v>
      </c>
      <c r="K2729" s="385" t="s">
        <v>1245</v>
      </c>
    </row>
    <row r="2730" spans="1:11" ht="15.75">
      <c r="A2730" s="412">
        <v>44629</v>
      </c>
      <c r="B2730" s="381" t="s">
        <v>1952</v>
      </c>
      <c r="C2730" s="426" t="s">
        <v>1828</v>
      </c>
      <c r="D2730" s="385" t="s">
        <v>2711</v>
      </c>
      <c r="E2730" s="462">
        <v>1400000</v>
      </c>
      <c r="F2730" s="385" t="s">
        <v>2292</v>
      </c>
      <c r="G2730" s="385" t="s">
        <v>185</v>
      </c>
      <c r="H2730" s="387" t="s">
        <v>1955</v>
      </c>
      <c r="I2730" s="387" t="s">
        <v>1644</v>
      </c>
      <c r="J2730" s="387">
        <v>1</v>
      </c>
      <c r="K2730" s="385" t="s">
        <v>1171</v>
      </c>
    </row>
    <row r="2731" spans="1:11" ht="15.75">
      <c r="A2731" s="412">
        <v>44690</v>
      </c>
      <c r="B2731" s="381" t="s">
        <v>1952</v>
      </c>
      <c r="C2731" s="426" t="s">
        <v>4154</v>
      </c>
      <c r="D2731" s="385" t="s">
        <v>2326</v>
      </c>
      <c r="E2731" s="462">
        <v>1100000</v>
      </c>
      <c r="F2731" s="385" t="s">
        <v>2292</v>
      </c>
      <c r="G2731" s="385" t="s">
        <v>2605</v>
      </c>
      <c r="H2731" s="387" t="s">
        <v>1955</v>
      </c>
      <c r="I2731" s="387" t="s">
        <v>1644</v>
      </c>
      <c r="J2731" s="387">
        <v>1</v>
      </c>
      <c r="K2731" s="385" t="s">
        <v>3681</v>
      </c>
    </row>
    <row r="2732" spans="1:11" ht="15.75">
      <c r="A2732" s="928">
        <v>44813</v>
      </c>
      <c r="B2732" s="420" t="s">
        <v>1952</v>
      </c>
      <c r="C2732" s="743" t="s">
        <v>1337</v>
      </c>
      <c r="D2732" s="633" t="s">
        <v>2326</v>
      </c>
      <c r="E2732" s="644">
        <v>1100000</v>
      </c>
      <c r="F2732" s="633" t="s">
        <v>2290</v>
      </c>
      <c r="G2732" s="633" t="s">
        <v>2593</v>
      </c>
      <c r="H2732" s="635" t="s">
        <v>1955</v>
      </c>
      <c r="I2732" s="635" t="s">
        <v>1644</v>
      </c>
      <c r="J2732" s="387">
        <v>1</v>
      </c>
      <c r="K2732" s="385" t="s">
        <v>1171</v>
      </c>
    </row>
    <row r="2733" spans="1:11" ht="15.75">
      <c r="A2733" s="393">
        <v>44904</v>
      </c>
      <c r="B2733" s="1400" t="s">
        <v>1952</v>
      </c>
      <c r="C2733" s="381" t="s">
        <v>4155</v>
      </c>
      <c r="D2733" s="426" t="s">
        <v>2711</v>
      </c>
      <c r="E2733" s="462">
        <v>1250000</v>
      </c>
      <c r="F2733" s="385" t="s">
        <v>2292</v>
      </c>
      <c r="G2733" s="385" t="s">
        <v>2605</v>
      </c>
      <c r="H2733" s="387" t="s">
        <v>1955</v>
      </c>
      <c r="I2733" s="387" t="s">
        <v>1644</v>
      </c>
      <c r="J2733" s="387">
        <v>1</v>
      </c>
      <c r="K2733" s="385" t="s">
        <v>1245</v>
      </c>
    </row>
    <row r="2734" spans="1:11" ht="15.75">
      <c r="A2734" s="481">
        <v>44904</v>
      </c>
      <c r="B2734" s="653" t="s">
        <v>1952</v>
      </c>
      <c r="C2734" s="381" t="s">
        <v>3057</v>
      </c>
      <c r="D2734" s="426" t="s">
        <v>1957</v>
      </c>
      <c r="E2734" s="462">
        <v>950000</v>
      </c>
      <c r="F2734" s="385" t="s">
        <v>1968</v>
      </c>
      <c r="G2734" s="385" t="s">
        <v>2593</v>
      </c>
      <c r="H2734" s="387" t="s">
        <v>1955</v>
      </c>
      <c r="I2734" s="387" t="s">
        <v>1644</v>
      </c>
      <c r="J2734" s="387">
        <v>1</v>
      </c>
      <c r="K2734" s="385" t="s">
        <v>1171</v>
      </c>
    </row>
    <row r="2735" spans="1:11" ht="15.75">
      <c r="A2735" s="924" t="s">
        <v>4139</v>
      </c>
      <c r="B2735" s="426" t="s">
        <v>2182</v>
      </c>
      <c r="C2735" s="385" t="s">
        <v>4156</v>
      </c>
      <c r="D2735" s="385" t="s">
        <v>75</v>
      </c>
      <c r="E2735" s="462">
        <v>1900000</v>
      </c>
      <c r="F2735" s="633" t="s">
        <v>1968</v>
      </c>
      <c r="G2735" s="633" t="s">
        <v>2605</v>
      </c>
      <c r="H2735" s="387" t="s">
        <v>1955</v>
      </c>
      <c r="I2735" s="387" t="s">
        <v>1644</v>
      </c>
      <c r="J2735" s="387">
        <v>1</v>
      </c>
      <c r="K2735" s="385" t="s">
        <v>3681</v>
      </c>
    </row>
    <row r="2736" spans="1:11" ht="15.75">
      <c r="A2736" s="412" t="s">
        <v>4157</v>
      </c>
      <c r="B2736" s="381" t="s">
        <v>1966</v>
      </c>
      <c r="C2736" s="381" t="s">
        <v>3455</v>
      </c>
      <c r="D2736" s="381" t="s">
        <v>75</v>
      </c>
      <c r="E2736" s="451">
        <v>4000000</v>
      </c>
      <c r="F2736" s="381" t="s">
        <v>2292</v>
      </c>
      <c r="G2736" s="381" t="s">
        <v>2605</v>
      </c>
      <c r="H2736" s="383" t="s">
        <v>1955</v>
      </c>
      <c r="I2736" s="383" t="s">
        <v>1644</v>
      </c>
      <c r="J2736" s="383">
        <v>1</v>
      </c>
      <c r="K2736" s="381" t="s">
        <v>1171</v>
      </c>
    </row>
    <row r="2737" spans="1:11" ht="15.75">
      <c r="A2737" s="412" t="s">
        <v>4141</v>
      </c>
      <c r="B2737" s="381" t="s">
        <v>2182</v>
      </c>
      <c r="C2737" s="381" t="s">
        <v>1273</v>
      </c>
      <c r="D2737" s="381" t="s">
        <v>2711</v>
      </c>
      <c r="E2737" s="451">
        <v>1500000</v>
      </c>
      <c r="F2737" s="381" t="s">
        <v>2292</v>
      </c>
      <c r="G2737" s="381" t="s">
        <v>185</v>
      </c>
      <c r="H2737" s="383" t="s">
        <v>1955</v>
      </c>
      <c r="I2737" s="383" t="s">
        <v>1644</v>
      </c>
      <c r="J2737" s="383">
        <v>1</v>
      </c>
      <c r="K2737" s="381" t="s">
        <v>1171</v>
      </c>
    </row>
    <row r="2738" spans="1:11" ht="15.75">
      <c r="A2738" s="928" t="s">
        <v>4141</v>
      </c>
      <c r="B2738" s="420" t="s">
        <v>2182</v>
      </c>
      <c r="C2738" s="1303" t="s">
        <v>4158</v>
      </c>
      <c r="D2738" s="1304" t="s">
        <v>3017</v>
      </c>
      <c r="E2738" s="1305">
        <v>1500000</v>
      </c>
      <c r="F2738" s="1304" t="s">
        <v>2292</v>
      </c>
      <c r="G2738" s="1304" t="s">
        <v>2741</v>
      </c>
      <c r="H2738" s="1306" t="s">
        <v>1955</v>
      </c>
      <c r="I2738" s="1306" t="s">
        <v>1644</v>
      </c>
      <c r="J2738" s="484">
        <v>1</v>
      </c>
      <c r="K2738" s="482" t="s">
        <v>3681</v>
      </c>
    </row>
    <row r="2739" spans="1:11" ht="15.75">
      <c r="A2739" s="928" t="s">
        <v>4148</v>
      </c>
      <c r="B2739" s="420" t="s">
        <v>2182</v>
      </c>
      <c r="C2739" s="743" t="s">
        <v>1272</v>
      </c>
      <c r="D2739" s="633" t="s">
        <v>75</v>
      </c>
      <c r="E2739" s="644">
        <v>1800000</v>
      </c>
      <c r="F2739" s="633" t="s">
        <v>1968</v>
      </c>
      <c r="G2739" s="633" t="s">
        <v>185</v>
      </c>
      <c r="H2739" s="635" t="s">
        <v>1955</v>
      </c>
      <c r="I2739" s="635" t="s">
        <v>1644</v>
      </c>
      <c r="J2739" s="387">
        <v>1</v>
      </c>
      <c r="K2739" s="385" t="s">
        <v>1171</v>
      </c>
    </row>
    <row r="2740" spans="1:11" ht="15.75">
      <c r="A2740" s="928" t="s">
        <v>4132</v>
      </c>
      <c r="B2740" s="420" t="s">
        <v>2182</v>
      </c>
      <c r="C2740" s="743" t="s">
        <v>4159</v>
      </c>
      <c r="D2740" s="633" t="s">
        <v>3290</v>
      </c>
      <c r="E2740" s="644">
        <v>800000</v>
      </c>
      <c r="F2740" s="633" t="s">
        <v>1968</v>
      </c>
      <c r="G2740" s="633" t="s">
        <v>2964</v>
      </c>
      <c r="H2740" s="635" t="s">
        <v>1955</v>
      </c>
      <c r="I2740" s="635" t="s">
        <v>1644</v>
      </c>
      <c r="J2740" s="387">
        <v>1</v>
      </c>
      <c r="K2740" s="385" t="s">
        <v>3681</v>
      </c>
    </row>
    <row r="2741" spans="1:11" ht="15.75">
      <c r="A2741" s="928" t="s">
        <v>4132</v>
      </c>
      <c r="B2741" s="420" t="s">
        <v>2182</v>
      </c>
      <c r="C2741" s="743" t="s">
        <v>4160</v>
      </c>
      <c r="D2741" s="633" t="s">
        <v>2326</v>
      </c>
      <c r="E2741" s="644">
        <v>1200000</v>
      </c>
      <c r="F2741" s="633" t="s">
        <v>2292</v>
      </c>
      <c r="G2741" s="633" t="s">
        <v>2741</v>
      </c>
      <c r="H2741" s="635" t="s">
        <v>1955</v>
      </c>
      <c r="I2741" s="635" t="s">
        <v>1644</v>
      </c>
      <c r="J2741" s="387">
        <v>1</v>
      </c>
      <c r="K2741" s="385" t="s">
        <v>1171</v>
      </c>
    </row>
    <row r="2742" spans="1:11" ht="15.75">
      <c r="A2742" s="928" t="s">
        <v>4161</v>
      </c>
      <c r="B2742" s="420" t="s">
        <v>1966</v>
      </c>
      <c r="C2742" s="743" t="s">
        <v>4162</v>
      </c>
      <c r="D2742" s="633" t="s">
        <v>2841</v>
      </c>
      <c r="E2742" s="644">
        <v>1500000</v>
      </c>
      <c r="F2742" s="633" t="s">
        <v>1968</v>
      </c>
      <c r="G2742" s="633" t="s">
        <v>185</v>
      </c>
      <c r="H2742" s="635" t="s">
        <v>1955</v>
      </c>
      <c r="I2742" s="635" t="s">
        <v>1644</v>
      </c>
      <c r="J2742" s="387">
        <v>1</v>
      </c>
      <c r="K2742" s="385" t="s">
        <v>1171</v>
      </c>
    </row>
    <row r="2743" spans="1:11" ht="15.75">
      <c r="A2743" s="928" t="s">
        <v>4144</v>
      </c>
      <c r="B2743" s="420" t="s">
        <v>2060</v>
      </c>
      <c r="C2743" s="743" t="s">
        <v>4163</v>
      </c>
      <c r="D2743" s="633" t="s">
        <v>75</v>
      </c>
      <c r="E2743" s="644">
        <v>1100000</v>
      </c>
      <c r="F2743" s="633" t="s">
        <v>1968</v>
      </c>
      <c r="G2743" s="633" t="s">
        <v>185</v>
      </c>
      <c r="H2743" s="635" t="s">
        <v>1955</v>
      </c>
      <c r="I2743" s="635" t="s">
        <v>1644</v>
      </c>
      <c r="J2743" s="387">
        <v>1</v>
      </c>
      <c r="K2743" s="385" t="s">
        <v>3681</v>
      </c>
    </row>
    <row r="2744" spans="1:11" ht="15.75">
      <c r="A2744" s="928" t="s">
        <v>4144</v>
      </c>
      <c r="B2744" s="420" t="s">
        <v>2182</v>
      </c>
      <c r="C2744" s="743" t="s">
        <v>4164</v>
      </c>
      <c r="D2744" s="633" t="s">
        <v>2711</v>
      </c>
      <c r="E2744" s="644">
        <v>1450000</v>
      </c>
      <c r="F2744" s="633" t="s">
        <v>1968</v>
      </c>
      <c r="G2744" s="633" t="s">
        <v>185</v>
      </c>
      <c r="H2744" s="635" t="s">
        <v>1955</v>
      </c>
      <c r="I2744" s="635" t="s">
        <v>1644</v>
      </c>
      <c r="J2744" s="387">
        <v>1</v>
      </c>
      <c r="K2744" s="385" t="s">
        <v>1171</v>
      </c>
    </row>
    <row r="2745" spans="1:11" ht="15.75">
      <c r="A2745" s="419"/>
      <c r="B2745" s="420"/>
      <c r="C2745" s="457"/>
      <c r="D2745" s="457"/>
      <c r="E2745" s="458"/>
      <c r="F2745" s="457"/>
      <c r="G2745" s="457"/>
      <c r="H2745" s="457"/>
      <c r="I2745" s="457"/>
      <c r="J2745" s="493">
        <f>SUM(J2722:J2744)</f>
        <v>23</v>
      </c>
      <c r="K2745" s="457"/>
    </row>
    <row r="2748" spans="1:11" ht="26.25">
      <c r="A2748" s="1668" t="s">
        <v>4165</v>
      </c>
      <c r="B2748" s="1669"/>
      <c r="C2748" s="1669"/>
      <c r="D2748" s="1669"/>
      <c r="E2748" s="1669"/>
      <c r="F2748" s="1669"/>
      <c r="G2748" s="1669"/>
      <c r="H2748" s="1669"/>
      <c r="I2748" s="1669"/>
      <c r="J2748" s="1669"/>
      <c r="K2748" s="1670"/>
    </row>
    <row r="2749" spans="1:11" ht="30.75">
      <c r="A2749" s="375" t="s">
        <v>1941</v>
      </c>
      <c r="B2749" s="378" t="s">
        <v>1942</v>
      </c>
      <c r="C2749" s="378" t="s">
        <v>1943</v>
      </c>
      <c r="D2749" s="378" t="s">
        <v>1944</v>
      </c>
      <c r="E2749" s="452" t="s">
        <v>1945</v>
      </c>
      <c r="F2749" s="378" t="s">
        <v>1946</v>
      </c>
      <c r="G2749" s="378" t="s">
        <v>2590</v>
      </c>
      <c r="H2749" s="378" t="s">
        <v>1947</v>
      </c>
      <c r="I2749" s="378" t="s">
        <v>1948</v>
      </c>
      <c r="J2749" s="453" t="s">
        <v>1949</v>
      </c>
      <c r="K2749" s="378" t="s">
        <v>1950</v>
      </c>
    </row>
    <row r="2750" spans="1:11" ht="15.75">
      <c r="A2750" s="1068">
        <v>44690</v>
      </c>
      <c r="B2750" s="1069" t="s">
        <v>2182</v>
      </c>
      <c r="C2750" s="1070" t="s">
        <v>4166</v>
      </c>
      <c r="D2750" s="1071" t="s">
        <v>2661</v>
      </c>
      <c r="E2750" s="1072">
        <v>160000000</v>
      </c>
      <c r="F2750" s="1073" t="s">
        <v>1968</v>
      </c>
      <c r="G2750" s="1073" t="s">
        <v>2605</v>
      </c>
      <c r="H2750" s="1074" t="s">
        <v>1955</v>
      </c>
      <c r="I2750" s="1074" t="s">
        <v>1644</v>
      </c>
      <c r="J2750" s="1074">
        <v>1</v>
      </c>
      <c r="K2750" s="1073" t="s">
        <v>2629</v>
      </c>
    </row>
    <row r="2751" spans="1:11" ht="15.75">
      <c r="A2751" s="1068" t="s">
        <v>4144</v>
      </c>
      <c r="B2751" s="1069" t="s">
        <v>2182</v>
      </c>
      <c r="C2751" s="1070" t="s">
        <v>4167</v>
      </c>
      <c r="D2751" s="1071" t="s">
        <v>2326</v>
      </c>
      <c r="E2751" s="1072">
        <v>260000000</v>
      </c>
      <c r="F2751" s="1073" t="s">
        <v>1968</v>
      </c>
      <c r="G2751" s="1073" t="s">
        <v>2741</v>
      </c>
      <c r="H2751" s="1074" t="s">
        <v>1955</v>
      </c>
      <c r="I2751" s="1074" t="s">
        <v>1644</v>
      </c>
      <c r="J2751" s="1074">
        <v>1</v>
      </c>
      <c r="K2751" s="1073" t="s">
        <v>2629</v>
      </c>
    </row>
    <row r="2752" spans="1:11" ht="15.75">
      <c r="A2752" s="1068" t="s">
        <v>4168</v>
      </c>
      <c r="B2752" s="1069" t="s">
        <v>2182</v>
      </c>
      <c r="C2752" s="1070" t="s">
        <v>4169</v>
      </c>
      <c r="D2752" s="1071" t="s">
        <v>2661</v>
      </c>
      <c r="E2752" s="1072">
        <v>190000000</v>
      </c>
      <c r="F2752" s="1073" t="s">
        <v>2292</v>
      </c>
      <c r="G2752" s="1073" t="s">
        <v>2741</v>
      </c>
      <c r="H2752" s="1074" t="s">
        <v>1955</v>
      </c>
      <c r="I2752" s="1074" t="s">
        <v>1644</v>
      </c>
      <c r="J2752" s="1074">
        <v>1</v>
      </c>
      <c r="K2752" s="1073" t="s">
        <v>2629</v>
      </c>
    </row>
    <row r="2753" spans="1:11" ht="15.75">
      <c r="A2753" s="443">
        <v>44570</v>
      </c>
      <c r="B2753" s="653" t="s">
        <v>1952</v>
      </c>
      <c r="C2753" s="381" t="s">
        <v>1289</v>
      </c>
      <c r="D2753" s="426" t="s">
        <v>2326</v>
      </c>
      <c r="E2753" s="462">
        <v>1100000</v>
      </c>
      <c r="F2753" s="385" t="s">
        <v>2292</v>
      </c>
      <c r="G2753" s="385" t="s">
        <v>30</v>
      </c>
      <c r="H2753" s="387" t="s">
        <v>1955</v>
      </c>
      <c r="I2753" s="387" t="s">
        <v>1644</v>
      </c>
      <c r="J2753" s="387">
        <v>1</v>
      </c>
      <c r="K2753" s="385" t="s">
        <v>1171</v>
      </c>
    </row>
    <row r="2754" spans="1:11" ht="15.75">
      <c r="A2754" s="443">
        <v>44570</v>
      </c>
      <c r="B2754" s="653" t="s">
        <v>1952</v>
      </c>
      <c r="C2754" s="381" t="s">
        <v>4170</v>
      </c>
      <c r="D2754" s="426" t="s">
        <v>2661</v>
      </c>
      <c r="E2754" s="462">
        <v>1000000</v>
      </c>
      <c r="F2754" s="385" t="s">
        <v>2292</v>
      </c>
      <c r="G2754" s="385" t="s">
        <v>30</v>
      </c>
      <c r="H2754" s="387" t="s">
        <v>1955</v>
      </c>
      <c r="I2754" s="387" t="s">
        <v>1644</v>
      </c>
      <c r="J2754" s="387">
        <v>1</v>
      </c>
      <c r="K2754" s="385" t="s">
        <v>1245</v>
      </c>
    </row>
    <row r="2755" spans="1:11" ht="15.75">
      <c r="A2755" s="443">
        <v>44690</v>
      </c>
      <c r="B2755" s="653" t="s">
        <v>1952</v>
      </c>
      <c r="C2755" s="381" t="s">
        <v>2968</v>
      </c>
      <c r="D2755" s="426" t="s">
        <v>3089</v>
      </c>
      <c r="E2755" s="462">
        <v>1200000</v>
      </c>
      <c r="F2755" s="385" t="s">
        <v>2292</v>
      </c>
      <c r="G2755" s="385" t="s">
        <v>2593</v>
      </c>
      <c r="H2755" s="387" t="s">
        <v>1955</v>
      </c>
      <c r="I2755" s="387" t="s">
        <v>1644</v>
      </c>
      <c r="J2755" s="387">
        <v>1</v>
      </c>
      <c r="K2755" s="385" t="s">
        <v>1171</v>
      </c>
    </row>
    <row r="2756" spans="1:11" ht="15.75">
      <c r="A2756" s="443">
        <v>44690</v>
      </c>
      <c r="B2756" s="653" t="s">
        <v>1952</v>
      </c>
      <c r="C2756" s="381" t="s">
        <v>3088</v>
      </c>
      <c r="D2756" s="426" t="s">
        <v>3089</v>
      </c>
      <c r="E2756" s="462">
        <v>1200000</v>
      </c>
      <c r="F2756" s="385" t="s">
        <v>2292</v>
      </c>
      <c r="G2756" s="385" t="s">
        <v>2593</v>
      </c>
      <c r="H2756" s="387" t="s">
        <v>1955</v>
      </c>
      <c r="I2756" s="387" t="s">
        <v>1644</v>
      </c>
      <c r="J2756" s="387">
        <v>1</v>
      </c>
      <c r="K2756" s="385" t="s">
        <v>3681</v>
      </c>
    </row>
    <row r="2757" spans="1:11" ht="15.75">
      <c r="A2757" s="443">
        <v>44782</v>
      </c>
      <c r="B2757" s="653" t="s">
        <v>1952</v>
      </c>
      <c r="C2757" s="381" t="s">
        <v>4171</v>
      </c>
      <c r="D2757" s="426" t="s">
        <v>2661</v>
      </c>
      <c r="E2757" s="462">
        <v>1300000</v>
      </c>
      <c r="F2757" s="385" t="s">
        <v>2292</v>
      </c>
      <c r="G2757" s="385" t="s">
        <v>2605</v>
      </c>
      <c r="H2757" s="387" t="s">
        <v>1955</v>
      </c>
      <c r="I2757" s="387" t="s">
        <v>1644</v>
      </c>
      <c r="J2757" s="387">
        <v>1</v>
      </c>
      <c r="K2757" s="385" t="s">
        <v>3681</v>
      </c>
    </row>
    <row r="2758" spans="1:11" ht="15.75">
      <c r="A2758" s="393">
        <v>44904</v>
      </c>
      <c r="B2758" s="1400" t="s">
        <v>2182</v>
      </c>
      <c r="C2758" s="381" t="s">
        <v>4172</v>
      </c>
      <c r="D2758" s="426" t="s">
        <v>2326</v>
      </c>
      <c r="E2758" s="462">
        <v>850000</v>
      </c>
      <c r="F2758" s="385" t="s">
        <v>2292</v>
      </c>
      <c r="G2758" s="385" t="s">
        <v>2593</v>
      </c>
      <c r="H2758" s="387" t="s">
        <v>1955</v>
      </c>
      <c r="I2758" s="387" t="s">
        <v>1644</v>
      </c>
      <c r="J2758" s="387">
        <v>1</v>
      </c>
      <c r="K2758" s="385" t="s">
        <v>1171</v>
      </c>
    </row>
    <row r="2759" spans="1:11" ht="15.75">
      <c r="A2759" s="443" t="s">
        <v>4139</v>
      </c>
      <c r="B2759" s="653" t="s">
        <v>2182</v>
      </c>
      <c r="C2759" s="381" t="s">
        <v>1296</v>
      </c>
      <c r="D2759" s="426" t="s">
        <v>2326</v>
      </c>
      <c r="E2759" s="462">
        <v>1150000</v>
      </c>
      <c r="F2759" s="385" t="s">
        <v>2292</v>
      </c>
      <c r="G2759" s="385" t="s">
        <v>2593</v>
      </c>
      <c r="H2759" s="387" t="s">
        <v>1955</v>
      </c>
      <c r="I2759" s="387" t="s">
        <v>1644</v>
      </c>
      <c r="J2759" s="387">
        <v>1</v>
      </c>
      <c r="K2759" s="385" t="s">
        <v>1171</v>
      </c>
    </row>
    <row r="2760" spans="1:11" ht="15.75">
      <c r="A2760" s="443" t="s">
        <v>4139</v>
      </c>
      <c r="B2760" s="653" t="s">
        <v>2182</v>
      </c>
      <c r="C2760" s="381" t="s">
        <v>4166</v>
      </c>
      <c r="D2760" s="426" t="s">
        <v>2661</v>
      </c>
      <c r="E2760" s="462">
        <v>1000000</v>
      </c>
      <c r="F2760" s="385" t="s">
        <v>2292</v>
      </c>
      <c r="G2760" s="385" t="s">
        <v>2605</v>
      </c>
      <c r="H2760" s="387" t="s">
        <v>1955</v>
      </c>
      <c r="I2760" s="387" t="s">
        <v>1644</v>
      </c>
      <c r="J2760" s="387">
        <v>1</v>
      </c>
      <c r="K2760" s="385" t="s">
        <v>3681</v>
      </c>
    </row>
    <row r="2761" spans="1:11" ht="15.75">
      <c r="A2761" s="443" t="s">
        <v>4139</v>
      </c>
      <c r="B2761" s="653" t="s">
        <v>2182</v>
      </c>
      <c r="C2761" s="381" t="s">
        <v>4173</v>
      </c>
      <c r="D2761" s="426" t="s">
        <v>2661</v>
      </c>
      <c r="E2761" s="462">
        <v>1300000</v>
      </c>
      <c r="F2761" s="385" t="s">
        <v>2292</v>
      </c>
      <c r="G2761" s="385" t="s">
        <v>2593</v>
      </c>
      <c r="H2761" s="387" t="s">
        <v>1955</v>
      </c>
      <c r="I2761" s="387" t="s">
        <v>1644</v>
      </c>
      <c r="J2761" s="387">
        <v>1</v>
      </c>
      <c r="K2761" s="385" t="s">
        <v>1171</v>
      </c>
    </row>
    <row r="2762" spans="1:11" ht="15.75">
      <c r="A2762" s="443" t="s">
        <v>4161</v>
      </c>
      <c r="B2762" s="653" t="s">
        <v>2182</v>
      </c>
      <c r="C2762" s="381" t="s">
        <v>4174</v>
      </c>
      <c r="D2762" s="426" t="s">
        <v>2661</v>
      </c>
      <c r="E2762" s="462">
        <v>1100000</v>
      </c>
      <c r="F2762" s="385" t="s">
        <v>2292</v>
      </c>
      <c r="G2762" s="385" t="s">
        <v>2741</v>
      </c>
      <c r="H2762" s="387" t="s">
        <v>1955</v>
      </c>
      <c r="I2762" s="387" t="s">
        <v>1644</v>
      </c>
      <c r="J2762" s="387">
        <v>1</v>
      </c>
      <c r="K2762" s="385" t="s">
        <v>3681</v>
      </c>
    </row>
    <row r="2763" spans="1:11" ht="15.75">
      <c r="A2763" s="443" t="s">
        <v>4168</v>
      </c>
      <c r="B2763" s="653" t="s">
        <v>2182</v>
      </c>
      <c r="C2763" s="381" t="s">
        <v>4175</v>
      </c>
      <c r="D2763" s="426" t="s">
        <v>2661</v>
      </c>
      <c r="E2763" s="462">
        <v>1100000</v>
      </c>
      <c r="F2763" s="385" t="s">
        <v>2292</v>
      </c>
      <c r="G2763" s="385" t="s">
        <v>185</v>
      </c>
      <c r="H2763" s="387" t="s">
        <v>1625</v>
      </c>
      <c r="I2763" s="387" t="s">
        <v>1644</v>
      </c>
      <c r="J2763" s="387">
        <v>1</v>
      </c>
      <c r="K2763" s="385" t="s">
        <v>1171</v>
      </c>
    </row>
    <row r="2764" spans="1:11" ht="15.75">
      <c r="A2764" s="443"/>
      <c r="B2764" s="653"/>
      <c r="C2764" s="381"/>
      <c r="D2764" s="426"/>
      <c r="E2764" s="462"/>
      <c r="F2764" s="385"/>
      <c r="G2764" s="385"/>
      <c r="H2764" s="387"/>
      <c r="I2764" s="387"/>
      <c r="J2764" s="387"/>
      <c r="K2764" s="385"/>
    </row>
    <row r="2765" spans="1:11" ht="15.75">
      <c r="A2765" s="443"/>
      <c r="B2765" s="653"/>
      <c r="C2765" s="381"/>
      <c r="D2765" s="426"/>
      <c r="E2765" s="462"/>
      <c r="F2765" s="385"/>
      <c r="G2765" s="385"/>
      <c r="H2765" s="387"/>
      <c r="I2765" s="387"/>
      <c r="J2765" s="387"/>
      <c r="K2765" s="385"/>
    </row>
    <row r="2766" spans="1:11" ht="15.75">
      <c r="A2766" s="443"/>
      <c r="B2766" s="653"/>
      <c r="C2766" s="381"/>
      <c r="D2766" s="426"/>
      <c r="E2766" s="462"/>
      <c r="F2766" s="385"/>
      <c r="G2766" s="385"/>
      <c r="H2766" s="387"/>
      <c r="I2766" s="387"/>
      <c r="J2766" s="387"/>
      <c r="K2766" s="385"/>
    </row>
    <row r="2767" spans="1:11" ht="15.75">
      <c r="A2767" s="443"/>
      <c r="B2767" s="653"/>
      <c r="C2767" s="381"/>
      <c r="D2767" s="426"/>
      <c r="E2767" s="462"/>
      <c r="F2767" s="385"/>
      <c r="G2767" s="385"/>
      <c r="H2767" s="387"/>
      <c r="I2767" s="387"/>
      <c r="J2767" s="387"/>
      <c r="K2767" s="385"/>
    </row>
    <row r="2768" spans="1:11" ht="15.75">
      <c r="A2768" s="443"/>
      <c r="B2768" s="653"/>
      <c r="C2768" s="381"/>
      <c r="D2768" s="426"/>
      <c r="E2768" s="462"/>
      <c r="F2768" s="385"/>
      <c r="G2768" s="385"/>
      <c r="H2768" s="387"/>
      <c r="I2768" s="387"/>
      <c r="J2768" s="387"/>
      <c r="K2768" s="385"/>
    </row>
    <row r="2769" spans="1:11" ht="15.75">
      <c r="A2769" s="393"/>
      <c r="B2769" s="381"/>
      <c r="C2769" s="381"/>
      <c r="D2769" s="381"/>
      <c r="E2769" s="451"/>
      <c r="F2769" s="381"/>
      <c r="G2769" s="381"/>
      <c r="H2769" s="383"/>
      <c r="I2769" s="383"/>
      <c r="J2769" s="1246">
        <f>SUM(J2750:J2763)</f>
        <v>14</v>
      </c>
      <c r="K2769" s="381"/>
    </row>
    <row r="2772" spans="1:11" ht="26.25">
      <c r="A2772" s="1667" t="s">
        <v>4176</v>
      </c>
      <c r="B2772" s="1667"/>
      <c r="C2772" s="1667"/>
      <c r="D2772" s="1667"/>
      <c r="E2772" s="1667"/>
      <c r="F2772" s="1667"/>
      <c r="G2772" s="1667"/>
      <c r="H2772" s="1667"/>
      <c r="I2772" s="1667"/>
      <c r="J2772" s="1667"/>
      <c r="K2772" s="1667"/>
    </row>
    <row r="2773" spans="1:11" ht="30.75">
      <c r="A2773" s="375" t="s">
        <v>1941</v>
      </c>
      <c r="B2773" s="378" t="s">
        <v>1942</v>
      </c>
      <c r="C2773" s="378" t="s">
        <v>1943</v>
      </c>
      <c r="D2773" s="378" t="s">
        <v>1944</v>
      </c>
      <c r="E2773" s="452" t="s">
        <v>1945</v>
      </c>
      <c r="F2773" s="378" t="s">
        <v>1946</v>
      </c>
      <c r="G2773" s="378" t="s">
        <v>2590</v>
      </c>
      <c r="H2773" s="378" t="s">
        <v>1947</v>
      </c>
      <c r="I2773" s="378" t="s">
        <v>1948</v>
      </c>
      <c r="J2773" s="453" t="s">
        <v>1949</v>
      </c>
      <c r="K2773" s="378" t="s">
        <v>1950</v>
      </c>
    </row>
    <row r="2774" spans="1:11" ht="15.75">
      <c r="A2774" s="1244" t="s">
        <v>4177</v>
      </c>
      <c r="B2774" s="1320" t="s">
        <v>1952</v>
      </c>
      <c r="C2774" s="1073" t="s">
        <v>2786</v>
      </c>
      <c r="D2774" s="1073" t="s">
        <v>2326</v>
      </c>
      <c r="E2774" s="1072">
        <v>180000000</v>
      </c>
      <c r="F2774" s="1073" t="s">
        <v>2461</v>
      </c>
      <c r="G2774" s="1073" t="s">
        <v>2593</v>
      </c>
      <c r="H2774" s="1074" t="s">
        <v>1955</v>
      </c>
      <c r="I2774" s="1074" t="s">
        <v>1625</v>
      </c>
      <c r="J2774" s="1074">
        <v>1</v>
      </c>
      <c r="K2774" s="1073" t="s">
        <v>2629</v>
      </c>
    </row>
    <row r="2775" spans="1:11" ht="15.75">
      <c r="A2775" s="1244" t="s">
        <v>4178</v>
      </c>
      <c r="B2775" s="1320" t="s">
        <v>2182</v>
      </c>
      <c r="C2775" s="1073" t="s">
        <v>4179</v>
      </c>
      <c r="D2775" s="1073" t="s">
        <v>2326</v>
      </c>
      <c r="E2775" s="1072">
        <v>190000000</v>
      </c>
      <c r="F2775" s="1073" t="s">
        <v>2292</v>
      </c>
      <c r="G2775" s="1073" t="s">
        <v>2741</v>
      </c>
      <c r="H2775" s="1074" t="s">
        <v>1955</v>
      </c>
      <c r="I2775" s="1074" t="s">
        <v>1644</v>
      </c>
      <c r="J2775" s="1074">
        <v>1</v>
      </c>
      <c r="K2775" s="1073" t="s">
        <v>2629</v>
      </c>
    </row>
    <row r="2776" spans="1:11" ht="15.75">
      <c r="A2776" s="1244" t="s">
        <v>4168</v>
      </c>
      <c r="B2776" s="1320" t="s">
        <v>4180</v>
      </c>
      <c r="C2776" s="1073" t="s">
        <v>4181</v>
      </c>
      <c r="D2776" s="1073" t="s">
        <v>4182</v>
      </c>
      <c r="E2776" s="1072">
        <v>350000000</v>
      </c>
      <c r="F2776" s="1073" t="s">
        <v>1968</v>
      </c>
      <c r="G2776" s="1073" t="s">
        <v>2593</v>
      </c>
      <c r="H2776" s="1074" t="s">
        <v>1955</v>
      </c>
      <c r="I2776" s="1074" t="s">
        <v>1625</v>
      </c>
      <c r="J2776" s="1074">
        <v>1</v>
      </c>
      <c r="K2776" s="1073" t="s">
        <v>2629</v>
      </c>
    </row>
    <row r="2777" spans="1:11" ht="15.75">
      <c r="A2777" s="479" t="s">
        <v>4151</v>
      </c>
      <c r="B2777" s="381" t="s">
        <v>1952</v>
      </c>
      <c r="C2777" s="381" t="s">
        <v>1293</v>
      </c>
      <c r="D2777" s="381" t="s">
        <v>2167</v>
      </c>
      <c r="E2777" s="451">
        <v>1900000</v>
      </c>
      <c r="F2777" s="275" t="s">
        <v>2292</v>
      </c>
      <c r="G2777" s="275" t="s">
        <v>30</v>
      </c>
      <c r="H2777" s="383" t="s">
        <v>1955</v>
      </c>
      <c r="I2777" s="383" t="s">
        <v>1625</v>
      </c>
      <c r="J2777" s="383">
        <v>1</v>
      </c>
      <c r="K2777" s="411" t="s">
        <v>1245</v>
      </c>
    </row>
    <row r="2778" spans="1:11" ht="15.75">
      <c r="A2778" s="479">
        <v>44570</v>
      </c>
      <c r="B2778" s="381" t="s">
        <v>1952</v>
      </c>
      <c r="C2778" s="381" t="s">
        <v>1294</v>
      </c>
      <c r="D2778" s="381" t="s">
        <v>2326</v>
      </c>
      <c r="E2778" s="451">
        <v>1350000</v>
      </c>
      <c r="F2778" s="275" t="s">
        <v>2292</v>
      </c>
      <c r="G2778" s="275" t="s">
        <v>30</v>
      </c>
      <c r="H2778" s="383" t="s">
        <v>1955</v>
      </c>
      <c r="I2778" s="383" t="s">
        <v>1625</v>
      </c>
      <c r="J2778" s="383">
        <v>1</v>
      </c>
      <c r="K2778" s="411" t="s">
        <v>3681</v>
      </c>
    </row>
    <row r="2779" spans="1:11" ht="15.75">
      <c r="A2779" s="393">
        <v>44690</v>
      </c>
      <c r="B2779" s="381" t="s">
        <v>1952</v>
      </c>
      <c r="C2779" s="381" t="s">
        <v>4183</v>
      </c>
      <c r="D2779" s="381" t="s">
        <v>2167</v>
      </c>
      <c r="E2779" s="451">
        <v>1800000</v>
      </c>
      <c r="F2779" s="381" t="s">
        <v>2292</v>
      </c>
      <c r="G2779" s="381" t="s">
        <v>2605</v>
      </c>
      <c r="H2779" s="383" t="s">
        <v>1955</v>
      </c>
      <c r="I2779" s="383" t="s">
        <v>1625</v>
      </c>
      <c r="J2779" s="383">
        <v>1</v>
      </c>
      <c r="K2779" s="381" t="s">
        <v>1245</v>
      </c>
    </row>
    <row r="2780" spans="1:11" ht="15.75">
      <c r="A2780" s="579">
        <v>44690</v>
      </c>
      <c r="B2780" s="381" t="s">
        <v>1952</v>
      </c>
      <c r="C2780" s="381" t="s">
        <v>4184</v>
      </c>
      <c r="D2780" s="381" t="s">
        <v>3059</v>
      </c>
      <c r="E2780" s="451">
        <v>1500000</v>
      </c>
      <c r="F2780" s="381" t="s">
        <v>2292</v>
      </c>
      <c r="G2780" s="381" t="s">
        <v>2605</v>
      </c>
      <c r="H2780" s="383" t="s">
        <v>1955</v>
      </c>
      <c r="I2780" s="383" t="s">
        <v>1625</v>
      </c>
      <c r="J2780" s="383">
        <v>1</v>
      </c>
      <c r="K2780" s="381" t="s">
        <v>1245</v>
      </c>
    </row>
    <row r="2781" spans="1:11" ht="15.75">
      <c r="A2781" s="579">
        <v>44843</v>
      </c>
      <c r="B2781" s="381" t="s">
        <v>1952</v>
      </c>
      <c r="C2781" s="381" t="s">
        <v>4185</v>
      </c>
      <c r="D2781" s="381" t="s">
        <v>3089</v>
      </c>
      <c r="E2781" s="451">
        <v>1250000</v>
      </c>
      <c r="F2781" s="381" t="s">
        <v>2292</v>
      </c>
      <c r="G2781" s="381" t="s">
        <v>2605</v>
      </c>
      <c r="H2781" s="383" t="s">
        <v>1955</v>
      </c>
      <c r="I2781" s="383" t="s">
        <v>1644</v>
      </c>
      <c r="J2781" s="383">
        <v>1</v>
      </c>
      <c r="K2781" s="381" t="s">
        <v>3681</v>
      </c>
    </row>
    <row r="2782" spans="1:11" ht="15.75">
      <c r="A2782" s="579">
        <v>44904</v>
      </c>
      <c r="B2782" s="381" t="s">
        <v>1952</v>
      </c>
      <c r="C2782" s="381" t="s">
        <v>4186</v>
      </c>
      <c r="D2782" s="381" t="s">
        <v>3329</v>
      </c>
      <c r="E2782" s="451">
        <v>2300000</v>
      </c>
      <c r="F2782" s="381" t="s">
        <v>1968</v>
      </c>
      <c r="G2782" s="381" t="s">
        <v>2593</v>
      </c>
      <c r="H2782" s="383" t="s">
        <v>1955</v>
      </c>
      <c r="I2782" s="383" t="s">
        <v>1644</v>
      </c>
      <c r="J2782" s="383">
        <v>1</v>
      </c>
      <c r="K2782" s="381" t="s">
        <v>1245</v>
      </c>
    </row>
    <row r="2783" spans="1:11" ht="15.75">
      <c r="A2783" s="579" t="s">
        <v>4157</v>
      </c>
      <c r="B2783" s="381" t="s">
        <v>2182</v>
      </c>
      <c r="C2783" s="381" t="s">
        <v>4187</v>
      </c>
      <c r="D2783" s="381" t="s">
        <v>75</v>
      </c>
      <c r="E2783" s="451">
        <v>1450000</v>
      </c>
      <c r="F2783" s="381" t="s">
        <v>2292</v>
      </c>
      <c r="G2783" s="381" t="s">
        <v>2605</v>
      </c>
      <c r="H2783" s="383" t="s">
        <v>1955</v>
      </c>
      <c r="I2783" s="383" t="s">
        <v>1644</v>
      </c>
      <c r="J2783" s="383">
        <v>1</v>
      </c>
      <c r="K2783" s="381" t="s">
        <v>3681</v>
      </c>
    </row>
    <row r="2784" spans="1:11" ht="15.75">
      <c r="A2784" s="579" t="s">
        <v>4157</v>
      </c>
      <c r="B2784" s="381" t="s">
        <v>2182</v>
      </c>
      <c r="C2784" s="381" t="s">
        <v>1297</v>
      </c>
      <c r="D2784" s="381" t="s">
        <v>3089</v>
      </c>
      <c r="E2784" s="451">
        <v>1200000</v>
      </c>
      <c r="F2784" s="381" t="s">
        <v>2292</v>
      </c>
      <c r="G2784" s="381" t="s">
        <v>2605</v>
      </c>
      <c r="H2784" s="383" t="s">
        <v>1955</v>
      </c>
      <c r="I2784" s="383" t="s">
        <v>1644</v>
      </c>
      <c r="J2784" s="383">
        <v>1</v>
      </c>
      <c r="K2784" s="381" t="s">
        <v>3681</v>
      </c>
    </row>
    <row r="2785" spans="1:11" ht="15.75">
      <c r="A2785" s="579" t="s">
        <v>4157</v>
      </c>
      <c r="B2785" s="381" t="s">
        <v>2182</v>
      </c>
      <c r="C2785" s="381" t="s">
        <v>1358</v>
      </c>
      <c r="D2785" s="381" t="s">
        <v>3089</v>
      </c>
      <c r="E2785" s="451">
        <v>1200000</v>
      </c>
      <c r="F2785" s="381" t="s">
        <v>2292</v>
      </c>
      <c r="G2785" s="381" t="s">
        <v>2605</v>
      </c>
      <c r="H2785" s="383" t="s">
        <v>1955</v>
      </c>
      <c r="I2785" s="383" t="s">
        <v>1644</v>
      </c>
      <c r="J2785" s="383">
        <v>1</v>
      </c>
      <c r="K2785" s="381" t="s">
        <v>1171</v>
      </c>
    </row>
    <row r="2786" spans="1:11" ht="15.75">
      <c r="A2786" s="579" t="s">
        <v>4157</v>
      </c>
      <c r="B2786" s="381" t="s">
        <v>2182</v>
      </c>
      <c r="C2786" s="381" t="s">
        <v>1363</v>
      </c>
      <c r="D2786" s="381" t="s">
        <v>3089</v>
      </c>
      <c r="E2786" s="451">
        <v>1200000</v>
      </c>
      <c r="F2786" s="381" t="s">
        <v>4188</v>
      </c>
      <c r="G2786" s="381" t="s">
        <v>2605</v>
      </c>
      <c r="H2786" s="383" t="s">
        <v>1955</v>
      </c>
      <c r="I2786" s="383" t="s">
        <v>1644</v>
      </c>
      <c r="J2786" s="383">
        <v>1</v>
      </c>
      <c r="K2786" s="381" t="s">
        <v>3681</v>
      </c>
    </row>
    <row r="2787" spans="1:11" ht="15.75">
      <c r="A2787" s="579" t="s">
        <v>4148</v>
      </c>
      <c r="B2787" s="381" t="s">
        <v>2182</v>
      </c>
      <c r="C2787" s="381" t="s">
        <v>4189</v>
      </c>
      <c r="D2787" s="381" t="s">
        <v>3059</v>
      </c>
      <c r="E2787" s="451">
        <v>1600000</v>
      </c>
      <c r="F2787" s="381" t="s">
        <v>2292</v>
      </c>
      <c r="G2787" s="381" t="s">
        <v>2605</v>
      </c>
      <c r="H2787" s="383" t="s">
        <v>1955</v>
      </c>
      <c r="I2787" s="383" t="s">
        <v>1644</v>
      </c>
      <c r="J2787" s="383">
        <v>1</v>
      </c>
      <c r="K2787" s="381" t="s">
        <v>3681</v>
      </c>
    </row>
    <row r="2788" spans="1:11" ht="15.75">
      <c r="A2788" s="579" t="s">
        <v>4161</v>
      </c>
      <c r="B2788" s="381" t="s">
        <v>2182</v>
      </c>
      <c r="C2788" s="381" t="s">
        <v>1356</v>
      </c>
      <c r="D2788" s="381" t="s">
        <v>3089</v>
      </c>
      <c r="E2788" s="451">
        <v>1200000</v>
      </c>
      <c r="F2788" s="381" t="s">
        <v>2292</v>
      </c>
      <c r="G2788" s="381" t="s">
        <v>2605</v>
      </c>
      <c r="H2788" s="383" t="s">
        <v>1955</v>
      </c>
      <c r="I2788" s="383" t="s">
        <v>1644</v>
      </c>
      <c r="J2788" s="383">
        <v>1</v>
      </c>
      <c r="K2788" s="381" t="s">
        <v>1171</v>
      </c>
    </row>
    <row r="2789" spans="1:11" ht="15.75">
      <c r="A2789" s="579" t="s">
        <v>4144</v>
      </c>
      <c r="B2789" s="381" t="s">
        <v>2182</v>
      </c>
      <c r="C2789" s="381" t="s">
        <v>3726</v>
      </c>
      <c r="D2789" s="381" t="s">
        <v>2326</v>
      </c>
      <c r="E2789" s="451">
        <v>950000</v>
      </c>
      <c r="F2789" s="381" t="s">
        <v>2292</v>
      </c>
      <c r="G2789" s="381" t="s">
        <v>2605</v>
      </c>
      <c r="H2789" s="383" t="s">
        <v>1955</v>
      </c>
      <c r="I2789" s="383" t="s">
        <v>1644</v>
      </c>
      <c r="J2789" s="383">
        <v>1</v>
      </c>
      <c r="K2789" s="381" t="s">
        <v>3681</v>
      </c>
    </row>
    <row r="2790" spans="1:11" ht="15.75">
      <c r="A2790" s="456"/>
      <c r="B2790" s="457"/>
      <c r="C2790" s="457"/>
      <c r="D2790" s="457"/>
      <c r="E2790" s="476"/>
      <c r="F2790" s="457"/>
      <c r="G2790" s="457"/>
      <c r="H2790" s="153"/>
      <c r="I2790" s="153"/>
      <c r="J2790" s="493">
        <f>SUM(J2774:J2789)</f>
        <v>16</v>
      </c>
      <c r="K2790" s="457"/>
    </row>
    <row r="2791" spans="1:11" ht="15.75">
      <c r="A2791" s="394"/>
      <c r="B2791" s="395"/>
      <c r="C2791" s="395"/>
      <c r="D2791" s="395"/>
      <c r="E2791" s="396"/>
      <c r="F2791" s="397"/>
      <c r="G2791" s="397"/>
      <c r="H2791" s="395"/>
      <c r="I2791" s="395"/>
      <c r="J2791" s="395"/>
      <c r="K2791" s="395"/>
    </row>
    <row r="2792" spans="1:11" ht="15.75">
      <c r="A2792" s="394"/>
      <c r="B2792" s="395"/>
      <c r="C2792" s="395"/>
      <c r="D2792" s="395"/>
      <c r="E2792" s="396"/>
      <c r="F2792" s="397"/>
      <c r="G2792" s="397"/>
      <c r="H2792" s="395"/>
      <c r="I2792" s="395"/>
      <c r="J2792" s="395"/>
      <c r="K2792" s="395"/>
    </row>
    <row r="2794" spans="1:11" ht="26.25">
      <c r="A2794" s="1668" t="s">
        <v>4190</v>
      </c>
      <c r="B2794" s="1669"/>
      <c r="C2794" s="1669"/>
      <c r="D2794" s="1669"/>
      <c r="E2794" s="1669"/>
      <c r="F2794" s="1669"/>
      <c r="G2794" s="1669"/>
      <c r="H2794" s="1669"/>
      <c r="I2794" s="1669"/>
      <c r="J2794" s="1669"/>
      <c r="K2794" s="1670"/>
    </row>
    <row r="2795" spans="1:11" ht="30.75">
      <c r="A2795" s="378" t="s">
        <v>1941</v>
      </c>
      <c r="B2795" s="378" t="s">
        <v>1942</v>
      </c>
      <c r="C2795" s="378" t="s">
        <v>1943</v>
      </c>
      <c r="D2795" s="378" t="s">
        <v>1944</v>
      </c>
      <c r="E2795" s="452" t="s">
        <v>1945</v>
      </c>
      <c r="F2795" s="378" t="s">
        <v>1946</v>
      </c>
      <c r="G2795" s="378" t="s">
        <v>2590</v>
      </c>
      <c r="H2795" s="378" t="s">
        <v>1947</v>
      </c>
      <c r="I2795" s="378" t="s">
        <v>1948</v>
      </c>
      <c r="J2795" s="453" t="s">
        <v>1949</v>
      </c>
      <c r="K2795" s="378" t="s">
        <v>1950</v>
      </c>
    </row>
    <row r="2796" spans="1:11" ht="15.75">
      <c r="A2796" s="922" t="s">
        <v>4136</v>
      </c>
      <c r="B2796" s="618" t="s">
        <v>1952</v>
      </c>
      <c r="C2796" s="472" t="s">
        <v>1303</v>
      </c>
      <c r="D2796" s="472" t="s">
        <v>2659</v>
      </c>
      <c r="E2796" s="475">
        <v>240000000</v>
      </c>
      <c r="F2796" s="472" t="s">
        <v>2292</v>
      </c>
      <c r="G2796" s="472" t="s">
        <v>30</v>
      </c>
      <c r="H2796" s="473" t="s">
        <v>1955</v>
      </c>
      <c r="I2796" s="473" t="s">
        <v>1625</v>
      </c>
      <c r="J2796" s="473">
        <v>1</v>
      </c>
      <c r="K2796" s="472" t="s">
        <v>2629</v>
      </c>
    </row>
    <row r="2797" spans="1:11" ht="15.75">
      <c r="A2797" s="922"/>
      <c r="B2797" s="618"/>
      <c r="C2797" s="472"/>
      <c r="D2797" s="472"/>
      <c r="E2797" s="475"/>
      <c r="F2797" s="472"/>
      <c r="G2797" s="472"/>
      <c r="H2797" s="473"/>
      <c r="I2797" s="473"/>
      <c r="J2797" s="473"/>
      <c r="K2797" s="472"/>
    </row>
    <row r="2798" spans="1:11" ht="15.75">
      <c r="A2798" s="611"/>
      <c r="B2798" s="472"/>
      <c r="C2798" s="472"/>
      <c r="D2798" s="472"/>
      <c r="E2798" s="475"/>
      <c r="F2798" s="472"/>
      <c r="G2798" s="472"/>
      <c r="H2798" s="473"/>
      <c r="I2798" s="473"/>
      <c r="J2798" s="473"/>
      <c r="K2798" s="472"/>
    </row>
    <row r="2799" spans="1:11" ht="15.75">
      <c r="A2799" s="384" t="s">
        <v>4136</v>
      </c>
      <c r="B2799" s="577" t="s">
        <v>1952</v>
      </c>
      <c r="C2799" s="385" t="s">
        <v>1303</v>
      </c>
      <c r="D2799" s="385" t="s">
        <v>2659</v>
      </c>
      <c r="E2799" s="462">
        <v>1450000</v>
      </c>
      <c r="F2799" s="385" t="s">
        <v>2292</v>
      </c>
      <c r="G2799" s="385" t="s">
        <v>30</v>
      </c>
      <c r="H2799" s="387" t="s">
        <v>1955</v>
      </c>
      <c r="I2799" s="387" t="s">
        <v>1625</v>
      </c>
      <c r="J2799" s="387">
        <v>1</v>
      </c>
      <c r="K2799" s="385" t="s">
        <v>1245</v>
      </c>
    </row>
    <row r="2800" spans="1:11" ht="15.75">
      <c r="A2800" s="384">
        <v>44629</v>
      </c>
      <c r="B2800" s="577" t="s">
        <v>1952</v>
      </c>
      <c r="C2800" s="426" t="s">
        <v>1304</v>
      </c>
      <c r="D2800" s="385" t="s">
        <v>3755</v>
      </c>
      <c r="E2800" s="462">
        <v>1450000</v>
      </c>
      <c r="F2800" s="385" t="s">
        <v>1968</v>
      </c>
      <c r="G2800" s="385" t="s">
        <v>30</v>
      </c>
      <c r="H2800" s="387" t="s">
        <v>1955</v>
      </c>
      <c r="I2800" s="387" t="s">
        <v>1625</v>
      </c>
      <c r="J2800" s="387">
        <v>1</v>
      </c>
      <c r="K2800" s="385" t="s">
        <v>1171</v>
      </c>
    </row>
    <row r="2801" spans="1:11" ht="15.75">
      <c r="A2801" s="384" t="s">
        <v>4148</v>
      </c>
      <c r="B2801" s="577" t="s">
        <v>2182</v>
      </c>
      <c r="C2801" s="426" t="s">
        <v>1305</v>
      </c>
      <c r="D2801" s="385" t="s">
        <v>2659</v>
      </c>
      <c r="E2801" s="462">
        <v>1350000</v>
      </c>
      <c r="F2801" s="385" t="s">
        <v>2290</v>
      </c>
      <c r="G2801" s="385" t="s">
        <v>2593</v>
      </c>
      <c r="H2801" s="387" t="s">
        <v>1955</v>
      </c>
      <c r="I2801" s="387" t="s">
        <v>1644</v>
      </c>
      <c r="J2801" s="387">
        <v>1</v>
      </c>
      <c r="K2801" s="385" t="s">
        <v>989</v>
      </c>
    </row>
    <row r="2802" spans="1:11" ht="15.75">
      <c r="A2802" s="384" t="s">
        <v>4148</v>
      </c>
      <c r="B2802" s="577" t="s">
        <v>2182</v>
      </c>
      <c r="C2802" s="426" t="s">
        <v>4191</v>
      </c>
      <c r="D2802" s="385" t="s">
        <v>3043</v>
      </c>
      <c r="E2802" s="462">
        <v>1350000</v>
      </c>
      <c r="F2802" s="385" t="s">
        <v>2292</v>
      </c>
      <c r="G2802" s="385" t="s">
        <v>2593</v>
      </c>
      <c r="H2802" s="387" t="s">
        <v>1955</v>
      </c>
      <c r="I2802" s="387" t="s">
        <v>1644</v>
      </c>
      <c r="J2802" s="387">
        <v>1</v>
      </c>
      <c r="K2802" s="385" t="s">
        <v>1171</v>
      </c>
    </row>
    <row r="2803" spans="1:11" ht="15.75">
      <c r="A2803" s="384" t="s">
        <v>4144</v>
      </c>
      <c r="B2803" s="577" t="s">
        <v>2182</v>
      </c>
      <c r="C2803" s="426" t="s">
        <v>4191</v>
      </c>
      <c r="D2803" s="385" t="s">
        <v>3043</v>
      </c>
      <c r="E2803" s="462">
        <v>1400000</v>
      </c>
      <c r="F2803" s="385" t="s">
        <v>2292</v>
      </c>
      <c r="G2803" s="385" t="s">
        <v>2605</v>
      </c>
      <c r="H2803" s="387" t="s">
        <v>1955</v>
      </c>
      <c r="I2803" s="387" t="s">
        <v>1644</v>
      </c>
      <c r="J2803" s="387">
        <v>1</v>
      </c>
      <c r="K2803" s="385" t="s">
        <v>1171</v>
      </c>
    </row>
    <row r="2804" spans="1:11" ht="15.75">
      <c r="A2804" s="384"/>
      <c r="B2804" s="577"/>
      <c r="C2804" s="426"/>
      <c r="D2804" s="385"/>
      <c r="E2804" s="462"/>
      <c r="F2804" s="385"/>
      <c r="G2804" s="385"/>
      <c r="H2804" s="387"/>
      <c r="I2804" s="387"/>
      <c r="J2804" s="387"/>
      <c r="K2804" s="385"/>
    </row>
    <row r="2805" spans="1:11" ht="15.75">
      <c r="A2805" s="384"/>
      <c r="B2805" s="577"/>
      <c r="C2805" s="426"/>
      <c r="D2805" s="385"/>
      <c r="E2805" s="462"/>
      <c r="F2805" s="385"/>
      <c r="G2805" s="385"/>
      <c r="H2805" s="387"/>
      <c r="I2805" s="387"/>
      <c r="J2805" s="387"/>
      <c r="K2805" s="385"/>
    </row>
    <row r="2806" spans="1:11" ht="15.75">
      <c r="A2806" s="384"/>
      <c r="B2806" s="577"/>
      <c r="C2806" s="426"/>
      <c r="D2806" s="385"/>
      <c r="E2806" s="462"/>
      <c r="F2806" s="385"/>
      <c r="G2806" s="385"/>
      <c r="H2806" s="387"/>
      <c r="I2806" s="387"/>
      <c r="J2806" s="387"/>
      <c r="K2806" s="385"/>
    </row>
    <row r="2807" spans="1:11" ht="15.75">
      <c r="A2807" s="384"/>
      <c r="B2807" s="577"/>
      <c r="C2807" s="426"/>
      <c r="D2807" s="385"/>
      <c r="E2807" s="462"/>
      <c r="F2807" s="385"/>
      <c r="G2807" s="385"/>
      <c r="H2807" s="387"/>
      <c r="I2807" s="387"/>
      <c r="J2807" s="387"/>
      <c r="K2807" s="385"/>
    </row>
    <row r="2808" spans="1:11" ht="15.75">
      <c r="A2808" s="384"/>
      <c r="B2808" s="577"/>
      <c r="C2808" s="426"/>
      <c r="D2808" s="385"/>
      <c r="E2808" s="462"/>
      <c r="F2808" s="385"/>
      <c r="G2808" s="385"/>
      <c r="H2808" s="387"/>
      <c r="I2808" s="387"/>
      <c r="J2808" s="387"/>
      <c r="K2808" s="385"/>
    </row>
    <row r="2809" spans="1:11" ht="15.75">
      <c r="A2809" s="412"/>
      <c r="B2809" s="381"/>
      <c r="C2809" s="426"/>
      <c r="D2809" s="385"/>
      <c r="E2809" s="462"/>
      <c r="F2809" s="385"/>
      <c r="G2809" s="385"/>
      <c r="H2809" s="387"/>
      <c r="I2809" s="387"/>
      <c r="J2809" s="387"/>
      <c r="K2809" s="385"/>
    </row>
    <row r="2810" spans="1:11" ht="15.75">
      <c r="A2810" s="412"/>
      <c r="B2810" s="381"/>
      <c r="C2810" s="426"/>
      <c r="D2810" s="385"/>
      <c r="E2810" s="462"/>
      <c r="F2810" s="385"/>
      <c r="G2810" s="385"/>
      <c r="H2810" s="387"/>
      <c r="I2810" s="387"/>
      <c r="J2810" s="387"/>
      <c r="K2810" s="385"/>
    </row>
    <row r="2811" spans="1:11" ht="15.75">
      <c r="A2811" s="412"/>
      <c r="B2811" s="381"/>
      <c r="C2811" s="426"/>
      <c r="D2811" s="385"/>
      <c r="E2811" s="462"/>
      <c r="F2811" s="385"/>
      <c r="G2811" s="385"/>
      <c r="H2811" s="387"/>
      <c r="I2811" s="387"/>
      <c r="J2811" s="387"/>
      <c r="K2811" s="385"/>
    </row>
    <row r="2812" spans="1:11" ht="15.75">
      <c r="A2812" s="412"/>
      <c r="B2812" s="381"/>
      <c r="C2812" s="426"/>
      <c r="D2812" s="385"/>
      <c r="E2812" s="462"/>
      <c r="F2812" s="385"/>
      <c r="G2812" s="385"/>
      <c r="H2812" s="387"/>
      <c r="I2812" s="387"/>
      <c r="J2812" s="387"/>
      <c r="K2812" s="385"/>
    </row>
    <row r="2813" spans="1:11" ht="15.75">
      <c r="A2813" s="928"/>
      <c r="B2813" s="420"/>
      <c r="C2813" s="426"/>
      <c r="D2813" s="633"/>
      <c r="E2813" s="644"/>
      <c r="F2813" s="633"/>
      <c r="G2813" s="633"/>
      <c r="H2813" s="635"/>
      <c r="I2813" s="635"/>
      <c r="J2813" s="387"/>
      <c r="K2813" s="385"/>
    </row>
    <row r="2814" spans="1:11" ht="15.75">
      <c r="A2814" s="928"/>
      <c r="B2814" s="420"/>
      <c r="C2814" s="426"/>
      <c r="D2814" s="633"/>
      <c r="E2814" s="644"/>
      <c r="F2814" s="633"/>
      <c r="G2814" s="633"/>
      <c r="H2814" s="635"/>
      <c r="I2814" s="635"/>
      <c r="J2814" s="387"/>
      <c r="K2814" s="385"/>
    </row>
    <row r="2815" spans="1:11" ht="15.75">
      <c r="A2815" s="928"/>
      <c r="B2815" s="420"/>
      <c r="C2815" s="743"/>
      <c r="D2815" s="633"/>
      <c r="E2815" s="644"/>
      <c r="F2815" s="633"/>
      <c r="G2815" s="633"/>
      <c r="H2815" s="635"/>
      <c r="I2815" s="635"/>
      <c r="J2815" s="387"/>
      <c r="K2815" s="385"/>
    </row>
    <row r="2816" spans="1:11" ht="15.75">
      <c r="A2816" s="928"/>
      <c r="B2816" s="420"/>
      <c r="C2816" s="743"/>
      <c r="D2816" s="633"/>
      <c r="E2816" s="644"/>
      <c r="F2816" s="633"/>
      <c r="G2816" s="633"/>
      <c r="H2816" s="635"/>
      <c r="I2816" s="635"/>
      <c r="J2816" s="387"/>
      <c r="K2816" s="385"/>
    </row>
    <row r="2817" spans="1:11" ht="15.75">
      <c r="A2817" s="928"/>
      <c r="B2817" s="420"/>
      <c r="C2817" s="743"/>
      <c r="D2817" s="633"/>
      <c r="E2817" s="644"/>
      <c r="F2817" s="633"/>
      <c r="G2817" s="633"/>
      <c r="H2817" s="635"/>
      <c r="I2817" s="635"/>
      <c r="J2817" s="387"/>
      <c r="K2817" s="385"/>
    </row>
    <row r="2818" spans="1:11" ht="15.75">
      <c r="A2818" s="928"/>
      <c r="B2818" s="420"/>
      <c r="C2818" s="743"/>
      <c r="D2818" s="633"/>
      <c r="E2818" s="644"/>
      <c r="F2818" s="633"/>
      <c r="G2818" s="633"/>
      <c r="H2818" s="635"/>
      <c r="I2818" s="635"/>
      <c r="J2818" s="387"/>
      <c r="K2818" s="385"/>
    </row>
    <row r="2819" spans="1:11" ht="15.75">
      <c r="A2819" s="419"/>
      <c r="B2819" s="420"/>
      <c r="C2819" s="457"/>
      <c r="D2819" s="457"/>
      <c r="E2819" s="458"/>
      <c r="F2819" s="457"/>
      <c r="G2819" s="457"/>
      <c r="H2819" s="457"/>
      <c r="I2819" s="457"/>
      <c r="J2819" s="493">
        <f>SUM(J2796:J2818)</f>
        <v>6</v>
      </c>
      <c r="K2819" s="457"/>
    </row>
    <row r="2822" spans="1:11" ht="26.25">
      <c r="A2822" s="1668" t="s">
        <v>4192</v>
      </c>
      <c r="B2822" s="1669"/>
      <c r="C2822" s="1669"/>
      <c r="D2822" s="1669"/>
      <c r="E2822" s="1669"/>
      <c r="F2822" s="1669"/>
      <c r="G2822" s="1669"/>
      <c r="H2822" s="1669"/>
      <c r="I2822" s="1669"/>
      <c r="J2822" s="1669"/>
      <c r="K2822" s="1670"/>
    </row>
    <row r="2823" spans="1:11" ht="30.75">
      <c r="A2823" s="375" t="s">
        <v>1941</v>
      </c>
      <c r="B2823" s="378" t="s">
        <v>1942</v>
      </c>
      <c r="C2823" s="378" t="s">
        <v>1943</v>
      </c>
      <c r="D2823" s="378" t="s">
        <v>1944</v>
      </c>
      <c r="E2823" s="452" t="s">
        <v>1945</v>
      </c>
      <c r="F2823" s="378" t="s">
        <v>1946</v>
      </c>
      <c r="G2823" s="378" t="s">
        <v>2590</v>
      </c>
      <c r="H2823" s="378" t="s">
        <v>1947</v>
      </c>
      <c r="I2823" s="378" t="s">
        <v>1948</v>
      </c>
      <c r="J2823" s="453" t="s">
        <v>1949</v>
      </c>
      <c r="K2823" s="378" t="s">
        <v>1950</v>
      </c>
    </row>
    <row r="2824" spans="1:11" ht="15.75">
      <c r="A2824" s="1068">
        <v>44570</v>
      </c>
      <c r="B2824" s="1069" t="s">
        <v>2182</v>
      </c>
      <c r="C2824" s="1070" t="s">
        <v>4193</v>
      </c>
      <c r="D2824" s="1071" t="s">
        <v>75</v>
      </c>
      <c r="E2824" s="1072">
        <v>380000000</v>
      </c>
      <c r="F2824" s="1073" t="s">
        <v>1968</v>
      </c>
      <c r="G2824" s="1073" t="s">
        <v>2593</v>
      </c>
      <c r="H2824" s="1074" t="s">
        <v>1955</v>
      </c>
      <c r="I2824" s="1074" t="s">
        <v>1644</v>
      </c>
      <c r="J2824" s="1074">
        <v>1</v>
      </c>
      <c r="K2824" s="1073" t="s">
        <v>2629</v>
      </c>
    </row>
    <row r="2825" spans="1:11" ht="15.75">
      <c r="A2825" s="1068">
        <v>44601</v>
      </c>
      <c r="B2825" s="1069" t="s">
        <v>2182</v>
      </c>
      <c r="C2825" s="1070" t="s">
        <v>4194</v>
      </c>
      <c r="D2825" s="1071" t="s">
        <v>2573</v>
      </c>
      <c r="E2825" s="1072">
        <v>300000000</v>
      </c>
      <c r="F2825" s="1073" t="s">
        <v>2290</v>
      </c>
      <c r="G2825" s="1073" t="s">
        <v>2593</v>
      </c>
      <c r="H2825" s="1074" t="s">
        <v>1955</v>
      </c>
      <c r="I2825" s="1074" t="s">
        <v>1644</v>
      </c>
      <c r="J2825" s="1074">
        <v>1</v>
      </c>
      <c r="K2825" s="1073" t="s">
        <v>2629</v>
      </c>
    </row>
    <row r="2826" spans="1:11" ht="15.75">
      <c r="A2826" s="443">
        <v>44570</v>
      </c>
      <c r="B2826" s="653" t="s">
        <v>1966</v>
      </c>
      <c r="C2826" s="385" t="s">
        <v>4195</v>
      </c>
      <c r="D2826" s="426" t="s">
        <v>2945</v>
      </c>
      <c r="E2826" s="462">
        <v>980000</v>
      </c>
      <c r="F2826" s="385" t="s">
        <v>1968</v>
      </c>
      <c r="G2826" s="385" t="s">
        <v>2593</v>
      </c>
      <c r="H2826" s="387" t="s">
        <v>1955</v>
      </c>
      <c r="I2826" s="387" t="s">
        <v>1625</v>
      </c>
      <c r="J2826" s="387">
        <v>1</v>
      </c>
      <c r="K2826" s="385" t="s">
        <v>1171</v>
      </c>
    </row>
    <row r="2827" spans="1:11" ht="15.75">
      <c r="A2827" s="443">
        <v>44690</v>
      </c>
      <c r="B2827" s="653" t="s">
        <v>1966</v>
      </c>
      <c r="C2827" s="385" t="s">
        <v>4196</v>
      </c>
      <c r="D2827" s="426" t="s">
        <v>2661</v>
      </c>
      <c r="E2827" s="462">
        <v>850000</v>
      </c>
      <c r="F2827" s="385" t="s">
        <v>1968</v>
      </c>
      <c r="G2827" s="385" t="s">
        <v>2593</v>
      </c>
      <c r="H2827" s="387" t="s">
        <v>1955</v>
      </c>
      <c r="I2827" s="387" t="s">
        <v>1625</v>
      </c>
      <c r="J2827" s="387">
        <v>1</v>
      </c>
      <c r="K2827" s="385" t="s">
        <v>989</v>
      </c>
    </row>
    <row r="2828" spans="1:11" ht="15.75">
      <c r="A2828" s="443" t="s">
        <v>4140</v>
      </c>
      <c r="B2828" s="653" t="s">
        <v>1966</v>
      </c>
      <c r="C2828" s="385" t="s">
        <v>4197</v>
      </c>
      <c r="D2828" s="426" t="s">
        <v>2669</v>
      </c>
      <c r="E2828" s="462">
        <v>2100000</v>
      </c>
      <c r="F2828" s="385" t="s">
        <v>1968</v>
      </c>
      <c r="G2828" s="385" t="s">
        <v>2593</v>
      </c>
      <c r="H2828" s="387" t="s">
        <v>1955</v>
      </c>
      <c r="I2828" s="387" t="s">
        <v>1644</v>
      </c>
      <c r="J2828" s="387">
        <v>1</v>
      </c>
      <c r="K2828" s="385" t="s">
        <v>1171</v>
      </c>
    </row>
    <row r="2829" spans="1:11" ht="15.75">
      <c r="A2829" s="443" t="s">
        <v>4140</v>
      </c>
      <c r="B2829" s="653" t="s">
        <v>1966</v>
      </c>
      <c r="C2829" s="385" t="s">
        <v>4198</v>
      </c>
      <c r="D2829" s="426" t="s">
        <v>2669</v>
      </c>
      <c r="E2829" s="462">
        <v>2600000</v>
      </c>
      <c r="F2829" s="385" t="s">
        <v>1968</v>
      </c>
      <c r="G2829" s="385" t="s">
        <v>2593</v>
      </c>
      <c r="H2829" s="387" t="s">
        <v>1955</v>
      </c>
      <c r="I2829" s="387" t="s">
        <v>1644</v>
      </c>
      <c r="J2829" s="387">
        <v>1</v>
      </c>
      <c r="K2829" s="385" t="s">
        <v>989</v>
      </c>
    </row>
    <row r="2830" spans="1:11" ht="15.75">
      <c r="A2830" s="443" t="s">
        <v>4157</v>
      </c>
      <c r="B2830" s="653" t="s">
        <v>2182</v>
      </c>
      <c r="C2830" s="385" t="s">
        <v>4199</v>
      </c>
      <c r="D2830" s="426" t="s">
        <v>3235</v>
      </c>
      <c r="E2830" s="462">
        <v>650000</v>
      </c>
      <c r="F2830" s="385" t="s">
        <v>1968</v>
      </c>
      <c r="G2830" s="385" t="s">
        <v>2593</v>
      </c>
      <c r="H2830" s="387" t="s">
        <v>1955</v>
      </c>
      <c r="I2830" s="387" t="s">
        <v>1644</v>
      </c>
      <c r="J2830" s="387">
        <v>1</v>
      </c>
      <c r="K2830" s="385" t="s">
        <v>1171</v>
      </c>
    </row>
    <row r="2831" spans="1:11" ht="15.75">
      <c r="A2831" s="443" t="s">
        <v>4157</v>
      </c>
      <c r="B2831" s="1416" t="s">
        <v>2182</v>
      </c>
      <c r="C2831" s="381" t="s">
        <v>4200</v>
      </c>
      <c r="D2831" s="426" t="s">
        <v>2661</v>
      </c>
      <c r="E2831" s="462">
        <v>580000</v>
      </c>
      <c r="F2831" s="385" t="s">
        <v>1968</v>
      </c>
      <c r="G2831" s="385" t="s">
        <v>30</v>
      </c>
      <c r="H2831" s="387" t="s">
        <v>1955</v>
      </c>
      <c r="I2831" s="387" t="s">
        <v>1644</v>
      </c>
      <c r="J2831" s="387">
        <v>1</v>
      </c>
      <c r="K2831" s="385" t="s">
        <v>989</v>
      </c>
    </row>
    <row r="2832" spans="1:11" ht="15.75">
      <c r="A2832" s="443" t="s">
        <v>4144</v>
      </c>
      <c r="B2832" s="1416" t="s">
        <v>2060</v>
      </c>
      <c r="C2832" s="1415" t="s">
        <v>4201</v>
      </c>
      <c r="D2832" s="426" t="s">
        <v>2576</v>
      </c>
      <c r="E2832" s="462">
        <v>1050000000</v>
      </c>
      <c r="F2832" s="385" t="s">
        <v>1968</v>
      </c>
      <c r="G2832" s="385" t="s">
        <v>2593</v>
      </c>
      <c r="H2832" s="387" t="s">
        <v>1955</v>
      </c>
      <c r="I2832" s="387" t="s">
        <v>1644</v>
      </c>
      <c r="J2832" s="387">
        <v>1</v>
      </c>
      <c r="K2832" s="385" t="s">
        <v>1171</v>
      </c>
    </row>
    <row r="2833" spans="1:11" ht="15.75">
      <c r="A2833" s="443"/>
      <c r="B2833" s="653"/>
      <c r="C2833" s="482"/>
      <c r="D2833" s="426"/>
      <c r="E2833" s="462"/>
      <c r="F2833" s="385"/>
      <c r="G2833" s="385"/>
      <c r="H2833" s="387"/>
      <c r="I2833" s="387"/>
      <c r="J2833" s="387"/>
      <c r="K2833" s="385"/>
    </row>
    <row r="2834" spans="1:11" ht="15.75">
      <c r="A2834" s="443"/>
      <c r="B2834" s="653"/>
      <c r="C2834" s="381"/>
      <c r="D2834" s="426"/>
      <c r="E2834" s="462"/>
      <c r="F2834" s="385"/>
      <c r="G2834" s="385"/>
      <c r="H2834" s="387"/>
      <c r="I2834" s="387"/>
      <c r="J2834" s="387"/>
      <c r="K2834" s="385"/>
    </row>
    <row r="2835" spans="1:11" ht="15.75">
      <c r="A2835" s="443"/>
      <c r="B2835" s="653"/>
      <c r="C2835" s="381"/>
      <c r="D2835" s="426"/>
      <c r="E2835" s="462"/>
      <c r="F2835" s="385"/>
      <c r="G2835" s="385"/>
      <c r="H2835" s="387"/>
      <c r="I2835" s="387"/>
      <c r="J2835" s="387"/>
      <c r="K2835" s="385"/>
    </row>
    <row r="2836" spans="1:11" ht="15.75">
      <c r="A2836" s="443"/>
      <c r="B2836" s="653"/>
      <c r="C2836" s="381"/>
      <c r="D2836" s="426"/>
      <c r="E2836" s="462"/>
      <c r="F2836" s="385"/>
      <c r="G2836" s="385"/>
      <c r="H2836" s="387"/>
      <c r="I2836" s="387"/>
      <c r="J2836" s="387"/>
      <c r="K2836" s="385"/>
    </row>
    <row r="2837" spans="1:11" ht="15.75">
      <c r="A2837" s="393"/>
      <c r="B2837" s="653"/>
      <c r="C2837" s="381"/>
      <c r="D2837" s="381"/>
      <c r="E2837" s="451"/>
      <c r="F2837" s="381"/>
      <c r="G2837" s="381"/>
      <c r="H2837" s="383"/>
      <c r="I2837" s="383"/>
      <c r="J2837" s="1246">
        <f>SUM(J2824:J2826)</f>
        <v>3</v>
      </c>
      <c r="K2837" s="381"/>
    </row>
    <row r="2840" spans="1:11" ht="26.25">
      <c r="A2840" s="1668" t="s">
        <v>4202</v>
      </c>
      <c r="B2840" s="1669"/>
      <c r="C2840" s="1669"/>
      <c r="D2840" s="1669"/>
      <c r="E2840" s="1669"/>
      <c r="F2840" s="1669"/>
      <c r="G2840" s="1669"/>
      <c r="H2840" s="1669"/>
      <c r="I2840" s="1669"/>
      <c r="J2840" s="1669"/>
      <c r="K2840" s="1670"/>
    </row>
    <row r="2841" spans="1:11" ht="30.75">
      <c r="A2841" s="375" t="s">
        <v>1941</v>
      </c>
      <c r="B2841" s="378" t="s">
        <v>1942</v>
      </c>
      <c r="C2841" s="378" t="s">
        <v>1943</v>
      </c>
      <c r="D2841" s="378" t="s">
        <v>1944</v>
      </c>
      <c r="E2841" s="452" t="s">
        <v>1945</v>
      </c>
      <c r="F2841" s="378" t="s">
        <v>1946</v>
      </c>
      <c r="G2841" s="378" t="s">
        <v>2590</v>
      </c>
      <c r="H2841" s="378" t="s">
        <v>1947</v>
      </c>
      <c r="I2841" s="378" t="s">
        <v>1948</v>
      </c>
      <c r="J2841" s="453" t="s">
        <v>1949</v>
      </c>
      <c r="K2841" s="378" t="s">
        <v>1950</v>
      </c>
    </row>
    <row r="2842" spans="1:11" ht="15.75">
      <c r="A2842" s="1244">
        <v>44660</v>
      </c>
      <c r="B2842" s="1069" t="s">
        <v>1952</v>
      </c>
      <c r="C2842" s="1070" t="s">
        <v>4203</v>
      </c>
      <c r="D2842" s="1070" t="s">
        <v>2711</v>
      </c>
      <c r="E2842" s="1245">
        <v>330000000</v>
      </c>
      <c r="F2842" s="1070" t="s">
        <v>1968</v>
      </c>
      <c r="G2842" s="1070" t="s">
        <v>2593</v>
      </c>
      <c r="H2842" s="1246" t="s">
        <v>1955</v>
      </c>
      <c r="I2842" s="1246" t="s">
        <v>1625</v>
      </c>
      <c r="J2842" s="1246">
        <v>1</v>
      </c>
      <c r="K2842" s="1070" t="s">
        <v>2629</v>
      </c>
    </row>
    <row r="2843" spans="1:11" ht="15.75">
      <c r="A2843" s="393">
        <v>44690</v>
      </c>
      <c r="B2843" s="653" t="s">
        <v>1952</v>
      </c>
      <c r="C2843" s="381" t="s">
        <v>4204</v>
      </c>
      <c r="D2843" s="381" t="s">
        <v>4205</v>
      </c>
      <c r="E2843" s="451">
        <v>2500000</v>
      </c>
      <c r="F2843" s="381" t="s">
        <v>1968</v>
      </c>
      <c r="G2843" s="381" t="s">
        <v>2593</v>
      </c>
      <c r="H2843" s="383" t="s">
        <v>1955</v>
      </c>
      <c r="I2843" s="383" t="s">
        <v>1625</v>
      </c>
      <c r="J2843" s="383">
        <v>1</v>
      </c>
      <c r="K2843" s="381" t="s">
        <v>989</v>
      </c>
    </row>
    <row r="2844" spans="1:11" ht="15.75">
      <c r="A2844" s="393" t="s">
        <v>4206</v>
      </c>
      <c r="B2844" s="653" t="s">
        <v>2182</v>
      </c>
      <c r="C2844" s="381" t="s">
        <v>4207</v>
      </c>
      <c r="D2844" s="381" t="s">
        <v>4208</v>
      </c>
      <c r="E2844" s="451">
        <v>1650000</v>
      </c>
      <c r="F2844" s="381" t="s">
        <v>1968</v>
      </c>
      <c r="G2844" s="381" t="s">
        <v>2593</v>
      </c>
      <c r="H2844" s="383" t="s">
        <v>1955</v>
      </c>
      <c r="I2844" s="383" t="s">
        <v>1644</v>
      </c>
      <c r="J2844" s="1246">
        <v>1</v>
      </c>
      <c r="K2844" s="381" t="s">
        <v>989</v>
      </c>
    </row>
    <row r="2845" spans="1:11" ht="15.75">
      <c r="A2845" s="393" t="s">
        <v>4144</v>
      </c>
      <c r="B2845" s="653" t="s">
        <v>2182</v>
      </c>
      <c r="C2845" s="381" t="s">
        <v>4209</v>
      </c>
      <c r="D2845" s="381" t="s">
        <v>3720</v>
      </c>
      <c r="E2845" s="451">
        <v>4200000</v>
      </c>
      <c r="F2845" s="381" t="s">
        <v>1968</v>
      </c>
      <c r="G2845" s="381" t="s">
        <v>30</v>
      </c>
      <c r="H2845" s="383" t="s">
        <v>1955</v>
      </c>
      <c r="I2845" s="383" t="s">
        <v>1644</v>
      </c>
      <c r="J2845" s="1246">
        <v>1</v>
      </c>
      <c r="K2845" s="381" t="s">
        <v>1171</v>
      </c>
    </row>
    <row r="2846" spans="1:11" ht="15.75">
      <c r="A2846" s="393"/>
      <c r="B2846" s="653"/>
      <c r="C2846" s="381"/>
      <c r="D2846" s="381"/>
      <c r="E2846" s="451"/>
      <c r="F2846" s="381"/>
      <c r="G2846" s="381"/>
      <c r="H2846" s="383"/>
      <c r="I2846" s="383"/>
      <c r="J2846" s="1246"/>
      <c r="K2846" s="381"/>
    </row>
    <row r="2847" spans="1:11" ht="15.75">
      <c r="A2847" s="1405"/>
      <c r="B2847" s="1406"/>
      <c r="C2847" s="506"/>
      <c r="D2847" s="506"/>
      <c r="E2847" s="1407"/>
      <c r="F2847" s="506"/>
      <c r="G2847" s="506"/>
      <c r="H2847" s="504"/>
      <c r="I2847" s="504"/>
      <c r="J2847" s="1408"/>
      <c r="K2847" s="506"/>
    </row>
    <row r="2849" spans="1:11" ht="26.25">
      <c r="A2849" s="1668" t="s">
        <v>4210</v>
      </c>
      <c r="B2849" s="1669"/>
      <c r="C2849" s="1669"/>
      <c r="D2849" s="1669"/>
      <c r="E2849" s="1669"/>
      <c r="F2849" s="1669"/>
      <c r="G2849" s="1669"/>
      <c r="H2849" s="1669"/>
      <c r="I2849" s="1669"/>
      <c r="J2849" s="1669"/>
      <c r="K2849" s="1670"/>
    </row>
    <row r="2850" spans="1:11" ht="30.75">
      <c r="A2850" s="375" t="s">
        <v>1941</v>
      </c>
      <c r="B2850" s="378" t="s">
        <v>1942</v>
      </c>
      <c r="C2850" s="378" t="s">
        <v>1943</v>
      </c>
      <c r="D2850" s="378" t="s">
        <v>1944</v>
      </c>
      <c r="E2850" s="452" t="s">
        <v>1945</v>
      </c>
      <c r="F2850" s="378" t="s">
        <v>1946</v>
      </c>
      <c r="G2850" s="378" t="s">
        <v>2590</v>
      </c>
      <c r="H2850" s="378" t="s">
        <v>1947</v>
      </c>
      <c r="I2850" s="378" t="s">
        <v>1948</v>
      </c>
      <c r="J2850" s="453" t="s">
        <v>1949</v>
      </c>
      <c r="K2850" s="378" t="s">
        <v>1950</v>
      </c>
    </row>
    <row r="2851" spans="1:11" ht="15.75">
      <c r="A2851" s="1068"/>
      <c r="B2851" s="1069"/>
      <c r="C2851" s="1070"/>
      <c r="D2851" s="1071"/>
      <c r="E2851" s="1072"/>
      <c r="F2851" s="1073"/>
      <c r="G2851" s="1073"/>
      <c r="H2851" s="1074"/>
      <c r="I2851" s="1074"/>
      <c r="J2851" s="1074"/>
      <c r="K2851" s="1073"/>
    </row>
    <row r="2852" spans="1:11" ht="15.75">
      <c r="A2852" s="1068"/>
      <c r="B2852" s="1069"/>
      <c r="C2852" s="1070"/>
      <c r="D2852" s="1071"/>
      <c r="E2852" s="1072"/>
      <c r="F2852" s="1073"/>
      <c r="G2852" s="1073"/>
      <c r="H2852" s="1074"/>
      <c r="I2852" s="1074"/>
      <c r="J2852" s="1074"/>
      <c r="K2852" s="1073"/>
    </row>
    <row r="2853" spans="1:11" ht="15.75">
      <c r="A2853" s="443">
        <v>44601</v>
      </c>
      <c r="B2853" s="653" t="s">
        <v>1952</v>
      </c>
      <c r="C2853" s="381" t="s">
        <v>474</v>
      </c>
      <c r="D2853" s="426" t="s">
        <v>2167</v>
      </c>
      <c r="E2853" s="462">
        <v>1480000</v>
      </c>
      <c r="F2853" s="385" t="s">
        <v>4211</v>
      </c>
      <c r="G2853" s="385" t="s">
        <v>30</v>
      </c>
      <c r="H2853" s="387" t="s">
        <v>1955</v>
      </c>
      <c r="I2853" s="387" t="s">
        <v>1625</v>
      </c>
      <c r="J2853" s="387">
        <v>1</v>
      </c>
      <c r="K2853" s="385" t="s">
        <v>856</v>
      </c>
    </row>
    <row r="2854" spans="1:11" ht="15.75">
      <c r="A2854" s="393">
        <v>44690</v>
      </c>
      <c r="B2854" s="653" t="s">
        <v>1952</v>
      </c>
      <c r="C2854" s="381" t="s">
        <v>4212</v>
      </c>
      <c r="D2854" s="381" t="s">
        <v>4205</v>
      </c>
      <c r="E2854" s="451">
        <v>2500000</v>
      </c>
      <c r="F2854" s="385" t="s">
        <v>1968</v>
      </c>
      <c r="G2854" s="385" t="s">
        <v>2593</v>
      </c>
      <c r="H2854" s="387" t="s">
        <v>1955</v>
      </c>
      <c r="I2854" s="387" t="s">
        <v>1625</v>
      </c>
      <c r="J2854" s="387">
        <v>1</v>
      </c>
      <c r="K2854" s="385" t="s">
        <v>1245</v>
      </c>
    </row>
    <row r="2855" spans="1:11" ht="15.75">
      <c r="A2855" s="443">
        <v>44782</v>
      </c>
      <c r="B2855" s="653" t="s">
        <v>1952</v>
      </c>
      <c r="C2855" s="385" t="s">
        <v>484</v>
      </c>
      <c r="D2855" s="426" t="s">
        <v>2326</v>
      </c>
      <c r="E2855" s="462">
        <v>1150000</v>
      </c>
      <c r="F2855" s="385" t="s">
        <v>4211</v>
      </c>
      <c r="G2855" s="385" t="s">
        <v>2593</v>
      </c>
      <c r="H2855" s="387" t="s">
        <v>1955</v>
      </c>
      <c r="I2855" s="387" t="s">
        <v>1625</v>
      </c>
      <c r="J2855" s="387">
        <v>1</v>
      </c>
      <c r="K2855" s="385" t="s">
        <v>856</v>
      </c>
    </row>
    <row r="2856" spans="1:11" ht="15.75">
      <c r="A2856" s="443">
        <v>44782</v>
      </c>
      <c r="B2856" s="653" t="s">
        <v>1952</v>
      </c>
      <c r="C2856" s="385" t="s">
        <v>489</v>
      </c>
      <c r="D2856" s="426" t="s">
        <v>2711</v>
      </c>
      <c r="E2856" s="462">
        <v>1700000</v>
      </c>
      <c r="F2856" s="385" t="s">
        <v>4211</v>
      </c>
      <c r="G2856" s="385" t="s">
        <v>2593</v>
      </c>
      <c r="H2856" s="387" t="s">
        <v>1955</v>
      </c>
      <c r="I2856" s="387" t="s">
        <v>1644</v>
      </c>
      <c r="J2856" s="387">
        <v>1</v>
      </c>
      <c r="K2856" s="385" t="s">
        <v>856</v>
      </c>
    </row>
    <row r="2857" spans="1:11" ht="15.75">
      <c r="A2857" s="443">
        <v>44843</v>
      </c>
      <c r="B2857" s="577" t="s">
        <v>1952</v>
      </c>
      <c r="C2857" s="385" t="s">
        <v>3142</v>
      </c>
      <c r="D2857" s="426" t="s">
        <v>75</v>
      </c>
      <c r="E2857" s="462">
        <v>1500000</v>
      </c>
      <c r="F2857" s="385" t="s">
        <v>4010</v>
      </c>
      <c r="G2857" s="385" t="s">
        <v>2593</v>
      </c>
      <c r="H2857" s="387" t="s">
        <v>1955</v>
      </c>
      <c r="I2857" s="387" t="s">
        <v>1644</v>
      </c>
      <c r="J2857" s="387">
        <v>1</v>
      </c>
      <c r="K2857" s="385" t="s">
        <v>856</v>
      </c>
    </row>
    <row r="2858" spans="1:11" ht="15.75">
      <c r="A2858" s="384">
        <v>44874</v>
      </c>
      <c r="B2858" s="577" t="s">
        <v>1952</v>
      </c>
      <c r="C2858" s="385" t="s">
        <v>4213</v>
      </c>
      <c r="D2858" s="385" t="s">
        <v>2711</v>
      </c>
      <c r="E2858" s="462">
        <v>1400000</v>
      </c>
      <c r="F2858" s="385" t="s">
        <v>1021</v>
      </c>
      <c r="G2858" s="385" t="s">
        <v>2593</v>
      </c>
      <c r="H2858" s="387" t="s">
        <v>1955</v>
      </c>
      <c r="I2858" s="387" t="s">
        <v>1644</v>
      </c>
      <c r="J2858" s="387">
        <v>1</v>
      </c>
      <c r="K2858" s="385" t="s">
        <v>856</v>
      </c>
    </row>
    <row r="2859" spans="1:11" ht="15.75">
      <c r="A2859" s="384" t="s">
        <v>4157</v>
      </c>
      <c r="B2859" s="577" t="s">
        <v>2182</v>
      </c>
      <c r="C2859" s="385" t="s">
        <v>2980</v>
      </c>
      <c r="D2859" s="385" t="s">
        <v>2661</v>
      </c>
      <c r="E2859" s="462">
        <v>1050000</v>
      </c>
      <c r="F2859" s="385" t="s">
        <v>4211</v>
      </c>
      <c r="G2859" s="385" t="s">
        <v>30</v>
      </c>
      <c r="H2859" s="387" t="s">
        <v>1955</v>
      </c>
      <c r="I2859" s="387" t="s">
        <v>1644</v>
      </c>
      <c r="J2859" s="387">
        <v>1</v>
      </c>
      <c r="K2859" s="385" t="s">
        <v>856</v>
      </c>
    </row>
    <row r="2860" spans="1:11" ht="15.75">
      <c r="A2860" s="384" t="s">
        <v>4142</v>
      </c>
      <c r="B2860" s="577" t="s">
        <v>2182</v>
      </c>
      <c r="C2860" s="385" t="s">
        <v>4214</v>
      </c>
      <c r="D2860" s="385" t="s">
        <v>2347</v>
      </c>
      <c r="E2860" s="462">
        <v>1550000</v>
      </c>
      <c r="F2860" s="385" t="s">
        <v>4211</v>
      </c>
      <c r="G2860" s="385" t="s">
        <v>30</v>
      </c>
      <c r="H2860" s="387" t="s">
        <v>1955</v>
      </c>
      <c r="I2860" s="387" t="s">
        <v>1644</v>
      </c>
      <c r="J2860" s="387">
        <v>1</v>
      </c>
      <c r="K2860" s="385" t="s">
        <v>856</v>
      </c>
    </row>
    <row r="2861" spans="1:11" ht="15.75">
      <c r="A2861" s="384" t="s">
        <v>4142</v>
      </c>
      <c r="B2861" s="577" t="s">
        <v>2182</v>
      </c>
      <c r="C2861" s="385" t="s">
        <v>4215</v>
      </c>
      <c r="D2861" s="385" t="s">
        <v>2528</v>
      </c>
      <c r="E2861" s="462">
        <v>3000000</v>
      </c>
      <c r="F2861" s="385" t="s">
        <v>4211</v>
      </c>
      <c r="G2861" s="385" t="s">
        <v>30</v>
      </c>
      <c r="H2861" s="387" t="s">
        <v>1955</v>
      </c>
      <c r="I2861" s="387" t="s">
        <v>1644</v>
      </c>
      <c r="J2861" s="387">
        <v>1</v>
      </c>
      <c r="K2861" s="385" t="s">
        <v>856</v>
      </c>
    </row>
    <row r="2862" spans="1:11" ht="15.75">
      <c r="A2862" s="384" t="s">
        <v>4132</v>
      </c>
      <c r="B2862" s="577" t="s">
        <v>1952</v>
      </c>
      <c r="C2862" s="385" t="s">
        <v>1427</v>
      </c>
      <c r="D2862" s="385" t="s">
        <v>2347</v>
      </c>
      <c r="E2862" s="462">
        <v>1500000</v>
      </c>
      <c r="F2862" s="385" t="s">
        <v>1968</v>
      </c>
      <c r="G2862" s="385" t="s">
        <v>30</v>
      </c>
      <c r="H2862" s="387" t="s">
        <v>1955</v>
      </c>
      <c r="I2862" s="1404" t="s">
        <v>1644</v>
      </c>
      <c r="J2862" s="387">
        <v>1</v>
      </c>
      <c r="K2862" s="426" t="s">
        <v>856</v>
      </c>
    </row>
    <row r="2863" spans="1:11" ht="15.75">
      <c r="A2863" s="384"/>
      <c r="B2863" s="577"/>
      <c r="C2863" s="385"/>
      <c r="D2863" s="385"/>
      <c r="E2863" s="462"/>
      <c r="F2863" s="385"/>
      <c r="G2863" s="385"/>
      <c r="H2863" s="387"/>
      <c r="I2863" s="1404"/>
      <c r="J2863" s="387"/>
      <c r="K2863" s="426"/>
    </row>
    <row r="2864" spans="1:11" ht="15.75">
      <c r="A2864" s="109"/>
      <c r="B2864" s="80"/>
      <c r="C2864" s="80"/>
      <c r="D2864" s="80"/>
      <c r="E2864" s="119"/>
      <c r="F2864" s="71"/>
      <c r="G2864" s="71"/>
      <c r="H2864" s="80"/>
      <c r="I2864" s="1354"/>
      <c r="J2864" s="1246">
        <f>SUM(J2853:J2861)</f>
        <v>9</v>
      </c>
      <c r="K2864" s="1355"/>
    </row>
    <row r="2867" spans="1:11">
      <c r="A2867" s="1665" t="s">
        <v>4216</v>
      </c>
      <c r="B2867" s="1665"/>
      <c r="C2867" s="1665"/>
      <c r="D2867" s="1665"/>
      <c r="E2867" s="1665"/>
      <c r="F2867" s="1665"/>
      <c r="G2867" s="1665"/>
      <c r="H2867" s="1665"/>
      <c r="I2867" s="1665"/>
      <c r="J2867" s="1665"/>
      <c r="K2867" s="1665"/>
    </row>
    <row r="2868" spans="1:11">
      <c r="A2868" s="1666"/>
      <c r="B2868" s="1666"/>
      <c r="C2868" s="1666"/>
      <c r="D2868" s="1666"/>
      <c r="E2868" s="1666"/>
      <c r="F2868" s="1666"/>
      <c r="G2868" s="1666"/>
      <c r="H2868" s="1666"/>
      <c r="I2868" s="1666"/>
      <c r="J2868" s="1666"/>
      <c r="K2868" s="1666"/>
    </row>
    <row r="2870" spans="1:11" ht="15.75">
      <c r="A2870" s="394"/>
      <c r="B2870" s="395"/>
      <c r="C2870" s="395"/>
      <c r="D2870" s="395"/>
      <c r="E2870" s="706"/>
      <c r="F2870" s="707"/>
      <c r="G2870" s="707"/>
      <c r="H2870" s="397"/>
      <c r="I2870" s="397"/>
      <c r="J2870" s="397"/>
      <c r="K2870" s="395"/>
    </row>
    <row r="2871" spans="1:11" ht="26.25">
      <c r="A2871" s="1667" t="s">
        <v>4217</v>
      </c>
      <c r="B2871" s="1667"/>
      <c r="C2871" s="1667"/>
      <c r="D2871" s="1667"/>
      <c r="E2871" s="1667"/>
      <c r="F2871" s="1667"/>
      <c r="G2871" s="1667"/>
      <c r="H2871" s="1667"/>
      <c r="I2871" s="1667"/>
      <c r="J2871" s="1667"/>
      <c r="K2871" s="1667"/>
    </row>
    <row r="2872" spans="1:11" ht="30.75">
      <c r="A2872" s="375" t="s">
        <v>1941</v>
      </c>
      <c r="B2872" s="378" t="s">
        <v>1942</v>
      </c>
      <c r="C2872" s="378" t="s">
        <v>1943</v>
      </c>
      <c r="D2872" s="378" t="s">
        <v>1944</v>
      </c>
      <c r="E2872" s="452" t="s">
        <v>1945</v>
      </c>
      <c r="F2872" s="378" t="s">
        <v>1946</v>
      </c>
      <c r="G2872" s="378" t="s">
        <v>2590</v>
      </c>
      <c r="H2872" s="378" t="s">
        <v>1947</v>
      </c>
      <c r="I2872" s="378" t="s">
        <v>1948</v>
      </c>
      <c r="J2872" s="453" t="s">
        <v>1949</v>
      </c>
      <c r="K2872" s="378" t="s">
        <v>1950</v>
      </c>
    </row>
    <row r="2873" spans="1:11" ht="15.75">
      <c r="A2873" s="611" t="s">
        <v>4218</v>
      </c>
      <c r="B2873" s="455" t="s">
        <v>2182</v>
      </c>
      <c r="C2873" s="578" t="s">
        <v>4219</v>
      </c>
      <c r="D2873" s="472" t="s">
        <v>2659</v>
      </c>
      <c r="E2873" s="475">
        <v>295000000</v>
      </c>
      <c r="F2873" s="472" t="s">
        <v>2292</v>
      </c>
      <c r="G2873" s="472" t="s">
        <v>2605</v>
      </c>
      <c r="H2873" s="473" t="s">
        <v>1955</v>
      </c>
      <c r="I2873" s="473" t="s">
        <v>1644</v>
      </c>
      <c r="J2873" s="473">
        <v>1</v>
      </c>
      <c r="K2873" s="472" t="s">
        <v>4220</v>
      </c>
    </row>
    <row r="2874" spans="1:11" ht="15.75">
      <c r="A2874" s="937" t="s">
        <v>4221</v>
      </c>
      <c r="B2874" s="472" t="s">
        <v>2182</v>
      </c>
      <c r="C2874" s="578" t="s">
        <v>1868</v>
      </c>
      <c r="D2874" s="472" t="s">
        <v>2659</v>
      </c>
      <c r="E2874" s="475"/>
      <c r="F2874" s="472" t="s">
        <v>2292</v>
      </c>
      <c r="G2874" s="472" t="s">
        <v>2593</v>
      </c>
      <c r="H2874" s="473" t="s">
        <v>1955</v>
      </c>
      <c r="I2874" s="473" t="s">
        <v>1644</v>
      </c>
      <c r="J2874" s="473">
        <v>1</v>
      </c>
      <c r="K2874" s="472" t="s">
        <v>2629</v>
      </c>
    </row>
    <row r="2875" spans="1:11" ht="15.75">
      <c r="A2875" s="937" t="s">
        <v>4221</v>
      </c>
      <c r="B2875" s="472" t="s">
        <v>2182</v>
      </c>
      <c r="C2875" s="578" t="s">
        <v>4222</v>
      </c>
      <c r="D2875" s="472" t="s">
        <v>2661</v>
      </c>
      <c r="E2875" s="475"/>
      <c r="F2875" s="472" t="s">
        <v>2461</v>
      </c>
      <c r="G2875" s="472" t="s">
        <v>2593</v>
      </c>
      <c r="H2875" s="473" t="s">
        <v>1955</v>
      </c>
      <c r="I2875" s="473" t="s">
        <v>1644</v>
      </c>
      <c r="J2875" s="473">
        <v>1</v>
      </c>
      <c r="K2875" s="472" t="s">
        <v>2629</v>
      </c>
    </row>
    <row r="2876" spans="1:11" ht="15.75">
      <c r="A2876" s="744" t="s">
        <v>4221</v>
      </c>
      <c r="B2876" s="653" t="s">
        <v>2182</v>
      </c>
      <c r="C2876" s="426" t="s">
        <v>1868</v>
      </c>
      <c r="D2876" s="385" t="s">
        <v>2659</v>
      </c>
      <c r="E2876" s="462">
        <v>1650000</v>
      </c>
      <c r="F2876" s="385" t="s">
        <v>2292</v>
      </c>
      <c r="G2876" s="385" t="s">
        <v>30</v>
      </c>
      <c r="H2876" s="387" t="s">
        <v>1955</v>
      </c>
      <c r="I2876" s="387" t="s">
        <v>1644</v>
      </c>
      <c r="J2876" s="387">
        <v>1</v>
      </c>
      <c r="K2876" s="411" t="s">
        <v>1171</v>
      </c>
    </row>
    <row r="2877" spans="1:11" ht="15.75">
      <c r="A2877" s="393">
        <v>44630</v>
      </c>
      <c r="B2877" s="406" t="s">
        <v>2182</v>
      </c>
      <c r="C2877" s="381" t="s">
        <v>4106</v>
      </c>
      <c r="D2877" s="381" t="s">
        <v>2253</v>
      </c>
      <c r="E2877" s="451">
        <v>900000</v>
      </c>
      <c r="F2877" s="381" t="s">
        <v>1968</v>
      </c>
      <c r="G2877" s="381" t="s">
        <v>30</v>
      </c>
      <c r="H2877" s="383" t="s">
        <v>1955</v>
      </c>
      <c r="I2877" s="383" t="s">
        <v>1644</v>
      </c>
      <c r="J2877" s="383">
        <v>1</v>
      </c>
      <c r="K2877" s="381" t="s">
        <v>1245</v>
      </c>
    </row>
    <row r="2878" spans="1:11" ht="15.75">
      <c r="A2878" s="579">
        <v>44691</v>
      </c>
      <c r="B2878" s="381" t="s">
        <v>2182</v>
      </c>
      <c r="C2878" s="381" t="s">
        <v>1328</v>
      </c>
      <c r="D2878" s="381" t="s">
        <v>2659</v>
      </c>
      <c r="E2878" s="451">
        <v>1700000</v>
      </c>
      <c r="F2878" s="381" t="s">
        <v>2292</v>
      </c>
      <c r="G2878" s="381" t="s">
        <v>2593</v>
      </c>
      <c r="H2878" s="383" t="s">
        <v>1955</v>
      </c>
      <c r="I2878" s="383" t="s">
        <v>1644</v>
      </c>
      <c r="J2878" s="383">
        <v>1</v>
      </c>
      <c r="K2878" s="381" t="s">
        <v>1245</v>
      </c>
    </row>
    <row r="2879" spans="1:11" ht="15.75">
      <c r="A2879" s="579">
        <v>44691</v>
      </c>
      <c r="B2879" s="381" t="s">
        <v>2182</v>
      </c>
      <c r="C2879" s="381" t="s">
        <v>1395</v>
      </c>
      <c r="D2879" s="381" t="s">
        <v>2669</v>
      </c>
      <c r="E2879" s="451">
        <v>1900000</v>
      </c>
      <c r="F2879" s="381" t="s">
        <v>2292</v>
      </c>
      <c r="G2879" s="381" t="s">
        <v>2605</v>
      </c>
      <c r="H2879" s="383" t="s">
        <v>1955</v>
      </c>
      <c r="I2879" s="383" t="s">
        <v>1644</v>
      </c>
      <c r="J2879" s="383">
        <v>1</v>
      </c>
      <c r="K2879" s="381" t="s">
        <v>989</v>
      </c>
    </row>
    <row r="2880" spans="1:11" ht="15.75">
      <c r="A2880" s="579">
        <v>44722</v>
      </c>
      <c r="B2880" s="381" t="s">
        <v>2182</v>
      </c>
      <c r="C2880" s="381" t="s">
        <v>4223</v>
      </c>
      <c r="D2880" s="381" t="s">
        <v>2253</v>
      </c>
      <c r="E2880" s="451">
        <v>800000</v>
      </c>
      <c r="F2880" s="381" t="s">
        <v>2292</v>
      </c>
      <c r="G2880" s="381" t="s">
        <v>30</v>
      </c>
      <c r="H2880" s="383" t="s">
        <v>1955</v>
      </c>
      <c r="I2880" s="383" t="s">
        <v>1644</v>
      </c>
      <c r="J2880" s="383">
        <v>1</v>
      </c>
      <c r="K2880" s="381" t="s">
        <v>1245</v>
      </c>
    </row>
    <row r="2881" spans="1:11" ht="15.75">
      <c r="A2881" s="579">
        <v>44722</v>
      </c>
      <c r="B2881" s="381" t="s">
        <v>2182</v>
      </c>
      <c r="C2881" s="381" t="s">
        <v>1326</v>
      </c>
      <c r="D2881" s="381" t="s">
        <v>2659</v>
      </c>
      <c r="E2881" s="451">
        <v>1450000</v>
      </c>
      <c r="F2881" s="381" t="s">
        <v>2292</v>
      </c>
      <c r="G2881" s="381" t="s">
        <v>30</v>
      </c>
      <c r="H2881" s="383" t="s">
        <v>1955</v>
      </c>
      <c r="I2881" s="383" t="s">
        <v>1644</v>
      </c>
      <c r="J2881" s="383">
        <v>1</v>
      </c>
      <c r="K2881" s="381" t="s">
        <v>1171</v>
      </c>
    </row>
    <row r="2882" spans="1:11" ht="15.75">
      <c r="A2882" s="579">
        <v>44752</v>
      </c>
      <c r="B2882" s="381" t="s">
        <v>2182</v>
      </c>
      <c r="C2882" s="381" t="s">
        <v>1329</v>
      </c>
      <c r="D2882" s="381" t="s">
        <v>2573</v>
      </c>
      <c r="E2882" s="451">
        <v>1700000</v>
      </c>
      <c r="F2882" s="381" t="s">
        <v>2292</v>
      </c>
      <c r="G2882" s="381" t="s">
        <v>2605</v>
      </c>
      <c r="H2882" s="383" t="s">
        <v>1955</v>
      </c>
      <c r="I2882" s="383" t="s">
        <v>1644</v>
      </c>
      <c r="J2882" s="383">
        <v>1</v>
      </c>
      <c r="K2882" s="381" t="s">
        <v>989</v>
      </c>
    </row>
    <row r="2883" spans="1:11" ht="15.75">
      <c r="A2883" s="579">
        <v>44844</v>
      </c>
      <c r="B2883" s="381" t="s">
        <v>2182</v>
      </c>
      <c r="C2883" s="381" t="s">
        <v>1327</v>
      </c>
      <c r="D2883" s="381" t="s">
        <v>2659</v>
      </c>
      <c r="E2883" s="451">
        <v>1800000</v>
      </c>
      <c r="F2883" s="381" t="s">
        <v>2292</v>
      </c>
      <c r="G2883" s="381" t="s">
        <v>30</v>
      </c>
      <c r="H2883" s="383" t="s">
        <v>1955</v>
      </c>
      <c r="I2883" s="383" t="s">
        <v>1644</v>
      </c>
      <c r="J2883" s="383">
        <v>1</v>
      </c>
      <c r="K2883" s="381" t="s">
        <v>3681</v>
      </c>
    </row>
    <row r="2884" spans="1:11" ht="15.75">
      <c r="A2884" s="579">
        <v>44905</v>
      </c>
      <c r="B2884" s="381" t="s">
        <v>2182</v>
      </c>
      <c r="C2884" s="381" t="s">
        <v>4224</v>
      </c>
      <c r="D2884" s="381" t="s">
        <v>2661</v>
      </c>
      <c r="E2884" s="451">
        <v>900000</v>
      </c>
      <c r="F2884" s="381" t="s">
        <v>2292</v>
      </c>
      <c r="G2884" s="381" t="s">
        <v>2605</v>
      </c>
      <c r="H2884" s="383" t="s">
        <v>1955</v>
      </c>
      <c r="I2884" s="383" t="s">
        <v>1644</v>
      </c>
      <c r="J2884" s="383">
        <v>1</v>
      </c>
      <c r="K2884" s="381" t="s">
        <v>3681</v>
      </c>
    </row>
    <row r="2885" spans="1:11" ht="15.75">
      <c r="A2885" s="579">
        <v>44905</v>
      </c>
      <c r="B2885" s="381" t="s">
        <v>2182</v>
      </c>
      <c r="C2885" s="381" t="s">
        <v>4225</v>
      </c>
      <c r="D2885" s="381" t="s">
        <v>3867</v>
      </c>
      <c r="E2885" s="451">
        <v>1200000</v>
      </c>
      <c r="F2885" s="381" t="s">
        <v>1968</v>
      </c>
      <c r="G2885" s="381" t="s">
        <v>2593</v>
      </c>
      <c r="H2885" s="383" t="s">
        <v>1955</v>
      </c>
      <c r="I2885" s="383" t="s">
        <v>1644</v>
      </c>
      <c r="J2885" s="383">
        <v>1</v>
      </c>
      <c r="K2885" s="381" t="s">
        <v>1171</v>
      </c>
    </row>
    <row r="2886" spans="1:11" ht="15.75">
      <c r="A2886" s="579">
        <v>44905</v>
      </c>
      <c r="B2886" s="381" t="s">
        <v>2182</v>
      </c>
      <c r="C2886" s="381" t="s">
        <v>1322</v>
      </c>
      <c r="D2886" s="381" t="s">
        <v>2669</v>
      </c>
      <c r="E2886" s="451">
        <v>1650000</v>
      </c>
      <c r="F2886" s="381" t="s">
        <v>2292</v>
      </c>
      <c r="G2886" s="381" t="s">
        <v>2593</v>
      </c>
      <c r="H2886" s="383" t="s">
        <v>1955</v>
      </c>
      <c r="I2886" s="383" t="s">
        <v>1644</v>
      </c>
      <c r="J2886" s="383">
        <v>1</v>
      </c>
      <c r="K2886" s="381" t="s">
        <v>3681</v>
      </c>
    </row>
    <row r="2887" spans="1:11" ht="15.75">
      <c r="A2887" s="579" t="s">
        <v>4226</v>
      </c>
      <c r="B2887" s="381" t="s">
        <v>2182</v>
      </c>
      <c r="C2887" s="381" t="s">
        <v>4227</v>
      </c>
      <c r="D2887" s="381" t="s">
        <v>2661</v>
      </c>
      <c r="E2887" s="451">
        <v>1100000</v>
      </c>
      <c r="F2887" s="381" t="s">
        <v>2292</v>
      </c>
      <c r="G2887" s="381" t="s">
        <v>30</v>
      </c>
      <c r="H2887" s="383" t="s">
        <v>1955</v>
      </c>
      <c r="I2887" s="383" t="s">
        <v>1644</v>
      </c>
      <c r="J2887" s="383">
        <v>1</v>
      </c>
      <c r="K2887" s="381" t="s">
        <v>3681</v>
      </c>
    </row>
    <row r="2888" spans="1:11" ht="15.75">
      <c r="A2888" s="579" t="s">
        <v>4228</v>
      </c>
      <c r="B2888" s="381" t="s">
        <v>2182</v>
      </c>
      <c r="C2888" s="381" t="s">
        <v>4229</v>
      </c>
      <c r="D2888" s="381" t="s">
        <v>2661</v>
      </c>
      <c r="E2888" s="451">
        <v>1100000</v>
      </c>
      <c r="F2888" s="381" t="s">
        <v>1968</v>
      </c>
      <c r="G2888" s="381" t="s">
        <v>30</v>
      </c>
      <c r="H2888" s="383" t="s">
        <v>1955</v>
      </c>
      <c r="I2888" s="383" t="s">
        <v>1644</v>
      </c>
      <c r="J2888" s="383">
        <v>1</v>
      </c>
      <c r="K2888" s="381" t="s">
        <v>1171</v>
      </c>
    </row>
    <row r="2889" spans="1:11" ht="15.75">
      <c r="A2889" s="579" t="s">
        <v>4230</v>
      </c>
      <c r="B2889" s="381" t="s">
        <v>2182</v>
      </c>
      <c r="C2889" s="381" t="s">
        <v>1391</v>
      </c>
      <c r="D2889" s="381" t="s">
        <v>4231</v>
      </c>
      <c r="E2889" s="451">
        <v>1550000</v>
      </c>
      <c r="F2889" s="381" t="s">
        <v>2292</v>
      </c>
      <c r="G2889" s="381" t="s">
        <v>30</v>
      </c>
      <c r="H2889" s="383" t="s">
        <v>1955</v>
      </c>
      <c r="I2889" s="383" t="s">
        <v>1644</v>
      </c>
      <c r="J2889" s="383">
        <v>1</v>
      </c>
      <c r="K2889" s="381" t="s">
        <v>1245</v>
      </c>
    </row>
    <row r="2890" spans="1:11" ht="15.75">
      <c r="A2890" s="579" t="s">
        <v>4230</v>
      </c>
      <c r="B2890" s="381" t="s">
        <v>2182</v>
      </c>
      <c r="C2890" s="381" t="s">
        <v>4232</v>
      </c>
      <c r="D2890" s="381" t="s">
        <v>4231</v>
      </c>
      <c r="E2890" s="451">
        <v>1600000</v>
      </c>
      <c r="F2890" s="381" t="s">
        <v>2292</v>
      </c>
      <c r="G2890" s="381" t="s">
        <v>2605</v>
      </c>
      <c r="H2890" s="383" t="s">
        <v>1955</v>
      </c>
      <c r="I2890" s="383" t="s">
        <v>1644</v>
      </c>
      <c r="J2890" s="383">
        <v>1</v>
      </c>
      <c r="K2890" s="381" t="s">
        <v>1245</v>
      </c>
    </row>
    <row r="2891" spans="1:11" ht="15.75">
      <c r="A2891" s="579" t="s">
        <v>4233</v>
      </c>
      <c r="B2891" s="381" t="s">
        <v>2182</v>
      </c>
      <c r="C2891" s="381" t="s">
        <v>4234</v>
      </c>
      <c r="D2891" s="381" t="s">
        <v>4231</v>
      </c>
      <c r="E2891" s="451">
        <v>1450000</v>
      </c>
      <c r="F2891" s="381" t="s">
        <v>2292</v>
      </c>
      <c r="G2891" s="381" t="s">
        <v>2593</v>
      </c>
      <c r="H2891" s="383" t="s">
        <v>1955</v>
      </c>
      <c r="I2891" s="383" t="s">
        <v>1644</v>
      </c>
      <c r="J2891" s="383">
        <v>1</v>
      </c>
      <c r="K2891" s="381" t="s">
        <v>1171</v>
      </c>
    </row>
    <row r="2892" spans="1:11" ht="15.75">
      <c r="A2892" s="579" t="s">
        <v>4235</v>
      </c>
      <c r="B2892" s="381" t="s">
        <v>2182</v>
      </c>
      <c r="C2892" s="381" t="s">
        <v>1386</v>
      </c>
      <c r="D2892" s="381" t="s">
        <v>4231</v>
      </c>
      <c r="E2892" s="451">
        <v>1650000</v>
      </c>
      <c r="F2892" s="381" t="s">
        <v>2292</v>
      </c>
      <c r="G2892" s="381" t="s">
        <v>2593</v>
      </c>
      <c r="H2892" s="383" t="s">
        <v>1955</v>
      </c>
      <c r="I2892" s="383" t="s">
        <v>1644</v>
      </c>
      <c r="J2892" s="383">
        <v>1</v>
      </c>
      <c r="K2892" s="381" t="s">
        <v>3681</v>
      </c>
    </row>
    <row r="2893" spans="1:11" ht="15.75">
      <c r="A2893" s="579" t="s">
        <v>4236</v>
      </c>
      <c r="B2893" s="381" t="s">
        <v>2182</v>
      </c>
      <c r="C2893" s="381" t="s">
        <v>4237</v>
      </c>
      <c r="D2893" s="381" t="s">
        <v>4231</v>
      </c>
      <c r="E2893" s="451">
        <v>1500000</v>
      </c>
      <c r="F2893" s="381" t="s">
        <v>2292</v>
      </c>
      <c r="G2893" s="381" t="s">
        <v>2593</v>
      </c>
      <c r="H2893" s="383" t="s">
        <v>1955</v>
      </c>
      <c r="I2893" s="383" t="s">
        <v>1644</v>
      </c>
      <c r="J2893" s="383">
        <v>1</v>
      </c>
      <c r="K2893" s="381" t="s">
        <v>1171</v>
      </c>
    </row>
    <row r="2894" spans="1:11" ht="15.75">
      <c r="A2894" s="456"/>
      <c r="B2894" s="457"/>
      <c r="C2894" s="457"/>
      <c r="D2894" s="457"/>
      <c r="E2894" s="476"/>
      <c r="F2894" s="457"/>
      <c r="G2894" s="457"/>
      <c r="H2894" s="153"/>
      <c r="I2894" s="153"/>
      <c r="J2894" s="493">
        <f>SUM(J2873:J2893)</f>
        <v>21</v>
      </c>
      <c r="K2894" s="457"/>
    </row>
    <row r="2895" spans="1:11" ht="15.75">
      <c r="A2895" s="394"/>
      <c r="B2895" s="395"/>
      <c r="C2895" s="395"/>
      <c r="D2895" s="395"/>
      <c r="E2895" s="396"/>
      <c r="F2895" s="397"/>
      <c r="G2895" s="397"/>
      <c r="H2895" s="395"/>
      <c r="I2895" s="395"/>
      <c r="J2895" s="395"/>
      <c r="K2895" s="395"/>
    </row>
    <row r="2896" spans="1:11" ht="15.75">
      <c r="A2896" s="394"/>
      <c r="B2896" s="395"/>
      <c r="C2896" s="395"/>
      <c r="D2896" s="395"/>
      <c r="E2896" s="396"/>
      <c r="F2896" s="397"/>
      <c r="G2896" s="397"/>
      <c r="H2896" s="395"/>
      <c r="I2896" s="395"/>
      <c r="J2896" s="395"/>
      <c r="K2896" s="395"/>
    </row>
    <row r="2898" spans="1:11" ht="26.25">
      <c r="A2898" s="1668" t="s">
        <v>4238</v>
      </c>
      <c r="B2898" s="1669"/>
      <c r="C2898" s="1669"/>
      <c r="D2898" s="1669"/>
      <c r="E2898" s="1669"/>
      <c r="F2898" s="1669"/>
      <c r="G2898" s="1669"/>
      <c r="H2898" s="1669"/>
      <c r="I2898" s="1669"/>
      <c r="J2898" s="1669"/>
      <c r="K2898" s="1670"/>
    </row>
    <row r="2899" spans="1:11" ht="30.75">
      <c r="A2899" s="378" t="s">
        <v>1941</v>
      </c>
      <c r="B2899" s="378" t="s">
        <v>1942</v>
      </c>
      <c r="C2899" s="378" t="s">
        <v>1943</v>
      </c>
      <c r="D2899" s="378" t="s">
        <v>1944</v>
      </c>
      <c r="E2899" s="452" t="s">
        <v>1945</v>
      </c>
      <c r="F2899" s="378" t="s">
        <v>1946</v>
      </c>
      <c r="G2899" s="378" t="s">
        <v>2590</v>
      </c>
      <c r="H2899" s="378" t="s">
        <v>1947</v>
      </c>
      <c r="I2899" s="378" t="s">
        <v>1948</v>
      </c>
      <c r="J2899" s="453" t="s">
        <v>1949</v>
      </c>
      <c r="K2899" s="378" t="s">
        <v>1950</v>
      </c>
    </row>
    <row r="2900" spans="1:11" ht="15.75">
      <c r="A2900" s="922"/>
      <c r="B2900" s="618"/>
      <c r="C2900" s="472"/>
      <c r="D2900" s="472"/>
      <c r="E2900" s="475"/>
      <c r="F2900" s="472"/>
      <c r="G2900" s="472"/>
      <c r="H2900" s="473"/>
      <c r="I2900" s="473"/>
      <c r="J2900" s="473"/>
      <c r="K2900" s="472"/>
    </row>
    <row r="2901" spans="1:11" ht="15.75">
      <c r="A2901" s="922"/>
      <c r="B2901" s="618"/>
      <c r="C2901" s="472"/>
      <c r="D2901" s="472"/>
      <c r="E2901" s="475"/>
      <c r="F2901" s="472"/>
      <c r="G2901" s="472"/>
      <c r="H2901" s="473"/>
      <c r="I2901" s="473"/>
      <c r="J2901" s="473"/>
      <c r="K2901" s="472"/>
    </row>
    <row r="2902" spans="1:11" ht="15.75">
      <c r="A2902" s="611"/>
      <c r="B2902" s="472"/>
      <c r="C2902" s="472"/>
      <c r="D2902" s="472"/>
      <c r="E2902" s="475"/>
      <c r="F2902" s="472"/>
      <c r="G2902" s="472"/>
      <c r="H2902" s="473"/>
      <c r="I2902" s="473"/>
      <c r="J2902" s="473"/>
      <c r="K2902" s="472"/>
    </row>
    <row r="2903" spans="1:11" ht="15.75">
      <c r="A2903" s="384" t="s">
        <v>4239</v>
      </c>
      <c r="B2903" s="577" t="s">
        <v>1966</v>
      </c>
      <c r="C2903" s="426" t="s">
        <v>4240</v>
      </c>
      <c r="D2903" s="385" t="s">
        <v>2845</v>
      </c>
      <c r="E2903" s="462">
        <v>3500000</v>
      </c>
      <c r="F2903" s="385" t="s">
        <v>1968</v>
      </c>
      <c r="G2903" s="385" t="s">
        <v>2593</v>
      </c>
      <c r="H2903" s="387" t="s">
        <v>1955</v>
      </c>
      <c r="I2903" s="387" t="s">
        <v>1644</v>
      </c>
      <c r="J2903" s="387">
        <v>1</v>
      </c>
      <c r="K2903" s="385" t="s">
        <v>3681</v>
      </c>
    </row>
    <row r="2904" spans="1:11" ht="15.75">
      <c r="A2904" s="384" t="s">
        <v>4239</v>
      </c>
      <c r="B2904" s="577" t="s">
        <v>2182</v>
      </c>
      <c r="C2904" s="426" t="s">
        <v>4241</v>
      </c>
      <c r="D2904" s="385" t="s">
        <v>2326</v>
      </c>
      <c r="E2904" s="462">
        <v>1150000</v>
      </c>
      <c r="F2904" s="385" t="s">
        <v>1968</v>
      </c>
      <c r="G2904" s="385" t="s">
        <v>30</v>
      </c>
      <c r="H2904" s="387" t="s">
        <v>1955</v>
      </c>
      <c r="I2904" s="387" t="s">
        <v>1644</v>
      </c>
      <c r="J2904" s="387">
        <v>1</v>
      </c>
      <c r="K2904" s="385" t="s">
        <v>1171</v>
      </c>
    </row>
    <row r="2905" spans="1:11" ht="15.75">
      <c r="A2905" s="384" t="s">
        <v>4221</v>
      </c>
      <c r="B2905" s="577" t="s">
        <v>2182</v>
      </c>
      <c r="C2905" s="426" t="s">
        <v>1882</v>
      </c>
      <c r="D2905" s="385" t="s">
        <v>2711</v>
      </c>
      <c r="E2905" s="462">
        <v>1200000</v>
      </c>
      <c r="F2905" s="385" t="s">
        <v>2292</v>
      </c>
      <c r="G2905" s="385" t="s">
        <v>2593</v>
      </c>
      <c r="H2905" s="387" t="s">
        <v>1955</v>
      </c>
      <c r="I2905" s="387" t="s">
        <v>1644</v>
      </c>
      <c r="J2905" s="387">
        <v>1</v>
      </c>
      <c r="K2905" s="385" t="s">
        <v>1171</v>
      </c>
    </row>
    <row r="2906" spans="1:11" ht="15.75">
      <c r="A2906" s="412" t="s">
        <v>4221</v>
      </c>
      <c r="B2906" s="381" t="s">
        <v>2182</v>
      </c>
      <c r="C2906" s="426" t="s">
        <v>4242</v>
      </c>
      <c r="D2906" s="385" t="s">
        <v>2253</v>
      </c>
      <c r="E2906" s="462">
        <v>1100000</v>
      </c>
      <c r="F2906" s="385" t="s">
        <v>1968</v>
      </c>
      <c r="G2906" s="385" t="s">
        <v>2605</v>
      </c>
      <c r="H2906" s="387" t="s">
        <v>1955</v>
      </c>
      <c r="I2906" s="387" t="s">
        <v>1644</v>
      </c>
      <c r="J2906" s="387">
        <v>1</v>
      </c>
      <c r="K2906" s="385" t="s">
        <v>3681</v>
      </c>
    </row>
    <row r="2907" spans="1:11" ht="15.75">
      <c r="A2907" s="412" t="s">
        <v>4221</v>
      </c>
      <c r="B2907" s="575" t="s">
        <v>2182</v>
      </c>
      <c r="C2907" s="381" t="s">
        <v>4243</v>
      </c>
      <c r="D2907" s="426" t="s">
        <v>2326</v>
      </c>
      <c r="E2907" s="462">
        <v>1100000</v>
      </c>
      <c r="F2907" s="385" t="s">
        <v>2292</v>
      </c>
      <c r="G2907" s="385" t="s">
        <v>2593</v>
      </c>
      <c r="H2907" s="387" t="s">
        <v>1955</v>
      </c>
      <c r="I2907" s="387" t="s">
        <v>1644</v>
      </c>
      <c r="J2907" s="387">
        <v>1</v>
      </c>
      <c r="K2907" s="385" t="s">
        <v>3681</v>
      </c>
    </row>
    <row r="2908" spans="1:11" ht="15.75">
      <c r="A2908" s="412" t="s">
        <v>4221</v>
      </c>
      <c r="B2908" s="575" t="s">
        <v>2182</v>
      </c>
      <c r="C2908" s="381" t="s">
        <v>4244</v>
      </c>
      <c r="D2908" s="426" t="s">
        <v>2326</v>
      </c>
      <c r="E2908" s="462">
        <v>1000000</v>
      </c>
      <c r="F2908" s="385" t="s">
        <v>2292</v>
      </c>
      <c r="G2908" s="385" t="s">
        <v>2593</v>
      </c>
      <c r="H2908" s="387" t="s">
        <v>1955</v>
      </c>
      <c r="I2908" s="387" t="s">
        <v>1644</v>
      </c>
      <c r="J2908" s="387">
        <v>1</v>
      </c>
      <c r="K2908" s="385" t="s">
        <v>1171</v>
      </c>
    </row>
    <row r="2909" spans="1:11" ht="15.75">
      <c r="A2909" s="412" t="s">
        <v>4221</v>
      </c>
      <c r="B2909" s="575" t="s">
        <v>2182</v>
      </c>
      <c r="C2909" s="381" t="s">
        <v>4245</v>
      </c>
      <c r="D2909" s="426" t="s">
        <v>2089</v>
      </c>
      <c r="E2909" s="462">
        <v>1000000</v>
      </c>
      <c r="F2909" s="385" t="s">
        <v>1968</v>
      </c>
      <c r="G2909" s="385" t="s">
        <v>2593</v>
      </c>
      <c r="H2909" s="387" t="s">
        <v>1955</v>
      </c>
      <c r="I2909" s="387" t="s">
        <v>1644</v>
      </c>
      <c r="J2909" s="387">
        <v>1</v>
      </c>
      <c r="K2909" s="385" t="s">
        <v>1245</v>
      </c>
    </row>
    <row r="2910" spans="1:11" ht="15.75">
      <c r="A2910" s="928" t="s">
        <v>4246</v>
      </c>
      <c r="B2910" s="1442" t="s">
        <v>1966</v>
      </c>
      <c r="C2910" s="381" t="s">
        <v>4247</v>
      </c>
      <c r="D2910" s="743" t="s">
        <v>2326</v>
      </c>
      <c r="E2910" s="644">
        <v>5000000</v>
      </c>
      <c r="F2910" s="633" t="s">
        <v>1968</v>
      </c>
      <c r="G2910" s="633" t="s">
        <v>2593</v>
      </c>
      <c r="H2910" s="635" t="s">
        <v>1955</v>
      </c>
      <c r="I2910" s="635" t="s">
        <v>1644</v>
      </c>
      <c r="J2910" s="387">
        <v>1</v>
      </c>
      <c r="K2910" s="385" t="s">
        <v>1245</v>
      </c>
    </row>
    <row r="2911" spans="1:11" ht="15.75">
      <c r="A2911" s="393" t="s">
        <v>4246</v>
      </c>
      <c r="B2911" s="1400" t="s">
        <v>1966</v>
      </c>
      <c r="C2911" s="381" t="s">
        <v>4248</v>
      </c>
      <c r="D2911" s="426" t="s">
        <v>2326</v>
      </c>
      <c r="E2911" s="462">
        <v>3000000</v>
      </c>
      <c r="F2911" s="385" t="s">
        <v>1968</v>
      </c>
      <c r="G2911" s="385" t="s">
        <v>2593</v>
      </c>
      <c r="H2911" s="387" t="s">
        <v>1955</v>
      </c>
      <c r="I2911" s="387" t="s">
        <v>1644</v>
      </c>
      <c r="J2911" s="387">
        <v>1</v>
      </c>
      <c r="K2911" s="385" t="s">
        <v>1245</v>
      </c>
    </row>
    <row r="2912" spans="1:11" ht="15.75">
      <c r="A2912" s="481">
        <v>44691</v>
      </c>
      <c r="B2912" s="653" t="s">
        <v>2182</v>
      </c>
      <c r="C2912" s="381" t="s">
        <v>1338</v>
      </c>
      <c r="D2912" s="426" t="s">
        <v>2133</v>
      </c>
      <c r="E2912" s="462">
        <v>1300000</v>
      </c>
      <c r="F2912" s="385" t="s">
        <v>1968</v>
      </c>
      <c r="G2912" s="385" t="s">
        <v>2593</v>
      </c>
      <c r="H2912" s="387" t="s">
        <v>1955</v>
      </c>
      <c r="I2912" s="387" t="s">
        <v>1644</v>
      </c>
      <c r="J2912" s="387">
        <v>1</v>
      </c>
      <c r="K2912" s="385" t="s">
        <v>1171</v>
      </c>
    </row>
    <row r="2913" spans="1:11" ht="15.75">
      <c r="A2913" s="924">
        <v>44722</v>
      </c>
      <c r="B2913" s="426" t="s">
        <v>2182</v>
      </c>
      <c r="C2913" s="385" t="s">
        <v>4249</v>
      </c>
      <c r="D2913" s="385" t="s">
        <v>75</v>
      </c>
      <c r="E2913" s="462">
        <v>1500000</v>
      </c>
      <c r="F2913" s="633" t="s">
        <v>2292</v>
      </c>
      <c r="G2913" s="633" t="s">
        <v>2605</v>
      </c>
      <c r="H2913" s="387" t="s">
        <v>1955</v>
      </c>
      <c r="I2913" s="387" t="s">
        <v>1644</v>
      </c>
      <c r="J2913" s="387">
        <v>1</v>
      </c>
      <c r="K2913" s="385" t="s">
        <v>1245</v>
      </c>
    </row>
    <row r="2914" spans="1:11" ht="15.75">
      <c r="A2914" s="412">
        <v>44722</v>
      </c>
      <c r="B2914" s="381" t="s">
        <v>2182</v>
      </c>
      <c r="C2914" s="381" t="s">
        <v>4250</v>
      </c>
      <c r="D2914" s="381" t="s">
        <v>75</v>
      </c>
      <c r="E2914" s="451">
        <v>1400000</v>
      </c>
      <c r="F2914" s="381" t="s">
        <v>2292</v>
      </c>
      <c r="G2914" s="381" t="s">
        <v>2593</v>
      </c>
      <c r="H2914" s="383" t="s">
        <v>1955</v>
      </c>
      <c r="I2914" s="383" t="s">
        <v>1644</v>
      </c>
      <c r="J2914" s="383">
        <v>1</v>
      </c>
      <c r="K2914" s="381" t="s">
        <v>3681</v>
      </c>
    </row>
    <row r="2915" spans="1:11" ht="15.75">
      <c r="A2915" s="412">
        <v>44844</v>
      </c>
      <c r="B2915" s="381" t="s">
        <v>1952</v>
      </c>
      <c r="C2915" s="381" t="s">
        <v>1342</v>
      </c>
      <c r="D2915" s="381" t="s">
        <v>2326</v>
      </c>
      <c r="E2915" s="451">
        <v>1200000</v>
      </c>
      <c r="F2915" s="381" t="s">
        <v>2292</v>
      </c>
      <c r="G2915" s="381" t="s">
        <v>2605</v>
      </c>
      <c r="H2915" s="383" t="s">
        <v>1955</v>
      </c>
      <c r="I2915" s="383" t="s">
        <v>1644</v>
      </c>
      <c r="J2915" s="383">
        <v>1</v>
      </c>
      <c r="K2915" s="381" t="s">
        <v>1245</v>
      </c>
    </row>
    <row r="2916" spans="1:11" ht="15.75">
      <c r="A2916" s="928">
        <v>44844</v>
      </c>
      <c r="B2916" s="420" t="s">
        <v>2182</v>
      </c>
      <c r="C2916" s="1303" t="s">
        <v>1340</v>
      </c>
      <c r="D2916" s="1304" t="s">
        <v>2711</v>
      </c>
      <c r="E2916" s="1305">
        <v>1500000</v>
      </c>
      <c r="F2916" s="1304" t="s">
        <v>2292</v>
      </c>
      <c r="G2916" s="1304" t="s">
        <v>30</v>
      </c>
      <c r="H2916" s="1306" t="s">
        <v>1955</v>
      </c>
      <c r="I2916" s="1306" t="s">
        <v>1644</v>
      </c>
      <c r="J2916" s="484">
        <v>1</v>
      </c>
      <c r="K2916" s="482" t="s">
        <v>1171</v>
      </c>
    </row>
    <row r="2917" spans="1:11" ht="15.75">
      <c r="A2917" s="928">
        <v>44875</v>
      </c>
      <c r="B2917" s="420" t="s">
        <v>1966</v>
      </c>
      <c r="C2917" s="743" t="s">
        <v>4251</v>
      </c>
      <c r="D2917" s="633" t="s">
        <v>2845</v>
      </c>
      <c r="E2917" s="644">
        <v>3500000</v>
      </c>
      <c r="F2917" s="633" t="s">
        <v>2605</v>
      </c>
      <c r="G2917" s="633" t="s">
        <v>1968</v>
      </c>
      <c r="H2917" s="635" t="s">
        <v>1955</v>
      </c>
      <c r="I2917" s="635" t="s">
        <v>1644</v>
      </c>
      <c r="J2917" s="387">
        <v>1</v>
      </c>
      <c r="K2917" s="385" t="s">
        <v>1245</v>
      </c>
    </row>
    <row r="2918" spans="1:11" ht="15.75">
      <c r="A2918" s="928" t="s">
        <v>4233</v>
      </c>
      <c r="B2918" s="420" t="s">
        <v>2182</v>
      </c>
      <c r="C2918" s="743" t="s">
        <v>4252</v>
      </c>
      <c r="D2918" s="633" t="s">
        <v>75</v>
      </c>
      <c r="E2918" s="644">
        <v>2200000</v>
      </c>
      <c r="F2918" s="633" t="s">
        <v>2605</v>
      </c>
      <c r="G2918" s="633" t="s">
        <v>2605</v>
      </c>
      <c r="H2918" s="635" t="s">
        <v>1955</v>
      </c>
      <c r="I2918" s="635" t="s">
        <v>1644</v>
      </c>
      <c r="J2918" s="387">
        <v>1</v>
      </c>
      <c r="K2918" s="385" t="s">
        <v>3681</v>
      </c>
    </row>
    <row r="2919" spans="1:11" ht="15.75">
      <c r="A2919" s="928" t="s">
        <v>4233</v>
      </c>
      <c r="B2919" s="420" t="s">
        <v>2182</v>
      </c>
      <c r="C2919" s="743" t="s">
        <v>4253</v>
      </c>
      <c r="D2919" s="633" t="s">
        <v>2326</v>
      </c>
      <c r="E2919" s="644">
        <v>1200000</v>
      </c>
      <c r="F2919" s="633" t="s">
        <v>2292</v>
      </c>
      <c r="G2919" s="633" t="s">
        <v>2593</v>
      </c>
      <c r="H2919" s="635" t="s">
        <v>1955</v>
      </c>
      <c r="I2919" s="635" t="s">
        <v>1644</v>
      </c>
      <c r="J2919" s="387">
        <v>1</v>
      </c>
      <c r="K2919" s="385" t="s">
        <v>1171</v>
      </c>
    </row>
    <row r="2920" spans="1:11" ht="15.75">
      <c r="A2920" s="928" t="s">
        <v>4233</v>
      </c>
      <c r="B2920" s="420" t="s">
        <v>2182</v>
      </c>
      <c r="C2920" s="743" t="s">
        <v>4254</v>
      </c>
      <c r="D2920" s="633" t="s">
        <v>75</v>
      </c>
      <c r="E2920" s="644">
        <v>2500000</v>
      </c>
      <c r="F2920" s="633" t="s">
        <v>2292</v>
      </c>
      <c r="G2920" s="633" t="s">
        <v>30</v>
      </c>
      <c r="H2920" s="635" t="s">
        <v>1955</v>
      </c>
      <c r="I2920" s="635" t="s">
        <v>1644</v>
      </c>
      <c r="J2920" s="387">
        <v>1</v>
      </c>
      <c r="K2920" s="385" t="s">
        <v>1245</v>
      </c>
    </row>
    <row r="2921" spans="1:11" ht="15.75">
      <c r="A2921" s="928" t="s">
        <v>4236</v>
      </c>
      <c r="B2921" s="420" t="s">
        <v>1952</v>
      </c>
      <c r="C2921" s="743" t="s">
        <v>4255</v>
      </c>
      <c r="D2921" s="633" t="s">
        <v>2711</v>
      </c>
      <c r="E2921" s="644">
        <v>1500000</v>
      </c>
      <c r="F2921" s="633" t="s">
        <v>2292</v>
      </c>
      <c r="G2921" s="633" t="s">
        <v>2593</v>
      </c>
      <c r="H2921" s="635" t="s">
        <v>1955</v>
      </c>
      <c r="I2921" s="635" t="s">
        <v>1644</v>
      </c>
      <c r="J2921" s="387">
        <v>1</v>
      </c>
      <c r="K2921" s="385" t="s">
        <v>3681</v>
      </c>
    </row>
    <row r="2922" spans="1:11" ht="15.75">
      <c r="A2922" s="928" t="s">
        <v>4236</v>
      </c>
      <c r="B2922" s="420" t="s">
        <v>2182</v>
      </c>
      <c r="C2922" s="743" t="s">
        <v>4256</v>
      </c>
      <c r="D2922" s="633" t="s">
        <v>2711</v>
      </c>
      <c r="E2922" s="644">
        <v>1600000</v>
      </c>
      <c r="F2922" s="633" t="s">
        <v>2292</v>
      </c>
      <c r="G2922" s="633" t="s">
        <v>2593</v>
      </c>
      <c r="H2922" s="635" t="s">
        <v>1955</v>
      </c>
      <c r="I2922" s="635" t="s">
        <v>1644</v>
      </c>
      <c r="J2922" s="387">
        <v>1</v>
      </c>
      <c r="K2922" s="385" t="s">
        <v>1171</v>
      </c>
    </row>
    <row r="2923" spans="1:11" ht="15.75">
      <c r="A2923" s="419"/>
      <c r="B2923" s="420"/>
      <c r="C2923" s="457"/>
      <c r="D2923" s="457"/>
      <c r="E2923" s="458"/>
      <c r="F2923" s="457"/>
      <c r="G2923" s="457"/>
      <c r="H2923" s="457"/>
      <c r="I2923" s="457"/>
      <c r="J2923" s="493">
        <f>SUM(J2900:J2922)</f>
        <v>20</v>
      </c>
      <c r="K2923" s="457"/>
    </row>
    <row r="2926" spans="1:11" ht="26.25">
      <c r="A2926" s="1668" t="s">
        <v>4257</v>
      </c>
      <c r="B2926" s="1669"/>
      <c r="C2926" s="1669"/>
      <c r="D2926" s="1669"/>
      <c r="E2926" s="1669"/>
      <c r="F2926" s="1669"/>
      <c r="G2926" s="1669"/>
      <c r="H2926" s="1669"/>
      <c r="I2926" s="1669"/>
      <c r="J2926" s="1669"/>
      <c r="K2926" s="1670"/>
    </row>
    <row r="2927" spans="1:11" ht="30.75">
      <c r="A2927" s="375" t="s">
        <v>1941</v>
      </c>
      <c r="B2927" s="378" t="s">
        <v>1942</v>
      </c>
      <c r="C2927" s="378" t="s">
        <v>1943</v>
      </c>
      <c r="D2927" s="378" t="s">
        <v>1944</v>
      </c>
      <c r="E2927" s="452" t="s">
        <v>1945</v>
      </c>
      <c r="F2927" s="378" t="s">
        <v>1946</v>
      </c>
      <c r="G2927" s="378" t="s">
        <v>2590</v>
      </c>
      <c r="H2927" s="378" t="s">
        <v>1947</v>
      </c>
      <c r="I2927" s="378" t="s">
        <v>1948</v>
      </c>
      <c r="J2927" s="453" t="s">
        <v>1949</v>
      </c>
      <c r="K2927" s="378" t="s">
        <v>1950</v>
      </c>
    </row>
    <row r="2928" spans="1:11" ht="15.75">
      <c r="A2928" s="1068"/>
      <c r="B2928" s="1069"/>
      <c r="C2928" s="1070"/>
      <c r="D2928" s="1071"/>
      <c r="E2928" s="1072"/>
      <c r="F2928" s="1073"/>
      <c r="G2928" s="1073"/>
      <c r="H2928" s="1074"/>
      <c r="I2928" s="1074"/>
      <c r="J2928" s="1074"/>
      <c r="K2928" s="1073"/>
    </row>
    <row r="2929" spans="1:11" ht="15.75">
      <c r="A2929" s="1068"/>
      <c r="B2929" s="1069"/>
      <c r="C2929" s="1070"/>
      <c r="D2929" s="1071"/>
      <c r="E2929" s="1072"/>
      <c r="F2929" s="1073"/>
      <c r="G2929" s="1073"/>
      <c r="H2929" s="1074"/>
      <c r="I2929" s="1074"/>
      <c r="J2929" s="1074"/>
      <c r="K2929" s="1073"/>
    </row>
    <row r="2930" spans="1:11" ht="15.75">
      <c r="A2930" s="1068"/>
      <c r="B2930" s="1069"/>
      <c r="C2930" s="1070"/>
      <c r="D2930" s="1071"/>
      <c r="E2930" s="1072"/>
      <c r="F2930" s="1073"/>
      <c r="G2930" s="1073"/>
      <c r="H2930" s="1074"/>
      <c r="I2930" s="1074"/>
      <c r="J2930" s="1074"/>
      <c r="K2930" s="1073"/>
    </row>
    <row r="2931" spans="1:11" ht="15.75">
      <c r="A2931" s="443" t="s">
        <v>4218</v>
      </c>
      <c r="B2931" s="653" t="s">
        <v>1952</v>
      </c>
      <c r="C2931" s="381" t="s">
        <v>4258</v>
      </c>
      <c r="D2931" s="426" t="s">
        <v>2253</v>
      </c>
      <c r="E2931" s="462">
        <v>1100000</v>
      </c>
      <c r="F2931" s="385" t="s">
        <v>2461</v>
      </c>
      <c r="G2931" s="385" t="s">
        <v>30</v>
      </c>
      <c r="H2931" s="387" t="s">
        <v>1625</v>
      </c>
      <c r="I2931" s="387" t="s">
        <v>1625</v>
      </c>
      <c r="J2931" s="387">
        <v>1</v>
      </c>
      <c r="K2931" s="385" t="s">
        <v>1171</v>
      </c>
    </row>
    <row r="2932" spans="1:11" ht="15.75">
      <c r="A2932" s="443">
        <v>44691</v>
      </c>
      <c r="B2932" s="653" t="s">
        <v>1952</v>
      </c>
      <c r="C2932" s="381" t="s">
        <v>4259</v>
      </c>
      <c r="D2932" s="426" t="s">
        <v>2253</v>
      </c>
      <c r="E2932" s="462">
        <v>1000000</v>
      </c>
      <c r="F2932" s="385" t="s">
        <v>2292</v>
      </c>
      <c r="G2932" s="385" t="s">
        <v>2605</v>
      </c>
      <c r="H2932" s="387" t="s">
        <v>1955</v>
      </c>
      <c r="I2932" s="387" t="s">
        <v>1644</v>
      </c>
      <c r="J2932" s="387">
        <v>1</v>
      </c>
      <c r="K2932" s="385" t="s">
        <v>1245</v>
      </c>
    </row>
    <row r="2933" spans="1:11" ht="15.75">
      <c r="A2933" s="443">
        <v>44691</v>
      </c>
      <c r="B2933" s="653" t="s">
        <v>1952</v>
      </c>
      <c r="C2933" s="381" t="s">
        <v>4260</v>
      </c>
      <c r="D2933" s="426" t="s">
        <v>2253</v>
      </c>
      <c r="E2933" s="462">
        <v>1000000</v>
      </c>
      <c r="F2933" s="385" t="s">
        <v>2292</v>
      </c>
      <c r="G2933" s="385" t="s">
        <v>2593</v>
      </c>
      <c r="H2933" s="387" t="s">
        <v>1955</v>
      </c>
      <c r="I2933" s="387" t="s">
        <v>1644</v>
      </c>
      <c r="J2933" s="387">
        <v>1</v>
      </c>
      <c r="K2933" s="385" t="s">
        <v>3681</v>
      </c>
    </row>
    <row r="2934" spans="1:11" ht="15.75">
      <c r="A2934" s="443">
        <v>44691</v>
      </c>
      <c r="B2934" s="653" t="s">
        <v>1966</v>
      </c>
      <c r="C2934" s="381" t="s">
        <v>4261</v>
      </c>
      <c r="D2934" s="426" t="s">
        <v>3017</v>
      </c>
      <c r="E2934" s="462">
        <v>9000000</v>
      </c>
      <c r="F2934" s="385" t="s">
        <v>1968</v>
      </c>
      <c r="G2934" s="385" t="s">
        <v>2593</v>
      </c>
      <c r="H2934" s="387" t="s">
        <v>1955</v>
      </c>
      <c r="I2934" s="387" t="s">
        <v>1644</v>
      </c>
      <c r="J2934" s="387">
        <v>1</v>
      </c>
      <c r="K2934" s="385" t="s">
        <v>1245</v>
      </c>
    </row>
    <row r="2935" spans="1:11" ht="15.75">
      <c r="A2935" s="443">
        <v>44691</v>
      </c>
      <c r="B2935" s="653" t="s">
        <v>1952</v>
      </c>
      <c r="C2935" s="381" t="s">
        <v>3010</v>
      </c>
      <c r="D2935" s="426" t="s">
        <v>2326</v>
      </c>
      <c r="E2935" s="462">
        <v>1100000</v>
      </c>
      <c r="F2935" s="385" t="s">
        <v>2292</v>
      </c>
      <c r="G2935" s="385" t="s">
        <v>2593</v>
      </c>
      <c r="H2935" s="387" t="s">
        <v>1955</v>
      </c>
      <c r="I2935" s="387" t="s">
        <v>1644</v>
      </c>
      <c r="J2935" s="387">
        <v>1</v>
      </c>
      <c r="K2935" s="385" t="s">
        <v>3681</v>
      </c>
    </row>
    <row r="2936" spans="1:11" ht="15.75">
      <c r="A2936" s="393">
        <v>44691</v>
      </c>
      <c r="B2936" s="653" t="s">
        <v>1952</v>
      </c>
      <c r="C2936" s="381" t="s">
        <v>4262</v>
      </c>
      <c r="D2936" s="426" t="s">
        <v>2711</v>
      </c>
      <c r="E2936" s="462">
        <v>1500000</v>
      </c>
      <c r="F2936" s="385" t="s">
        <v>1968</v>
      </c>
      <c r="G2936" s="385" t="s">
        <v>30</v>
      </c>
      <c r="H2936" s="387" t="s">
        <v>1955</v>
      </c>
      <c r="I2936" s="387" t="s">
        <v>1644</v>
      </c>
      <c r="J2936" s="387">
        <v>1</v>
      </c>
      <c r="K2936" s="385" t="s">
        <v>1171</v>
      </c>
    </row>
    <row r="2937" spans="1:11" ht="15.75">
      <c r="A2937" s="443">
        <v>44752</v>
      </c>
      <c r="B2937" s="653" t="s">
        <v>2182</v>
      </c>
      <c r="C2937" s="381" t="s">
        <v>4263</v>
      </c>
      <c r="D2937" s="426" t="s">
        <v>2326</v>
      </c>
      <c r="E2937" s="462">
        <v>850000</v>
      </c>
      <c r="F2937" s="385" t="s">
        <v>2292</v>
      </c>
      <c r="G2937" s="385" t="s">
        <v>2605</v>
      </c>
      <c r="H2937" s="387" t="s">
        <v>1955</v>
      </c>
      <c r="I2937" s="387" t="s">
        <v>1644</v>
      </c>
      <c r="J2937" s="387">
        <v>1</v>
      </c>
      <c r="K2937" s="385" t="s">
        <v>1171</v>
      </c>
    </row>
    <row r="2938" spans="1:11" ht="15.75">
      <c r="A2938" s="443">
        <v>44752</v>
      </c>
      <c r="B2938" s="653" t="s">
        <v>2182</v>
      </c>
      <c r="C2938" s="381" t="s">
        <v>4174</v>
      </c>
      <c r="D2938" s="426" t="s">
        <v>2661</v>
      </c>
      <c r="E2938" s="462">
        <v>1000000</v>
      </c>
      <c r="F2938" s="385" t="s">
        <v>2292</v>
      </c>
      <c r="G2938" s="385" t="s">
        <v>2605</v>
      </c>
      <c r="H2938" s="387" t="s">
        <v>1955</v>
      </c>
      <c r="I2938" s="387" t="s">
        <v>1644</v>
      </c>
      <c r="J2938" s="387">
        <v>1</v>
      </c>
      <c r="K2938" s="385" t="s">
        <v>3681</v>
      </c>
    </row>
    <row r="2939" spans="1:11" ht="15.75">
      <c r="A2939" s="443">
        <v>44691</v>
      </c>
      <c r="B2939" s="653" t="s">
        <v>2182</v>
      </c>
      <c r="C2939" s="381" t="s">
        <v>1341</v>
      </c>
      <c r="D2939" s="426" t="s">
        <v>2326</v>
      </c>
      <c r="E2939" s="462">
        <v>1400000</v>
      </c>
      <c r="F2939" s="385" t="s">
        <v>1968</v>
      </c>
      <c r="G2939" s="385" t="s">
        <v>30</v>
      </c>
      <c r="H2939" s="387" t="s">
        <v>1955</v>
      </c>
      <c r="I2939" s="387" t="s">
        <v>1644</v>
      </c>
      <c r="J2939" s="387">
        <v>1</v>
      </c>
      <c r="K2939" s="385" t="s">
        <v>1245</v>
      </c>
    </row>
    <row r="2940" spans="1:11" ht="15.75">
      <c r="A2940" s="443">
        <v>44691</v>
      </c>
      <c r="B2940" s="653" t="s">
        <v>2182</v>
      </c>
      <c r="C2940" s="381" t="s">
        <v>4264</v>
      </c>
      <c r="D2940" s="426" t="s">
        <v>2661</v>
      </c>
      <c r="E2940" s="462">
        <v>1200000</v>
      </c>
      <c r="F2940" s="385" t="s">
        <v>2292</v>
      </c>
      <c r="G2940" s="385" t="s">
        <v>30</v>
      </c>
      <c r="H2940" s="387" t="s">
        <v>1955</v>
      </c>
      <c r="I2940" s="387" t="s">
        <v>1644</v>
      </c>
      <c r="J2940" s="387">
        <v>1</v>
      </c>
      <c r="K2940" s="385" t="s">
        <v>3681</v>
      </c>
    </row>
    <row r="2941" spans="1:11" ht="15.75">
      <c r="A2941" s="393"/>
      <c r="B2941" s="381"/>
      <c r="C2941" s="381"/>
      <c r="D2941" s="381"/>
      <c r="E2941" s="451"/>
      <c r="F2941" s="381"/>
      <c r="G2941" s="381"/>
      <c r="H2941" s="383"/>
      <c r="I2941" s="383"/>
      <c r="J2941" s="1246">
        <f>SUM(J2928:J2940)</f>
        <v>10</v>
      </c>
      <c r="K2941" s="381"/>
    </row>
    <row r="2944" spans="1:11" ht="26.25">
      <c r="A2944" s="1667" t="s">
        <v>4265</v>
      </c>
      <c r="B2944" s="1667"/>
      <c r="C2944" s="1667"/>
      <c r="D2944" s="1667"/>
      <c r="E2944" s="1667"/>
      <c r="F2944" s="1667"/>
      <c r="G2944" s="1667"/>
      <c r="H2944" s="1667"/>
      <c r="I2944" s="1667"/>
      <c r="J2944" s="1667"/>
      <c r="K2944" s="1667"/>
    </row>
    <row r="2945" spans="1:11" ht="30.75">
      <c r="A2945" s="375" t="s">
        <v>1941</v>
      </c>
      <c r="B2945" s="378" t="s">
        <v>1942</v>
      </c>
      <c r="C2945" s="378" t="s">
        <v>1943</v>
      </c>
      <c r="D2945" s="378" t="s">
        <v>1944</v>
      </c>
      <c r="E2945" s="452" t="s">
        <v>1945</v>
      </c>
      <c r="F2945" s="378" t="s">
        <v>1946</v>
      </c>
      <c r="G2945" s="378" t="s">
        <v>2590</v>
      </c>
      <c r="H2945" s="378" t="s">
        <v>1947</v>
      </c>
      <c r="I2945" s="378" t="s">
        <v>1948</v>
      </c>
      <c r="J2945" s="453" t="s">
        <v>1949</v>
      </c>
      <c r="K2945" s="378" t="s">
        <v>1950</v>
      </c>
    </row>
    <row r="2946" spans="1:11" ht="15.75">
      <c r="A2946" s="1244">
        <v>44691</v>
      </c>
      <c r="B2946" s="1320" t="s">
        <v>1966</v>
      </c>
      <c r="C2946" s="1073" t="s">
        <v>4266</v>
      </c>
      <c r="D2946" s="1073" t="s">
        <v>2326</v>
      </c>
      <c r="E2946" s="1072">
        <v>650000000</v>
      </c>
      <c r="F2946" s="1073" t="s">
        <v>2292</v>
      </c>
      <c r="G2946" s="1073" t="s">
        <v>2593</v>
      </c>
      <c r="H2946" s="1074" t="s">
        <v>1955</v>
      </c>
      <c r="I2946" s="1074" t="s">
        <v>1644</v>
      </c>
      <c r="J2946" s="1074">
        <v>1</v>
      </c>
      <c r="K2946" s="1073" t="s">
        <v>2629</v>
      </c>
    </row>
    <row r="2947" spans="1:11" ht="15.75">
      <c r="A2947" s="1244"/>
      <c r="B2947" s="1320"/>
      <c r="C2947" s="1073"/>
      <c r="D2947" s="1073"/>
      <c r="E2947" s="1072"/>
      <c r="F2947" s="1073"/>
      <c r="G2947" s="1073"/>
      <c r="H2947" s="1074"/>
      <c r="I2947" s="1074"/>
      <c r="J2947" s="1074"/>
      <c r="K2947" s="1073"/>
    </row>
    <row r="2948" spans="1:11" ht="15.75">
      <c r="A2948" s="1244"/>
      <c r="B2948" s="1425"/>
      <c r="C2948" s="1070"/>
      <c r="D2948" s="1071"/>
      <c r="E2948" s="1072"/>
      <c r="F2948" s="1073"/>
      <c r="G2948" s="1073"/>
      <c r="H2948" s="1074"/>
      <c r="I2948" s="1074"/>
      <c r="J2948" s="1074"/>
      <c r="K2948" s="1073"/>
    </row>
    <row r="2949" spans="1:11" ht="15.75">
      <c r="A2949" s="579" t="s">
        <v>4267</v>
      </c>
      <c r="B2949" s="381" t="s">
        <v>2623</v>
      </c>
      <c r="C2949" s="381" t="s">
        <v>4268</v>
      </c>
      <c r="D2949" s="381" t="s">
        <v>2559</v>
      </c>
      <c r="E2949" s="451">
        <v>5500000</v>
      </c>
      <c r="F2949" s="381" t="s">
        <v>1968</v>
      </c>
      <c r="G2949" s="381" t="s">
        <v>2593</v>
      </c>
      <c r="H2949" s="383" t="s">
        <v>1955</v>
      </c>
      <c r="I2949" s="383" t="s">
        <v>1625</v>
      </c>
      <c r="J2949" s="383">
        <v>1</v>
      </c>
      <c r="K2949" s="381" t="s">
        <v>989</v>
      </c>
    </row>
    <row r="2950" spans="1:11" ht="15.75">
      <c r="A2950" s="479" t="s">
        <v>4269</v>
      </c>
      <c r="B2950" s="381" t="s">
        <v>1952</v>
      </c>
      <c r="C2950" s="381" t="s">
        <v>4270</v>
      </c>
      <c r="D2950" s="381" t="s">
        <v>75</v>
      </c>
      <c r="E2950" s="451">
        <v>1800000</v>
      </c>
      <c r="F2950" s="275" t="s">
        <v>2292</v>
      </c>
      <c r="G2950" s="275" t="s">
        <v>2605</v>
      </c>
      <c r="H2950" s="383" t="s">
        <v>1955</v>
      </c>
      <c r="I2950" s="383" t="s">
        <v>1625</v>
      </c>
      <c r="J2950" s="383">
        <v>1</v>
      </c>
      <c r="K2950" s="411" t="s">
        <v>989</v>
      </c>
    </row>
    <row r="2951" spans="1:11" ht="15.75">
      <c r="A2951" s="393" t="s">
        <v>4269</v>
      </c>
      <c r="B2951" s="381" t="s">
        <v>1952</v>
      </c>
      <c r="C2951" s="381" t="s">
        <v>4271</v>
      </c>
      <c r="D2951" s="381" t="s">
        <v>2326</v>
      </c>
      <c r="E2951" s="451">
        <v>1250000</v>
      </c>
      <c r="F2951" s="381" t="s">
        <v>2292</v>
      </c>
      <c r="G2951" s="381" t="s">
        <v>2593</v>
      </c>
      <c r="H2951" s="383" t="s">
        <v>1955</v>
      </c>
      <c r="I2951" s="383" t="s">
        <v>1625</v>
      </c>
      <c r="J2951" s="383">
        <v>1</v>
      </c>
      <c r="K2951" s="381" t="s">
        <v>989</v>
      </c>
    </row>
    <row r="2952" spans="1:11" ht="15.75">
      <c r="A2952" s="579" t="s">
        <v>4269</v>
      </c>
      <c r="B2952" s="381" t="s">
        <v>1952</v>
      </c>
      <c r="C2952" s="381" t="s">
        <v>1357</v>
      </c>
      <c r="D2952" s="381" t="s">
        <v>4272</v>
      </c>
      <c r="E2952" s="451">
        <v>1250000</v>
      </c>
      <c r="F2952" s="381" t="s">
        <v>1968</v>
      </c>
      <c r="G2952" s="381" t="s">
        <v>30</v>
      </c>
      <c r="H2952" s="383" t="s">
        <v>1955</v>
      </c>
      <c r="I2952" s="383" t="s">
        <v>1625</v>
      </c>
      <c r="J2952" s="383">
        <v>1</v>
      </c>
      <c r="K2952" s="381" t="s">
        <v>1171</v>
      </c>
    </row>
    <row r="2953" spans="1:11" ht="15.75">
      <c r="A2953" s="579" t="s">
        <v>4269</v>
      </c>
      <c r="B2953" s="381" t="s">
        <v>4180</v>
      </c>
      <c r="C2953" s="381" t="s">
        <v>4273</v>
      </c>
      <c r="D2953" s="381" t="s">
        <v>4274</v>
      </c>
      <c r="E2953" s="451">
        <v>6000000</v>
      </c>
      <c r="F2953" s="381" t="s">
        <v>1968</v>
      </c>
      <c r="G2953" s="381" t="s">
        <v>2593</v>
      </c>
      <c r="H2953" s="383" t="s">
        <v>1955</v>
      </c>
      <c r="I2953" s="383" t="s">
        <v>1625</v>
      </c>
      <c r="J2953" s="383">
        <v>1</v>
      </c>
      <c r="K2953" s="381" t="s">
        <v>1171</v>
      </c>
    </row>
    <row r="2954" spans="1:11" ht="15.75">
      <c r="A2954" s="579">
        <v>44630</v>
      </c>
      <c r="B2954" s="381" t="s">
        <v>3787</v>
      </c>
      <c r="C2954" s="1441" t="s">
        <v>4275</v>
      </c>
      <c r="D2954" s="381" t="s">
        <v>4276</v>
      </c>
      <c r="E2954" s="451">
        <v>4500000</v>
      </c>
      <c r="F2954" s="381" t="s">
        <v>1968</v>
      </c>
      <c r="G2954" s="381" t="s">
        <v>2593</v>
      </c>
      <c r="H2954" s="383" t="s">
        <v>1955</v>
      </c>
      <c r="I2954" s="383" t="s">
        <v>1644</v>
      </c>
      <c r="J2954" s="383">
        <v>1</v>
      </c>
      <c r="K2954" s="381" t="s">
        <v>1171</v>
      </c>
    </row>
    <row r="2955" spans="1:11" ht="15.75">
      <c r="A2955" s="579">
        <v>44661</v>
      </c>
      <c r="B2955" s="381" t="s">
        <v>2182</v>
      </c>
      <c r="C2955" s="381" t="s">
        <v>1359</v>
      </c>
      <c r="D2955" s="381" t="s">
        <v>3089</v>
      </c>
      <c r="E2955" s="451">
        <v>1200000</v>
      </c>
      <c r="F2955" s="381" t="s">
        <v>2292</v>
      </c>
      <c r="G2955" s="381" t="s">
        <v>30</v>
      </c>
      <c r="H2955" s="383" t="s">
        <v>1955</v>
      </c>
      <c r="I2955" s="383" t="s">
        <v>1644</v>
      </c>
      <c r="J2955" s="383">
        <v>1</v>
      </c>
      <c r="K2955" s="381" t="s">
        <v>1245</v>
      </c>
    </row>
    <row r="2956" spans="1:11" ht="15.75">
      <c r="A2956" s="579">
        <v>44661</v>
      </c>
      <c r="B2956" s="381" t="s">
        <v>2182</v>
      </c>
      <c r="C2956" s="381" t="s">
        <v>4277</v>
      </c>
      <c r="D2956" s="381" t="s">
        <v>3017</v>
      </c>
      <c r="E2956" s="451">
        <v>1150000</v>
      </c>
      <c r="F2956" s="381" t="s">
        <v>1968</v>
      </c>
      <c r="G2956" s="381" t="s">
        <v>30</v>
      </c>
      <c r="H2956" s="383" t="s">
        <v>1955</v>
      </c>
      <c r="I2956" s="383" t="s">
        <v>1644</v>
      </c>
      <c r="J2956" s="383">
        <v>1</v>
      </c>
      <c r="K2956" s="381" t="s">
        <v>3681</v>
      </c>
    </row>
    <row r="2957" spans="1:11" ht="15.75">
      <c r="A2957" s="579" t="s">
        <v>4278</v>
      </c>
      <c r="B2957" s="381" t="s">
        <v>2182</v>
      </c>
      <c r="C2957" s="381" t="s">
        <v>1360</v>
      </c>
      <c r="D2957" s="381" t="s">
        <v>3089</v>
      </c>
      <c r="E2957" s="451">
        <v>1200000</v>
      </c>
      <c r="F2957" s="381" t="s">
        <v>2292</v>
      </c>
      <c r="G2957" s="381" t="s">
        <v>2605</v>
      </c>
      <c r="H2957" s="383" t="s">
        <v>1955</v>
      </c>
      <c r="I2957" s="383" t="s">
        <v>1644</v>
      </c>
      <c r="J2957" s="383">
        <v>1</v>
      </c>
      <c r="K2957" s="381" t="s">
        <v>1245</v>
      </c>
    </row>
    <row r="2958" spans="1:11" ht="15.75">
      <c r="A2958" s="579">
        <v>44875</v>
      </c>
      <c r="B2958" s="381" t="s">
        <v>2182</v>
      </c>
      <c r="C2958" s="381" t="s">
        <v>1872</v>
      </c>
      <c r="D2958" s="381" t="s">
        <v>3089</v>
      </c>
      <c r="E2958" s="451">
        <v>1200000</v>
      </c>
      <c r="F2958" s="381" t="s">
        <v>2292</v>
      </c>
      <c r="G2958" s="381" t="s">
        <v>30</v>
      </c>
      <c r="H2958" s="383" t="s">
        <v>1955</v>
      </c>
      <c r="I2958" s="383" t="s">
        <v>1644</v>
      </c>
      <c r="J2958" s="383">
        <v>1</v>
      </c>
      <c r="K2958" s="381" t="s">
        <v>1245</v>
      </c>
    </row>
    <row r="2959" spans="1:11" ht="15.75">
      <c r="A2959" s="579" t="s">
        <v>4279</v>
      </c>
      <c r="B2959" s="381" t="s">
        <v>2182</v>
      </c>
      <c r="C2959" s="381" t="s">
        <v>1883</v>
      </c>
      <c r="D2959" s="381" t="s">
        <v>3493</v>
      </c>
      <c r="E2959" s="451">
        <v>1750000</v>
      </c>
      <c r="F2959" s="381" t="s">
        <v>2292</v>
      </c>
      <c r="G2959" s="381" t="s">
        <v>30</v>
      </c>
      <c r="H2959" s="383" t="s">
        <v>1955</v>
      </c>
      <c r="I2959" s="383" t="s">
        <v>1644</v>
      </c>
      <c r="J2959" s="383">
        <v>1</v>
      </c>
      <c r="K2959" s="381" t="s">
        <v>1245</v>
      </c>
    </row>
    <row r="2960" spans="1:11" ht="15.75">
      <c r="A2960" s="456"/>
      <c r="B2960" s="457"/>
      <c r="C2960" s="457"/>
      <c r="D2960" s="457"/>
      <c r="E2960" s="476"/>
      <c r="F2960" s="457"/>
      <c r="G2960" s="457"/>
      <c r="H2960" s="153"/>
      <c r="I2960" s="153"/>
      <c r="J2960" s="493">
        <f>SUM(J2946:J2957)</f>
        <v>10</v>
      </c>
      <c r="K2960" s="457"/>
    </row>
    <row r="2961" spans="1:11" ht="15.75">
      <c r="A2961" s="394"/>
      <c r="B2961" s="395"/>
      <c r="C2961" s="395"/>
      <c r="D2961" s="395"/>
      <c r="E2961" s="396"/>
      <c r="F2961" s="397"/>
      <c r="G2961" s="397"/>
      <c r="H2961" s="395"/>
      <c r="I2961" s="395"/>
      <c r="J2961" s="395"/>
      <c r="K2961" s="395"/>
    </row>
    <row r="2962" spans="1:11" ht="15.75">
      <c r="A2962" s="394"/>
      <c r="B2962" s="395"/>
      <c r="C2962" s="395"/>
      <c r="D2962" s="395"/>
      <c r="E2962" s="396"/>
      <c r="F2962" s="397"/>
      <c r="G2962" s="397"/>
      <c r="H2962" s="395"/>
      <c r="I2962" s="395"/>
      <c r="J2962" s="395"/>
      <c r="K2962" s="395"/>
    </row>
    <row r="2964" spans="1:11" ht="26.25">
      <c r="A2964" s="1668" t="s">
        <v>4280</v>
      </c>
      <c r="B2964" s="1669"/>
      <c r="C2964" s="1669"/>
      <c r="D2964" s="1669"/>
      <c r="E2964" s="1669"/>
      <c r="F2964" s="1669"/>
      <c r="G2964" s="1669"/>
      <c r="H2964" s="1669"/>
      <c r="I2964" s="1669"/>
      <c r="J2964" s="1669"/>
      <c r="K2964" s="1670"/>
    </row>
    <row r="2965" spans="1:11" ht="30.75">
      <c r="A2965" s="378" t="s">
        <v>1941</v>
      </c>
      <c r="B2965" s="378" t="s">
        <v>1942</v>
      </c>
      <c r="C2965" s="378" t="s">
        <v>1943</v>
      </c>
      <c r="D2965" s="378" t="s">
        <v>1944</v>
      </c>
      <c r="E2965" s="452" t="s">
        <v>1945</v>
      </c>
      <c r="F2965" s="378" t="s">
        <v>1946</v>
      </c>
      <c r="G2965" s="378" t="s">
        <v>2590</v>
      </c>
      <c r="H2965" s="378" t="s">
        <v>1947</v>
      </c>
      <c r="I2965" s="378" t="s">
        <v>1948</v>
      </c>
      <c r="J2965" s="453" t="s">
        <v>1949</v>
      </c>
      <c r="K2965" s="378" t="s">
        <v>1950</v>
      </c>
    </row>
    <row r="2966" spans="1:11" ht="15.75">
      <c r="A2966" s="922"/>
      <c r="B2966" s="618"/>
      <c r="C2966" s="472"/>
      <c r="D2966" s="472"/>
      <c r="E2966" s="475"/>
      <c r="F2966" s="472"/>
      <c r="G2966" s="472"/>
      <c r="H2966" s="473"/>
      <c r="I2966" s="473"/>
      <c r="J2966" s="473"/>
      <c r="K2966" s="472"/>
    </row>
    <row r="2967" spans="1:11" ht="15.75">
      <c r="A2967" s="922"/>
      <c r="B2967" s="618"/>
      <c r="C2967" s="472"/>
      <c r="D2967" s="472"/>
      <c r="E2967" s="475"/>
      <c r="F2967" s="472"/>
      <c r="G2967" s="472"/>
      <c r="H2967" s="473"/>
      <c r="I2967" s="473"/>
      <c r="J2967" s="473"/>
      <c r="K2967" s="472"/>
    </row>
    <row r="2968" spans="1:11" ht="15.75">
      <c r="A2968" s="611"/>
      <c r="B2968" s="472"/>
      <c r="C2968" s="472"/>
      <c r="D2968" s="472"/>
      <c r="E2968" s="475"/>
      <c r="F2968" s="472"/>
      <c r="G2968" s="472"/>
      <c r="H2968" s="473"/>
      <c r="I2968" s="473"/>
      <c r="J2968" s="473"/>
      <c r="K2968" s="472"/>
    </row>
    <row r="2969" spans="1:11" ht="15.75">
      <c r="A2969" s="384">
        <v>44661</v>
      </c>
      <c r="B2969" s="1445" t="s">
        <v>1952</v>
      </c>
      <c r="C2969" s="381" t="s">
        <v>1370</v>
      </c>
      <c r="D2969" s="426" t="s">
        <v>3043</v>
      </c>
      <c r="E2969" s="462">
        <v>2000000</v>
      </c>
      <c r="F2969" s="385" t="s">
        <v>2292</v>
      </c>
      <c r="G2969" s="385" t="s">
        <v>30</v>
      </c>
      <c r="H2969" s="387" t="s">
        <v>1955</v>
      </c>
      <c r="I2969" s="387" t="s">
        <v>1625</v>
      </c>
      <c r="J2969" s="387">
        <v>1</v>
      </c>
      <c r="K2969" s="385" t="s">
        <v>1245</v>
      </c>
    </row>
    <row r="2970" spans="1:11" ht="15.75">
      <c r="A2970" s="384">
        <v>44844</v>
      </c>
      <c r="B2970" s="1445" t="s">
        <v>2182</v>
      </c>
      <c r="C2970" s="381" t="s">
        <v>4281</v>
      </c>
      <c r="D2970" s="426" t="s">
        <v>2032</v>
      </c>
      <c r="E2970" s="462">
        <v>900000</v>
      </c>
      <c r="F2970" s="385" t="s">
        <v>1968</v>
      </c>
      <c r="G2970" s="385" t="s">
        <v>2605</v>
      </c>
      <c r="H2970" s="387" t="s">
        <v>1955</v>
      </c>
      <c r="I2970" s="387" t="s">
        <v>1644</v>
      </c>
      <c r="J2970" s="387">
        <v>1</v>
      </c>
      <c r="K2970" s="385" t="s">
        <v>1171</v>
      </c>
    </row>
    <row r="2971" spans="1:11" ht="15.75">
      <c r="A2971" s="384" t="s">
        <v>4282</v>
      </c>
      <c r="B2971" s="1445" t="s">
        <v>2182</v>
      </c>
      <c r="C2971" s="381" t="s">
        <v>4283</v>
      </c>
      <c r="D2971" s="426" t="s">
        <v>3043</v>
      </c>
      <c r="E2971" s="462">
        <v>1400000</v>
      </c>
      <c r="F2971" s="385" t="s">
        <v>2292</v>
      </c>
      <c r="G2971" s="385" t="s">
        <v>2605</v>
      </c>
      <c r="H2971" s="387" t="s">
        <v>1955</v>
      </c>
      <c r="I2971" s="387" t="s">
        <v>1644</v>
      </c>
      <c r="J2971" s="387">
        <v>1</v>
      </c>
      <c r="K2971" s="385" t="s">
        <v>1171</v>
      </c>
    </row>
    <row r="2972" spans="1:11" ht="15.75">
      <c r="A2972" s="384" t="s">
        <v>4233</v>
      </c>
      <c r="B2972" s="1445" t="s">
        <v>2182</v>
      </c>
      <c r="C2972" s="385" t="s">
        <v>1374</v>
      </c>
      <c r="D2972" s="426" t="s">
        <v>3043</v>
      </c>
      <c r="E2972" s="462">
        <v>2000000</v>
      </c>
      <c r="F2972" s="385" t="s">
        <v>2292</v>
      </c>
      <c r="G2972" s="385" t="s">
        <v>30</v>
      </c>
      <c r="H2972" s="387" t="s">
        <v>1955</v>
      </c>
      <c r="I2972" s="387" t="s">
        <v>1644</v>
      </c>
      <c r="J2972" s="387">
        <v>1</v>
      </c>
      <c r="K2972" s="385" t="s">
        <v>3681</v>
      </c>
    </row>
    <row r="2973" spans="1:11" ht="15.75">
      <c r="A2973" s="393" t="s">
        <v>4233</v>
      </c>
      <c r="B2973" s="653" t="s">
        <v>2182</v>
      </c>
      <c r="C2973" s="381" t="s">
        <v>4284</v>
      </c>
      <c r="D2973" s="426" t="s">
        <v>75</v>
      </c>
      <c r="E2973" s="462">
        <v>1800000</v>
      </c>
      <c r="F2973" s="385" t="s">
        <v>1968</v>
      </c>
      <c r="G2973" s="385" t="s">
        <v>2593</v>
      </c>
      <c r="H2973" s="387" t="s">
        <v>1955</v>
      </c>
      <c r="I2973" s="387" t="s">
        <v>1644</v>
      </c>
      <c r="J2973" s="387">
        <v>1</v>
      </c>
      <c r="K2973" s="385" t="s">
        <v>1245</v>
      </c>
    </row>
    <row r="2974" spans="1:11" ht="15.75">
      <c r="A2974" s="456"/>
      <c r="B2974" s="457"/>
      <c r="C2974" s="457"/>
      <c r="D2974" s="1455"/>
      <c r="E2974" s="458"/>
      <c r="F2974" s="457"/>
      <c r="G2974" s="457"/>
      <c r="H2974" s="457"/>
      <c r="I2974" s="457"/>
      <c r="J2974" s="493">
        <f>SUM(J2966:J2973)</f>
        <v>5</v>
      </c>
      <c r="K2974" s="457"/>
    </row>
    <row r="2977" spans="1:11" ht="26.25">
      <c r="A2977" s="1668" t="s">
        <v>4285</v>
      </c>
      <c r="B2977" s="1669"/>
      <c r="C2977" s="1669"/>
      <c r="D2977" s="1669"/>
      <c r="E2977" s="1669"/>
      <c r="F2977" s="1669"/>
      <c r="G2977" s="1669"/>
      <c r="H2977" s="1669"/>
      <c r="I2977" s="1669"/>
      <c r="J2977" s="1669"/>
      <c r="K2977" s="1670"/>
    </row>
    <row r="2978" spans="1:11" ht="30.75">
      <c r="A2978" s="375" t="s">
        <v>1941</v>
      </c>
      <c r="B2978" s="378" t="s">
        <v>1942</v>
      </c>
      <c r="C2978" s="378" t="s">
        <v>1943</v>
      </c>
      <c r="D2978" s="378" t="s">
        <v>1944</v>
      </c>
      <c r="E2978" s="452" t="s">
        <v>1945</v>
      </c>
      <c r="F2978" s="378" t="s">
        <v>1946</v>
      </c>
      <c r="G2978" s="378" t="s">
        <v>2590</v>
      </c>
      <c r="H2978" s="378" t="s">
        <v>1947</v>
      </c>
      <c r="I2978" s="378" t="s">
        <v>1948</v>
      </c>
      <c r="J2978" s="453" t="s">
        <v>1949</v>
      </c>
      <c r="K2978" s="378" t="s">
        <v>1950</v>
      </c>
    </row>
    <row r="2979" spans="1:11" ht="15.75">
      <c r="A2979" s="1068"/>
      <c r="B2979" s="1069"/>
      <c r="C2979" s="1070"/>
      <c r="D2979" s="1071"/>
      <c r="E2979" s="1072"/>
      <c r="F2979" s="1073"/>
      <c r="G2979" s="1073"/>
      <c r="H2979" s="1074"/>
      <c r="I2979" s="1074"/>
      <c r="J2979" s="1074"/>
      <c r="K2979" s="1073"/>
    </row>
    <row r="2980" spans="1:11" ht="15.75">
      <c r="A2980" s="1068"/>
      <c r="B2980" s="1069"/>
      <c r="C2980" s="1070"/>
      <c r="D2980" s="1071"/>
      <c r="E2980" s="1072"/>
      <c r="F2980" s="1073"/>
      <c r="G2980" s="1073"/>
      <c r="H2980" s="1074"/>
      <c r="I2980" s="1074"/>
      <c r="J2980" s="1074"/>
      <c r="K2980" s="1073"/>
    </row>
    <row r="2981" spans="1:11" ht="15.75">
      <c r="A2981" s="443" t="s">
        <v>4239</v>
      </c>
      <c r="B2981" s="653" t="s">
        <v>1952</v>
      </c>
      <c r="C2981" s="385" t="s">
        <v>4286</v>
      </c>
      <c r="D2981" s="426" t="s">
        <v>2394</v>
      </c>
      <c r="E2981" s="462">
        <v>650000</v>
      </c>
      <c r="F2981" s="385" t="s">
        <v>1968</v>
      </c>
      <c r="G2981" s="385" t="s">
        <v>2593</v>
      </c>
      <c r="H2981" s="387" t="s">
        <v>1955</v>
      </c>
      <c r="I2981" s="387" t="s">
        <v>1625</v>
      </c>
      <c r="J2981" s="387">
        <v>1</v>
      </c>
      <c r="K2981" s="385" t="s">
        <v>1171</v>
      </c>
    </row>
    <row r="2982" spans="1:11" ht="15.75">
      <c r="A2982" s="443" t="s">
        <v>4239</v>
      </c>
      <c r="B2982" s="653" t="s">
        <v>1952</v>
      </c>
      <c r="C2982" s="385" t="s">
        <v>4287</v>
      </c>
      <c r="D2982" s="426" t="s">
        <v>2326</v>
      </c>
      <c r="E2982" s="462">
        <v>1150000</v>
      </c>
      <c r="F2982" s="385" t="s">
        <v>3752</v>
      </c>
      <c r="G2982" s="385" t="s">
        <v>2593</v>
      </c>
      <c r="H2982" s="387" t="s">
        <v>1955</v>
      </c>
      <c r="I2982" s="387" t="s">
        <v>1625</v>
      </c>
      <c r="J2982" s="387">
        <v>1</v>
      </c>
      <c r="K2982" s="385" t="s">
        <v>3681</v>
      </c>
    </row>
    <row r="2983" spans="1:11" ht="15.75">
      <c r="A2983" s="443" t="s">
        <v>4236</v>
      </c>
      <c r="B2983" s="653" t="s">
        <v>2182</v>
      </c>
      <c r="C2983" s="385" t="s">
        <v>4288</v>
      </c>
      <c r="D2983" s="426" t="s">
        <v>2661</v>
      </c>
      <c r="E2983" s="462">
        <v>1200000</v>
      </c>
      <c r="F2983" s="385" t="s">
        <v>2292</v>
      </c>
      <c r="G2983" s="385" t="s">
        <v>2605</v>
      </c>
      <c r="H2983" s="387" t="s">
        <v>1955</v>
      </c>
      <c r="I2983" s="387" t="s">
        <v>1644</v>
      </c>
      <c r="J2983" s="387">
        <v>1</v>
      </c>
      <c r="K2983" s="385" t="s">
        <v>1245</v>
      </c>
    </row>
    <row r="2984" spans="1:11" ht="15.75">
      <c r="A2984" s="443" t="s">
        <v>4279</v>
      </c>
      <c r="B2984" s="653" t="s">
        <v>2060</v>
      </c>
      <c r="C2984" s="381" t="s">
        <v>4289</v>
      </c>
      <c r="D2984" s="426" t="s">
        <v>4290</v>
      </c>
      <c r="E2984" s="462">
        <v>9100000</v>
      </c>
      <c r="F2984" s="385" t="s">
        <v>1968</v>
      </c>
      <c r="G2984" s="385" t="s">
        <v>2593</v>
      </c>
      <c r="H2984" s="387" t="s">
        <v>4291</v>
      </c>
      <c r="I2984" s="387" t="s">
        <v>1644</v>
      </c>
      <c r="J2984" s="387">
        <v>1</v>
      </c>
      <c r="K2984" s="385" t="s">
        <v>286</v>
      </c>
    </row>
    <row r="2985" spans="1:11" ht="15.75">
      <c r="A2985" s="443" t="s">
        <v>4279</v>
      </c>
      <c r="B2985" s="653" t="s">
        <v>2182</v>
      </c>
      <c r="C2985" s="381" t="s">
        <v>4292</v>
      </c>
      <c r="D2985" s="426"/>
      <c r="E2985" s="462"/>
      <c r="F2985" s="385"/>
      <c r="G2985" s="385"/>
      <c r="H2985" s="387"/>
      <c r="I2985" s="387"/>
      <c r="J2985" s="387"/>
      <c r="K2985" s="385"/>
    </row>
    <row r="2986" spans="1:11" ht="15.75">
      <c r="A2986" s="393"/>
      <c r="B2986" s="653"/>
      <c r="C2986" s="381"/>
      <c r="D2986" s="381"/>
      <c r="E2986" s="451"/>
      <c r="F2986" s="381"/>
      <c r="G2986" s="381"/>
      <c r="H2986" s="383"/>
      <c r="I2986" s="383"/>
      <c r="J2986" s="1246">
        <f>SUM(J2981:J2984)</f>
        <v>4</v>
      </c>
      <c r="K2986" s="381"/>
    </row>
    <row r="2988" spans="1:11" ht="27" customHeight="1"/>
    <row r="2989" spans="1:11" ht="26.25">
      <c r="A2989" s="1668" t="s">
        <v>4293</v>
      </c>
      <c r="B2989" s="1669"/>
      <c r="C2989" s="1669"/>
      <c r="D2989" s="1669"/>
      <c r="E2989" s="1669"/>
      <c r="F2989" s="1669"/>
      <c r="G2989" s="1669"/>
      <c r="H2989" s="1669"/>
      <c r="I2989" s="1669"/>
      <c r="J2989" s="1669"/>
      <c r="K2989" s="1670"/>
    </row>
    <row r="2990" spans="1:11" ht="30.75">
      <c r="A2990" s="375" t="s">
        <v>1941</v>
      </c>
      <c r="B2990" s="378" t="s">
        <v>1942</v>
      </c>
      <c r="C2990" s="378" t="s">
        <v>1943</v>
      </c>
      <c r="D2990" s="378" t="s">
        <v>1944</v>
      </c>
      <c r="E2990" s="452" t="s">
        <v>1945</v>
      </c>
      <c r="F2990" s="378" t="s">
        <v>1946</v>
      </c>
      <c r="G2990" s="378" t="s">
        <v>2590</v>
      </c>
      <c r="H2990" s="378" t="s">
        <v>1947</v>
      </c>
      <c r="I2990" s="378" t="s">
        <v>1948</v>
      </c>
      <c r="J2990" s="453" t="s">
        <v>1949</v>
      </c>
      <c r="K2990" s="378" t="s">
        <v>1950</v>
      </c>
    </row>
    <row r="2991" spans="1:11" ht="15.75">
      <c r="A2991" s="1068"/>
      <c r="B2991" s="1069"/>
      <c r="C2991" s="1070"/>
      <c r="D2991" s="1071"/>
      <c r="E2991" s="1072"/>
      <c r="F2991" s="1073"/>
      <c r="G2991" s="1073"/>
      <c r="H2991" s="1074"/>
      <c r="I2991" s="1074"/>
      <c r="J2991" s="1074"/>
      <c r="K2991" s="1073"/>
    </row>
    <row r="2992" spans="1:11" ht="15.75">
      <c r="A2992" s="1068"/>
      <c r="B2992" s="1069"/>
      <c r="C2992" s="1070"/>
      <c r="D2992" s="1071"/>
      <c r="E2992" s="1072"/>
      <c r="F2992" s="1073"/>
      <c r="G2992" s="1073"/>
      <c r="H2992" s="1074"/>
      <c r="I2992" s="1074"/>
      <c r="J2992" s="1074"/>
      <c r="K2992" s="1073"/>
    </row>
    <row r="2993" spans="1:11" ht="15.75">
      <c r="A2993" s="393">
        <v>44630</v>
      </c>
      <c r="B2993" s="653"/>
      <c r="C2993" s="381" t="s">
        <v>154</v>
      </c>
      <c r="D2993" s="381" t="s">
        <v>2945</v>
      </c>
      <c r="E2993" s="451">
        <v>1100000</v>
      </c>
      <c r="F2993" s="385" t="s">
        <v>4006</v>
      </c>
      <c r="G2993" s="385" t="s">
        <v>30</v>
      </c>
      <c r="H2993" s="387" t="s">
        <v>1955</v>
      </c>
      <c r="I2993" s="387" t="s">
        <v>1644</v>
      </c>
      <c r="J2993" s="387">
        <v>1</v>
      </c>
      <c r="K2993" s="385" t="s">
        <v>856</v>
      </c>
    </row>
    <row r="2994" spans="1:11" ht="15.75">
      <c r="A2994" s="443">
        <v>44722</v>
      </c>
      <c r="B2994" s="653"/>
      <c r="C2994" s="385" t="s">
        <v>566</v>
      </c>
      <c r="D2994" s="426" t="s">
        <v>2347</v>
      </c>
      <c r="E2994" s="462">
        <v>1600000</v>
      </c>
      <c r="F2994" s="385" t="s">
        <v>4006</v>
      </c>
      <c r="G2994" s="385" t="s">
        <v>30</v>
      </c>
      <c r="H2994" s="387" t="s">
        <v>1955</v>
      </c>
      <c r="I2994" s="387" t="s">
        <v>1644</v>
      </c>
      <c r="J2994" s="387">
        <v>1</v>
      </c>
      <c r="K2994" s="385" t="s">
        <v>856</v>
      </c>
    </row>
    <row r="2995" spans="1:11" ht="15.75">
      <c r="A2995" s="443">
        <v>44844</v>
      </c>
      <c r="B2995" s="653"/>
      <c r="C2995" s="385" t="s">
        <v>4294</v>
      </c>
      <c r="D2995" s="426" t="s">
        <v>2669</v>
      </c>
      <c r="E2995" s="462">
        <v>1600000</v>
      </c>
      <c r="F2995" s="385" t="s">
        <v>1021</v>
      </c>
      <c r="G2995" s="385" t="s">
        <v>30</v>
      </c>
      <c r="H2995" s="387" t="s">
        <v>1955</v>
      </c>
      <c r="I2995" s="387" t="s">
        <v>1644</v>
      </c>
      <c r="J2995" s="387">
        <v>1</v>
      </c>
      <c r="K2995" s="385" t="s">
        <v>856</v>
      </c>
    </row>
    <row r="2996" spans="1:11" ht="15.75">
      <c r="A2996" s="443">
        <v>44571</v>
      </c>
      <c r="B2996" s="577"/>
      <c r="C2996" s="385" t="s">
        <v>3025</v>
      </c>
      <c r="D2996" s="426" t="s">
        <v>75</v>
      </c>
      <c r="E2996" s="462">
        <v>2800000</v>
      </c>
      <c r="F2996" s="385" t="s">
        <v>1021</v>
      </c>
      <c r="G2996" s="385" t="s">
        <v>30</v>
      </c>
      <c r="H2996" s="387" t="s">
        <v>1955</v>
      </c>
      <c r="I2996" s="387" t="s">
        <v>1644</v>
      </c>
      <c r="J2996" s="387">
        <v>1</v>
      </c>
      <c r="K2996" s="385" t="s">
        <v>856</v>
      </c>
    </row>
    <row r="2997" spans="1:11" ht="15.75">
      <c r="A2997" s="384" t="s">
        <v>4226</v>
      </c>
      <c r="B2997" s="577"/>
      <c r="C2997" s="385" t="s">
        <v>4295</v>
      </c>
      <c r="D2997" s="385" t="s">
        <v>3107</v>
      </c>
      <c r="E2997" s="462">
        <v>1200000</v>
      </c>
      <c r="F2997" s="385" t="s">
        <v>4006</v>
      </c>
      <c r="G2997" s="385" t="s">
        <v>30</v>
      </c>
      <c r="H2997" s="387" t="s">
        <v>1955</v>
      </c>
      <c r="I2997" s="387" t="s">
        <v>1644</v>
      </c>
      <c r="J2997" s="387">
        <v>1</v>
      </c>
      <c r="K2997" s="385" t="s">
        <v>856</v>
      </c>
    </row>
    <row r="2998" spans="1:11" ht="15.75">
      <c r="A2998" s="384" t="s">
        <v>4296</v>
      </c>
      <c r="B2998" s="577"/>
      <c r="C2998" s="385" t="s">
        <v>1349</v>
      </c>
      <c r="D2998" s="385" t="s">
        <v>2167</v>
      </c>
      <c r="E2998" s="462">
        <v>1700000</v>
      </c>
      <c r="F2998" s="385" t="s">
        <v>4006</v>
      </c>
      <c r="G2998" s="385" t="s">
        <v>30</v>
      </c>
      <c r="H2998" s="387" t="s">
        <v>1955</v>
      </c>
      <c r="I2998" s="387" t="s">
        <v>1644</v>
      </c>
      <c r="J2998" s="387">
        <v>1</v>
      </c>
      <c r="K2998" s="385" t="s">
        <v>856</v>
      </c>
    </row>
    <row r="2999" spans="1:11" ht="15.75">
      <c r="A2999" s="384" t="s">
        <v>4296</v>
      </c>
      <c r="B2999" s="577"/>
      <c r="C2999" s="385" t="s">
        <v>567</v>
      </c>
      <c r="D2999" s="385" t="s">
        <v>2669</v>
      </c>
      <c r="E2999" s="462">
        <v>1500000</v>
      </c>
      <c r="F2999" s="385" t="s">
        <v>4006</v>
      </c>
      <c r="G2999" s="385" t="s">
        <v>30</v>
      </c>
      <c r="H2999" s="387" t="s">
        <v>1955</v>
      </c>
      <c r="I2999" s="387" t="s">
        <v>1644</v>
      </c>
      <c r="J2999" s="387">
        <v>1</v>
      </c>
      <c r="K2999" s="385" t="s">
        <v>856</v>
      </c>
    </row>
    <row r="3000" spans="1:11" ht="15.75">
      <c r="A3000" s="384" t="s">
        <v>4297</v>
      </c>
      <c r="B3000" s="577"/>
      <c r="C3000" s="385" t="s">
        <v>1873</v>
      </c>
      <c r="D3000" s="385" t="s">
        <v>2711</v>
      </c>
      <c r="E3000" s="462">
        <v>1600000</v>
      </c>
      <c r="F3000" s="385" t="s">
        <v>4006</v>
      </c>
      <c r="G3000" s="385" t="s">
        <v>30</v>
      </c>
      <c r="H3000" s="387" t="s">
        <v>2161</v>
      </c>
      <c r="I3000" s="387" t="s">
        <v>1644</v>
      </c>
      <c r="J3000" s="387">
        <v>1</v>
      </c>
      <c r="K3000" s="385" t="s">
        <v>856</v>
      </c>
    </row>
    <row r="3001" spans="1:11" ht="15.75">
      <c r="A3001" s="393">
        <v>44630</v>
      </c>
      <c r="B3001" s="1400"/>
      <c r="C3001" s="381" t="s">
        <v>1371</v>
      </c>
      <c r="D3001" s="381" t="s">
        <v>2669</v>
      </c>
      <c r="E3001" s="451">
        <v>1400000</v>
      </c>
      <c r="F3001" s="381" t="s">
        <v>4006</v>
      </c>
      <c r="G3001" s="381" t="s">
        <v>30</v>
      </c>
      <c r="H3001" s="383" t="s">
        <v>2161</v>
      </c>
      <c r="I3001" s="383" t="s">
        <v>1644</v>
      </c>
      <c r="J3001" s="383">
        <v>1</v>
      </c>
      <c r="K3001" s="381" t="s">
        <v>856</v>
      </c>
    </row>
    <row r="3005" spans="1:11">
      <c r="A3005" s="1665" t="s">
        <v>4298</v>
      </c>
      <c r="B3005" s="1665"/>
      <c r="C3005" s="1665"/>
      <c r="D3005" s="1665"/>
      <c r="E3005" s="1665"/>
      <c r="F3005" s="1665"/>
      <c r="G3005" s="1665"/>
      <c r="H3005" s="1665"/>
      <c r="I3005" s="1665"/>
      <c r="J3005" s="1665"/>
      <c r="K3005" s="1665"/>
    </row>
    <row r="3006" spans="1:11">
      <c r="A3006" s="1666"/>
      <c r="B3006" s="1666"/>
      <c r="C3006" s="1666"/>
      <c r="D3006" s="1666"/>
      <c r="E3006" s="1666"/>
      <c r="F3006" s="1666"/>
      <c r="G3006" s="1666"/>
      <c r="H3006" s="1666"/>
      <c r="I3006" s="1666"/>
      <c r="J3006" s="1666"/>
      <c r="K3006" s="1666"/>
    </row>
    <row r="3008" spans="1:11" ht="15.75">
      <c r="A3008" s="394"/>
      <c r="B3008" s="395"/>
      <c r="C3008" s="395"/>
      <c r="D3008" s="395"/>
      <c r="E3008" s="706"/>
      <c r="F3008" s="707"/>
      <c r="G3008" s="707"/>
      <c r="H3008" s="397"/>
      <c r="I3008" s="397"/>
      <c r="J3008" s="397"/>
      <c r="K3008" s="395"/>
    </row>
    <row r="3009" spans="1:11" ht="26.25">
      <c r="A3009" s="1667" t="s">
        <v>4299</v>
      </c>
      <c r="B3009" s="1667"/>
      <c r="C3009" s="1667"/>
      <c r="D3009" s="1667"/>
      <c r="E3009" s="1667"/>
      <c r="F3009" s="1667"/>
      <c r="G3009" s="1667"/>
      <c r="H3009" s="1667"/>
      <c r="I3009" s="1667"/>
      <c r="J3009" s="1667"/>
      <c r="K3009" s="1667"/>
    </row>
    <row r="3010" spans="1:11" ht="30.75">
      <c r="A3010" s="375" t="s">
        <v>1941</v>
      </c>
      <c r="B3010" s="378" t="s">
        <v>1942</v>
      </c>
      <c r="C3010" s="378" t="s">
        <v>1943</v>
      </c>
      <c r="D3010" s="378" t="s">
        <v>1944</v>
      </c>
      <c r="E3010" s="452" t="s">
        <v>1945</v>
      </c>
      <c r="F3010" s="378" t="s">
        <v>1946</v>
      </c>
      <c r="G3010" s="378" t="s">
        <v>2590</v>
      </c>
      <c r="H3010" s="378" t="s">
        <v>1947</v>
      </c>
      <c r="I3010" s="378" t="s">
        <v>1948</v>
      </c>
      <c r="J3010" s="453" t="s">
        <v>1949</v>
      </c>
      <c r="K3010" s="378" t="s">
        <v>1950</v>
      </c>
    </row>
    <row r="3011" spans="1:11" ht="15.75">
      <c r="A3011" s="611" t="s">
        <v>4300</v>
      </c>
      <c r="B3011" s="455" t="s">
        <v>2182</v>
      </c>
      <c r="C3011" s="578" t="s">
        <v>4301</v>
      </c>
      <c r="D3011" s="472" t="s">
        <v>3493</v>
      </c>
      <c r="E3011" s="475">
        <v>280000000</v>
      </c>
      <c r="F3011" s="472" t="s">
        <v>2292</v>
      </c>
      <c r="G3011" s="472" t="s">
        <v>2593</v>
      </c>
      <c r="H3011" s="473" t="s">
        <v>1955</v>
      </c>
      <c r="I3011" s="473" t="s">
        <v>1955</v>
      </c>
      <c r="J3011" s="473">
        <v>1</v>
      </c>
      <c r="K3011" s="472" t="s">
        <v>2629</v>
      </c>
    </row>
    <row r="3012" spans="1:11" ht="15.75">
      <c r="A3012" s="937">
        <v>44631</v>
      </c>
      <c r="B3012" s="472" t="s">
        <v>2182</v>
      </c>
      <c r="C3012" s="578" t="s">
        <v>4302</v>
      </c>
      <c r="D3012" s="472" t="s">
        <v>2576</v>
      </c>
      <c r="E3012" s="475">
        <v>125000000</v>
      </c>
      <c r="F3012" s="472" t="s">
        <v>1968</v>
      </c>
      <c r="G3012" s="472" t="s">
        <v>30</v>
      </c>
      <c r="H3012" s="473" t="s">
        <v>2161</v>
      </c>
      <c r="I3012" s="473" t="s">
        <v>1644</v>
      </c>
      <c r="J3012" s="473">
        <v>1</v>
      </c>
      <c r="K3012" s="472" t="s">
        <v>2629</v>
      </c>
    </row>
    <row r="3013" spans="1:11" ht="15.75">
      <c r="A3013" s="937" t="s">
        <v>4303</v>
      </c>
      <c r="B3013" s="472" t="s">
        <v>2182</v>
      </c>
      <c r="C3013" s="578" t="s">
        <v>4304</v>
      </c>
      <c r="D3013" s="472" t="s">
        <v>3493</v>
      </c>
      <c r="E3013" s="475">
        <v>280000</v>
      </c>
      <c r="F3013" s="472" t="s">
        <v>2292</v>
      </c>
      <c r="G3013" s="472" t="s">
        <v>2593</v>
      </c>
      <c r="H3013" s="473" t="s">
        <v>2161</v>
      </c>
      <c r="I3013" s="473" t="s">
        <v>1644</v>
      </c>
      <c r="J3013" s="473">
        <v>1</v>
      </c>
      <c r="K3013" s="472" t="s">
        <v>2629</v>
      </c>
    </row>
    <row r="3014" spans="1:11" ht="15.75">
      <c r="A3014" s="744" t="s">
        <v>4300</v>
      </c>
      <c r="B3014" s="653" t="s">
        <v>2182</v>
      </c>
      <c r="C3014" s="426" t="s">
        <v>1393</v>
      </c>
      <c r="D3014" s="385" t="s">
        <v>2347</v>
      </c>
      <c r="E3014" s="462">
        <v>1650000</v>
      </c>
      <c r="F3014" s="385" t="s">
        <v>2292</v>
      </c>
      <c r="G3014" s="385" t="s">
        <v>2605</v>
      </c>
      <c r="H3014" s="387" t="s">
        <v>1955</v>
      </c>
      <c r="I3014" s="387" t="s">
        <v>1644</v>
      </c>
      <c r="J3014" s="387">
        <v>1</v>
      </c>
      <c r="K3014" s="411" t="s">
        <v>1245</v>
      </c>
    </row>
    <row r="3015" spans="1:11" ht="15.75">
      <c r="A3015" s="393" t="s">
        <v>4300</v>
      </c>
      <c r="B3015" s="406" t="s">
        <v>2182</v>
      </c>
      <c r="C3015" s="381" t="s">
        <v>1921</v>
      </c>
      <c r="D3015" s="381" t="s">
        <v>2711</v>
      </c>
      <c r="E3015" s="451">
        <v>1600000</v>
      </c>
      <c r="F3015" s="381" t="s">
        <v>2292</v>
      </c>
      <c r="G3015" s="381" t="s">
        <v>30</v>
      </c>
      <c r="H3015" s="383" t="s">
        <v>1955</v>
      </c>
      <c r="I3015" s="383" t="s">
        <v>1644</v>
      </c>
      <c r="J3015" s="383">
        <v>1</v>
      </c>
      <c r="K3015" s="381" t="s">
        <v>3681</v>
      </c>
    </row>
    <row r="3016" spans="1:11" ht="15.75">
      <c r="A3016" s="579" t="s">
        <v>4300</v>
      </c>
      <c r="B3016" s="381" t="s">
        <v>2182</v>
      </c>
      <c r="C3016" s="381" t="s">
        <v>1388</v>
      </c>
      <c r="D3016" s="381" t="s">
        <v>2669</v>
      </c>
      <c r="E3016" s="451">
        <v>1700000</v>
      </c>
      <c r="F3016" s="381" t="s">
        <v>2292</v>
      </c>
      <c r="G3016" s="381" t="s">
        <v>30</v>
      </c>
      <c r="H3016" s="383" t="s">
        <v>1955</v>
      </c>
      <c r="I3016" s="383" t="s">
        <v>1644</v>
      </c>
      <c r="J3016" s="383">
        <v>1</v>
      </c>
      <c r="K3016" s="381" t="s">
        <v>1171</v>
      </c>
    </row>
    <row r="3017" spans="1:11" ht="15.75">
      <c r="A3017" s="579" t="s">
        <v>4305</v>
      </c>
      <c r="B3017" s="381" t="s">
        <v>2182</v>
      </c>
      <c r="C3017" s="381" t="s">
        <v>4306</v>
      </c>
      <c r="D3017" s="381" t="s">
        <v>2661</v>
      </c>
      <c r="E3017" s="451">
        <v>1200000</v>
      </c>
      <c r="F3017" s="381" t="s">
        <v>2292</v>
      </c>
      <c r="G3017" s="381" t="s">
        <v>2593</v>
      </c>
      <c r="H3017" s="383" t="s">
        <v>1955</v>
      </c>
      <c r="I3017" s="383" t="s">
        <v>1644</v>
      </c>
      <c r="J3017" s="383">
        <v>1</v>
      </c>
      <c r="K3017" s="381" t="s">
        <v>1245</v>
      </c>
    </row>
    <row r="3018" spans="1:11" ht="15.75">
      <c r="A3018" s="579" t="s">
        <v>4307</v>
      </c>
      <c r="B3018" s="381" t="s">
        <v>2182</v>
      </c>
      <c r="C3018" s="381" t="s">
        <v>1423</v>
      </c>
      <c r="D3018" s="381" t="s">
        <v>2659</v>
      </c>
      <c r="E3018" s="451">
        <v>1500000</v>
      </c>
      <c r="F3018" s="381" t="s">
        <v>2292</v>
      </c>
      <c r="G3018" s="381" t="s">
        <v>2605</v>
      </c>
      <c r="H3018" s="383" t="s">
        <v>2161</v>
      </c>
      <c r="I3018" s="383" t="s">
        <v>1644</v>
      </c>
      <c r="J3018" s="383">
        <v>1</v>
      </c>
      <c r="K3018" s="381" t="s">
        <v>3681</v>
      </c>
    </row>
    <row r="3019" spans="1:11" ht="15.75">
      <c r="A3019" s="579" t="s">
        <v>4303</v>
      </c>
      <c r="B3019" s="381" t="s">
        <v>2182</v>
      </c>
      <c r="C3019" s="381" t="s">
        <v>4308</v>
      </c>
      <c r="D3019" s="381" t="s">
        <v>4309</v>
      </c>
      <c r="E3019" s="451">
        <v>1750000</v>
      </c>
      <c r="F3019" s="381" t="s">
        <v>2593</v>
      </c>
      <c r="G3019" s="381" t="s">
        <v>1968</v>
      </c>
      <c r="H3019" s="383" t="s">
        <v>2161</v>
      </c>
      <c r="I3019" s="383" t="s">
        <v>1644</v>
      </c>
      <c r="J3019" s="383">
        <v>1</v>
      </c>
      <c r="K3019" s="381" t="s">
        <v>1171</v>
      </c>
    </row>
    <row r="3020" spans="1:11" ht="15.75">
      <c r="A3020" s="579" t="s">
        <v>4303</v>
      </c>
      <c r="B3020" s="381" t="s">
        <v>2182</v>
      </c>
      <c r="C3020" s="381" t="s">
        <v>1394</v>
      </c>
      <c r="D3020" s="381" t="s">
        <v>2659</v>
      </c>
      <c r="E3020" s="451">
        <v>1450000</v>
      </c>
      <c r="F3020" s="381" t="s">
        <v>30</v>
      </c>
      <c r="G3020" s="381" t="s">
        <v>30</v>
      </c>
      <c r="H3020" s="383" t="s">
        <v>2161</v>
      </c>
      <c r="I3020" s="383" t="s">
        <v>1644</v>
      </c>
      <c r="J3020" s="383">
        <v>1</v>
      </c>
      <c r="K3020" s="381" t="s">
        <v>3681</v>
      </c>
    </row>
    <row r="3021" spans="1:11" ht="15.75">
      <c r="A3021" s="579" t="s">
        <v>4310</v>
      </c>
      <c r="B3021" s="381" t="s">
        <v>2182</v>
      </c>
      <c r="C3021" s="381" t="s">
        <v>4311</v>
      </c>
      <c r="D3021" s="381" t="s">
        <v>2661</v>
      </c>
      <c r="E3021" s="451">
        <v>1000000</v>
      </c>
      <c r="F3021" s="381" t="s">
        <v>2593</v>
      </c>
      <c r="G3021" s="381" t="s">
        <v>2292</v>
      </c>
      <c r="H3021" s="383" t="s">
        <v>2161</v>
      </c>
      <c r="I3021" s="383" t="s">
        <v>1644</v>
      </c>
      <c r="J3021" s="383">
        <v>1</v>
      </c>
      <c r="K3021" s="381" t="s">
        <v>1245</v>
      </c>
    </row>
    <row r="3022" spans="1:11" ht="15.75">
      <c r="A3022" s="456"/>
      <c r="B3022" s="457"/>
      <c r="C3022" s="457"/>
      <c r="D3022" s="457"/>
      <c r="E3022" s="476"/>
      <c r="F3022" s="457"/>
      <c r="G3022" s="457"/>
      <c r="H3022" s="153"/>
      <c r="I3022" s="153"/>
      <c r="J3022" s="493">
        <f>SUM(J3011:J3021)</f>
        <v>11</v>
      </c>
      <c r="K3022" s="457"/>
    </row>
    <row r="3023" spans="1:11" ht="15.75">
      <c r="A3023" s="394"/>
      <c r="B3023" s="395"/>
      <c r="C3023" s="395"/>
      <c r="D3023" s="395"/>
      <c r="E3023" s="396"/>
      <c r="F3023" s="397"/>
      <c r="G3023" s="397"/>
      <c r="H3023" s="395"/>
      <c r="I3023" s="395"/>
      <c r="J3023" s="395"/>
      <c r="K3023" s="395"/>
    </row>
    <row r="3024" spans="1:11" ht="15.75">
      <c r="A3024" s="394"/>
      <c r="B3024" s="395"/>
      <c r="C3024" s="395"/>
      <c r="D3024" s="395"/>
      <c r="E3024" s="396"/>
      <c r="F3024" s="397"/>
      <c r="G3024" s="397"/>
      <c r="H3024" s="395"/>
      <c r="I3024" s="395"/>
      <c r="J3024" s="395"/>
      <c r="K3024" s="395"/>
    </row>
    <row r="3026" spans="1:11" ht="26.25">
      <c r="A3026" s="1668" t="s">
        <v>4312</v>
      </c>
      <c r="B3026" s="1669"/>
      <c r="C3026" s="1669"/>
      <c r="D3026" s="1669"/>
      <c r="E3026" s="1669"/>
      <c r="F3026" s="1669"/>
      <c r="G3026" s="1669"/>
      <c r="H3026" s="1669"/>
      <c r="I3026" s="1669"/>
      <c r="J3026" s="1669"/>
      <c r="K3026" s="1670"/>
    </row>
    <row r="3027" spans="1:11" ht="30.75">
      <c r="A3027" s="378" t="s">
        <v>1941</v>
      </c>
      <c r="B3027" s="378" t="s">
        <v>1942</v>
      </c>
      <c r="C3027" s="378" t="s">
        <v>1943</v>
      </c>
      <c r="D3027" s="378" t="s">
        <v>1944</v>
      </c>
      <c r="E3027" s="452" t="s">
        <v>1945</v>
      </c>
      <c r="F3027" s="378" t="s">
        <v>1946</v>
      </c>
      <c r="G3027" s="378" t="s">
        <v>2590</v>
      </c>
      <c r="H3027" s="378" t="s">
        <v>1947</v>
      </c>
      <c r="I3027" s="378" t="s">
        <v>1948</v>
      </c>
      <c r="J3027" s="453" t="s">
        <v>1949</v>
      </c>
      <c r="K3027" s="378" t="s">
        <v>1950</v>
      </c>
    </row>
    <row r="3028" spans="1:11" ht="15.75">
      <c r="A3028" s="922"/>
      <c r="B3028" s="618"/>
      <c r="C3028" s="472"/>
      <c r="D3028" s="472"/>
      <c r="E3028" s="475"/>
      <c r="F3028" s="472"/>
      <c r="G3028" s="472"/>
      <c r="H3028" s="473"/>
      <c r="I3028" s="473"/>
      <c r="J3028" s="473"/>
      <c r="K3028" s="472"/>
    </row>
    <row r="3029" spans="1:11" ht="15.75">
      <c r="A3029" s="922"/>
      <c r="B3029" s="618"/>
      <c r="C3029" s="472"/>
      <c r="D3029" s="472"/>
      <c r="E3029" s="475"/>
      <c r="F3029" s="472"/>
      <c r="G3029" s="472"/>
      <c r="H3029" s="473"/>
      <c r="I3029" s="473"/>
      <c r="J3029" s="473"/>
      <c r="K3029" s="472"/>
    </row>
    <row r="3030" spans="1:11" ht="15.75">
      <c r="A3030" s="611"/>
      <c r="B3030" s="472"/>
      <c r="C3030" s="472"/>
      <c r="D3030" s="472"/>
      <c r="E3030" s="475"/>
      <c r="F3030" s="472"/>
      <c r="G3030" s="472"/>
      <c r="H3030" s="473"/>
      <c r="I3030" s="473"/>
      <c r="J3030" s="473"/>
      <c r="K3030" s="472"/>
    </row>
    <row r="3031" spans="1:11" ht="15.75">
      <c r="A3031" s="384" t="s">
        <v>4305</v>
      </c>
      <c r="B3031" s="577" t="s">
        <v>2182</v>
      </c>
      <c r="C3031" s="426" t="s">
        <v>1403</v>
      </c>
      <c r="D3031" s="385" t="s">
        <v>2711</v>
      </c>
      <c r="E3031" s="462">
        <v>1200000</v>
      </c>
      <c r="F3031" s="385" t="s">
        <v>2290</v>
      </c>
      <c r="G3031" s="385" t="s">
        <v>30</v>
      </c>
      <c r="H3031" s="387" t="s">
        <v>1955</v>
      </c>
      <c r="I3031" s="387" t="s">
        <v>1644</v>
      </c>
      <c r="J3031" s="387">
        <v>1</v>
      </c>
      <c r="K3031" s="385" t="s">
        <v>3681</v>
      </c>
    </row>
    <row r="3032" spans="1:11" ht="15.75">
      <c r="A3032" s="384" t="s">
        <v>4305</v>
      </c>
      <c r="B3032" s="577" t="s">
        <v>2060</v>
      </c>
      <c r="C3032" s="426" t="s">
        <v>4313</v>
      </c>
      <c r="D3032" s="385" t="s">
        <v>75</v>
      </c>
      <c r="E3032" s="462">
        <v>2500000</v>
      </c>
      <c r="F3032" s="385" t="s">
        <v>1968</v>
      </c>
      <c r="G3032" s="385" t="s">
        <v>30</v>
      </c>
      <c r="H3032" s="387" t="s">
        <v>2161</v>
      </c>
      <c r="I3032" s="387" t="s">
        <v>1644</v>
      </c>
      <c r="J3032" s="387">
        <v>1</v>
      </c>
      <c r="K3032" s="385" t="s">
        <v>1171</v>
      </c>
    </row>
    <row r="3033" spans="1:11" ht="15.75">
      <c r="A3033" s="384" t="s">
        <v>4305</v>
      </c>
      <c r="B3033" s="577" t="s">
        <v>2182</v>
      </c>
      <c r="C3033" s="381" t="s">
        <v>1401</v>
      </c>
      <c r="D3033" s="385" t="s">
        <v>75</v>
      </c>
      <c r="E3033" s="462">
        <v>1700000</v>
      </c>
      <c r="F3033" s="385" t="s">
        <v>2292</v>
      </c>
      <c r="G3033" s="385" t="s">
        <v>2593</v>
      </c>
      <c r="H3033" s="387" t="s">
        <v>2161</v>
      </c>
      <c r="I3033" s="387" t="s">
        <v>1644</v>
      </c>
      <c r="J3033" s="387">
        <v>1</v>
      </c>
      <c r="K3033" s="385" t="s">
        <v>1245</v>
      </c>
    </row>
    <row r="3034" spans="1:11" ht="15.75">
      <c r="A3034" s="384">
        <v>44631</v>
      </c>
      <c r="B3034" s="577" t="s">
        <v>2182</v>
      </c>
      <c r="C3034" s="426" t="s">
        <v>4314</v>
      </c>
      <c r="D3034" s="385" t="s">
        <v>2711</v>
      </c>
      <c r="E3034" s="462">
        <v>1900000</v>
      </c>
      <c r="F3034" s="385" t="s">
        <v>2292</v>
      </c>
      <c r="G3034" s="385" t="s">
        <v>2593</v>
      </c>
      <c r="H3034" s="387" t="s">
        <v>2161</v>
      </c>
      <c r="I3034" s="387" t="s">
        <v>1644</v>
      </c>
      <c r="J3034" s="387">
        <v>1</v>
      </c>
      <c r="K3034" s="385" t="s">
        <v>3681</v>
      </c>
    </row>
    <row r="3035" spans="1:11" ht="15.75">
      <c r="A3035" s="412">
        <v>44631</v>
      </c>
      <c r="B3035" s="381" t="s">
        <v>4180</v>
      </c>
      <c r="C3035" s="426" t="s">
        <v>4315</v>
      </c>
      <c r="D3035" s="385" t="s">
        <v>2326</v>
      </c>
      <c r="E3035" s="462">
        <v>8500000</v>
      </c>
      <c r="F3035" s="385" t="s">
        <v>1968</v>
      </c>
      <c r="G3035" s="385" t="s">
        <v>2593</v>
      </c>
      <c r="H3035" s="387" t="s">
        <v>2161</v>
      </c>
      <c r="I3035" s="387" t="s">
        <v>1644</v>
      </c>
      <c r="J3035" s="387">
        <v>1</v>
      </c>
      <c r="K3035" s="385" t="s">
        <v>1171</v>
      </c>
    </row>
    <row r="3036" spans="1:11" ht="15.75">
      <c r="A3036" s="412">
        <v>44906</v>
      </c>
      <c r="B3036" s="575" t="s">
        <v>2182</v>
      </c>
      <c r="C3036" s="381" t="s">
        <v>4316</v>
      </c>
      <c r="D3036" s="426" t="s">
        <v>2326</v>
      </c>
      <c r="E3036" s="462">
        <v>1350000</v>
      </c>
      <c r="F3036" s="385" t="s">
        <v>2292</v>
      </c>
      <c r="G3036" s="385" t="s">
        <v>2593</v>
      </c>
      <c r="H3036" s="387" t="s">
        <v>2161</v>
      </c>
      <c r="I3036" s="387" t="s">
        <v>1644</v>
      </c>
      <c r="J3036" s="387">
        <v>1</v>
      </c>
      <c r="K3036" s="385" t="s">
        <v>1171</v>
      </c>
    </row>
    <row r="3037" spans="1:11" ht="15.75">
      <c r="A3037" s="412" t="s">
        <v>4303</v>
      </c>
      <c r="B3037" s="575" t="s">
        <v>2182</v>
      </c>
      <c r="C3037" s="381" t="s">
        <v>4317</v>
      </c>
      <c r="D3037" s="426" t="s">
        <v>75</v>
      </c>
      <c r="E3037" s="462">
        <v>3300000</v>
      </c>
      <c r="F3037" s="385" t="s">
        <v>2292</v>
      </c>
      <c r="G3037" s="385" t="s">
        <v>2593</v>
      </c>
      <c r="H3037" s="387" t="s">
        <v>2161</v>
      </c>
      <c r="I3037" s="387" t="s">
        <v>1644</v>
      </c>
      <c r="J3037" s="387">
        <v>1</v>
      </c>
      <c r="K3037" s="385" t="s">
        <v>3681</v>
      </c>
    </row>
    <row r="3038" spans="1:11" ht="15.75">
      <c r="A3038" s="412" t="s">
        <v>3207</v>
      </c>
      <c r="B3038" s="575" t="s">
        <v>2182</v>
      </c>
      <c r="C3038" s="381" t="s">
        <v>4318</v>
      </c>
      <c r="D3038" s="426" t="s">
        <v>2711</v>
      </c>
      <c r="E3038" s="462">
        <v>1850000</v>
      </c>
      <c r="F3038" s="385" t="s">
        <v>2292</v>
      </c>
      <c r="G3038" s="385" t="s">
        <v>2593</v>
      </c>
      <c r="H3038" s="387" t="s">
        <v>2161</v>
      </c>
      <c r="I3038" s="387" t="s">
        <v>1644</v>
      </c>
      <c r="J3038" s="387">
        <v>1</v>
      </c>
      <c r="K3038" s="385" t="s">
        <v>3681</v>
      </c>
    </row>
    <row r="3039" spans="1:11" ht="15.75">
      <c r="A3039" s="928" t="s">
        <v>4310</v>
      </c>
      <c r="B3039" s="1442" t="s">
        <v>2182</v>
      </c>
      <c r="C3039" s="381" t="s">
        <v>4319</v>
      </c>
      <c r="D3039" s="743" t="s">
        <v>2326</v>
      </c>
      <c r="E3039" s="644">
        <v>1200000</v>
      </c>
      <c r="F3039" s="633" t="s">
        <v>2292</v>
      </c>
      <c r="G3039" s="633" t="s">
        <v>30</v>
      </c>
      <c r="H3039" s="635" t="s">
        <v>2161</v>
      </c>
      <c r="I3039" s="635" t="s">
        <v>1644</v>
      </c>
      <c r="J3039" s="387">
        <v>1</v>
      </c>
      <c r="K3039" s="385" t="s">
        <v>1171</v>
      </c>
    </row>
    <row r="3040" spans="1:11" ht="15.75">
      <c r="A3040" s="419"/>
      <c r="B3040" s="420"/>
      <c r="C3040" s="457"/>
      <c r="D3040" s="457"/>
      <c r="E3040" s="458"/>
      <c r="F3040" s="457"/>
      <c r="G3040" s="457"/>
      <c r="H3040" s="457"/>
      <c r="I3040" s="457"/>
      <c r="J3040" s="493">
        <f>SUM(J3028:J3039)</f>
        <v>9</v>
      </c>
      <c r="K3040" s="457"/>
    </row>
    <row r="3043" spans="1:11" ht="26.25">
      <c r="A3043" s="1668" t="s">
        <v>4320</v>
      </c>
      <c r="B3043" s="1669"/>
      <c r="C3043" s="1669"/>
      <c r="D3043" s="1669"/>
      <c r="E3043" s="1669"/>
      <c r="F3043" s="1669"/>
      <c r="G3043" s="1669"/>
      <c r="H3043" s="1669"/>
      <c r="I3043" s="1669"/>
      <c r="J3043" s="1669"/>
      <c r="K3043" s="1670"/>
    </row>
    <row r="3044" spans="1:11" ht="30.75">
      <c r="A3044" s="375" t="s">
        <v>1941</v>
      </c>
      <c r="B3044" s="378" t="s">
        <v>1942</v>
      </c>
      <c r="C3044" s="378" t="s">
        <v>1943</v>
      </c>
      <c r="D3044" s="378" t="s">
        <v>1944</v>
      </c>
      <c r="E3044" s="452" t="s">
        <v>1945</v>
      </c>
      <c r="F3044" s="378" t="s">
        <v>1946</v>
      </c>
      <c r="G3044" s="378" t="s">
        <v>2590</v>
      </c>
      <c r="H3044" s="378" t="s">
        <v>1947</v>
      </c>
      <c r="I3044" s="378" t="s">
        <v>1948</v>
      </c>
      <c r="J3044" s="453" t="s">
        <v>1949</v>
      </c>
      <c r="K3044" s="378" t="s">
        <v>1950</v>
      </c>
    </row>
    <row r="3045" spans="1:11" ht="15.75">
      <c r="A3045" s="1068"/>
      <c r="B3045" s="1069"/>
      <c r="C3045" s="1070"/>
      <c r="D3045" s="1071"/>
      <c r="E3045" s="1072"/>
      <c r="F3045" s="1073"/>
      <c r="G3045" s="1073"/>
      <c r="H3045" s="1074"/>
      <c r="I3045" s="1074"/>
      <c r="J3045" s="1074"/>
      <c r="K3045" s="1073"/>
    </row>
    <row r="3046" spans="1:11" ht="15.75">
      <c r="A3046" s="1068"/>
      <c r="B3046" s="1069"/>
      <c r="C3046" s="1070"/>
      <c r="D3046" s="1071"/>
      <c r="E3046" s="1072"/>
      <c r="F3046" s="1073"/>
      <c r="G3046" s="1073"/>
      <c r="H3046" s="1074"/>
      <c r="I3046" s="1074"/>
      <c r="J3046" s="1074"/>
      <c r="K3046" s="1073"/>
    </row>
    <row r="3047" spans="1:11" ht="15.75">
      <c r="A3047" s="1068"/>
      <c r="B3047" s="1069"/>
      <c r="C3047" s="1070"/>
      <c r="D3047" s="1071"/>
      <c r="E3047" s="1072"/>
      <c r="F3047" s="1073"/>
      <c r="G3047" s="1073"/>
      <c r="H3047" s="1074"/>
      <c r="I3047" s="1074"/>
      <c r="J3047" s="1074"/>
      <c r="K3047" s="1073"/>
    </row>
    <row r="3048" spans="1:11" ht="15.75">
      <c r="A3048" s="443" t="s">
        <v>4305</v>
      </c>
      <c r="B3048" s="653" t="s">
        <v>2182</v>
      </c>
      <c r="C3048" s="381" t="s">
        <v>4321</v>
      </c>
      <c r="D3048" s="426" t="s">
        <v>2661</v>
      </c>
      <c r="E3048" s="462">
        <v>1200000</v>
      </c>
      <c r="F3048" s="385" t="s">
        <v>2292</v>
      </c>
      <c r="G3048" s="385" t="s">
        <v>2605</v>
      </c>
      <c r="H3048" s="387" t="s">
        <v>2161</v>
      </c>
      <c r="I3048" s="387" t="s">
        <v>1644</v>
      </c>
      <c r="J3048" s="387">
        <v>1</v>
      </c>
      <c r="K3048" s="385" t="s">
        <v>1245</v>
      </c>
    </row>
    <row r="3049" spans="1:11" ht="15.75">
      <c r="A3049" s="443">
        <v>44784</v>
      </c>
      <c r="B3049" s="653" t="s">
        <v>2182</v>
      </c>
      <c r="C3049" s="381" t="s">
        <v>4322</v>
      </c>
      <c r="D3049" s="426" t="s">
        <v>2326</v>
      </c>
      <c r="E3049" s="462">
        <v>1200000</v>
      </c>
      <c r="F3049" s="385" t="s">
        <v>2292</v>
      </c>
      <c r="G3049" s="385" t="s">
        <v>2605</v>
      </c>
      <c r="H3049" s="387" t="s">
        <v>2161</v>
      </c>
      <c r="I3049" s="387" t="s">
        <v>1644</v>
      </c>
      <c r="J3049" s="387">
        <v>1</v>
      </c>
      <c r="K3049" s="385" t="s">
        <v>1171</v>
      </c>
    </row>
    <row r="3050" spans="1:11" ht="15.75">
      <c r="A3050" s="443">
        <v>44784</v>
      </c>
      <c r="B3050" s="653" t="s">
        <v>2182</v>
      </c>
      <c r="C3050" s="381" t="s">
        <v>4323</v>
      </c>
      <c r="D3050" s="426" t="s">
        <v>2661</v>
      </c>
      <c r="E3050" s="462">
        <v>1150000</v>
      </c>
      <c r="F3050" s="385" t="s">
        <v>2292</v>
      </c>
      <c r="G3050" s="385" t="s">
        <v>30</v>
      </c>
      <c r="H3050" s="387" t="s">
        <v>2161</v>
      </c>
      <c r="I3050" s="387" t="s">
        <v>1644</v>
      </c>
      <c r="J3050" s="387">
        <v>1</v>
      </c>
      <c r="K3050" s="385" t="s">
        <v>1245</v>
      </c>
    </row>
    <row r="3051" spans="1:11" ht="15.75">
      <c r="A3051" s="443">
        <v>44815</v>
      </c>
      <c r="B3051" s="653" t="s">
        <v>2182</v>
      </c>
      <c r="C3051" s="381" t="s">
        <v>4324</v>
      </c>
      <c r="D3051" s="426" t="s">
        <v>75</v>
      </c>
      <c r="E3051" s="462">
        <v>2200000</v>
      </c>
      <c r="F3051" s="385" t="s">
        <v>2292</v>
      </c>
      <c r="G3051" s="385" t="s">
        <v>2593</v>
      </c>
      <c r="H3051" s="387" t="s">
        <v>2161</v>
      </c>
      <c r="I3051" s="387" t="s">
        <v>1644</v>
      </c>
      <c r="J3051" s="387">
        <v>1</v>
      </c>
      <c r="K3051" s="385" t="s">
        <v>3681</v>
      </c>
    </row>
    <row r="3052" spans="1:11" ht="15.75">
      <c r="A3052" s="443">
        <v>44815</v>
      </c>
      <c r="B3052" s="653" t="s">
        <v>2182</v>
      </c>
      <c r="C3052" s="381" t="s">
        <v>4325</v>
      </c>
      <c r="D3052" s="426" t="s">
        <v>75</v>
      </c>
      <c r="E3052" s="462">
        <v>1600000</v>
      </c>
      <c r="F3052" s="385" t="s">
        <v>2292</v>
      </c>
      <c r="G3052" s="385" t="s">
        <v>2605</v>
      </c>
      <c r="H3052" s="387" t="s">
        <v>2161</v>
      </c>
      <c r="I3052" s="387" t="s">
        <v>1644</v>
      </c>
      <c r="J3052" s="387">
        <v>1</v>
      </c>
      <c r="K3052" s="385" t="s">
        <v>1171</v>
      </c>
    </row>
    <row r="3053" spans="1:11" ht="15.75">
      <c r="A3053" s="393">
        <v>44815</v>
      </c>
      <c r="B3053" s="653" t="s">
        <v>2182</v>
      </c>
      <c r="C3053" s="381" t="s">
        <v>4326</v>
      </c>
      <c r="D3053" s="426" t="s">
        <v>2661</v>
      </c>
      <c r="E3053" s="462">
        <v>1200000</v>
      </c>
      <c r="F3053" s="385" t="s">
        <v>2292</v>
      </c>
      <c r="G3053" s="385" t="s">
        <v>2605</v>
      </c>
      <c r="H3053" s="387" t="s">
        <v>2161</v>
      </c>
      <c r="I3053" s="387" t="s">
        <v>1625</v>
      </c>
      <c r="J3053" s="387">
        <v>1</v>
      </c>
      <c r="K3053" s="385" t="s">
        <v>1171</v>
      </c>
    </row>
    <row r="3054" spans="1:11" ht="15.75">
      <c r="A3054" s="443">
        <v>44815</v>
      </c>
      <c r="B3054" s="653" t="s">
        <v>2182</v>
      </c>
      <c r="C3054" s="381" t="s">
        <v>4327</v>
      </c>
      <c r="D3054" s="426" t="s">
        <v>2661</v>
      </c>
      <c r="E3054" s="462">
        <v>1200000</v>
      </c>
      <c r="F3054" s="385" t="s">
        <v>2292</v>
      </c>
      <c r="G3054" s="385" t="s">
        <v>2593</v>
      </c>
      <c r="H3054" s="387" t="s">
        <v>2161</v>
      </c>
      <c r="I3054" s="387" t="s">
        <v>1644</v>
      </c>
      <c r="J3054" s="387">
        <v>1</v>
      </c>
      <c r="K3054" s="385" t="s">
        <v>1245</v>
      </c>
    </row>
    <row r="3055" spans="1:11" ht="15.75">
      <c r="A3055" s="443">
        <v>44815</v>
      </c>
      <c r="B3055" s="653" t="s">
        <v>2182</v>
      </c>
      <c r="C3055" s="381" t="s">
        <v>4328</v>
      </c>
      <c r="D3055" s="426" t="s">
        <v>2711</v>
      </c>
      <c r="E3055" s="462">
        <v>1400000</v>
      </c>
      <c r="F3055" s="385" t="s">
        <v>2292</v>
      </c>
      <c r="G3055" s="385" t="s">
        <v>2593</v>
      </c>
      <c r="H3055" s="387" t="s">
        <v>2161</v>
      </c>
      <c r="I3055" s="387" t="s">
        <v>1644</v>
      </c>
      <c r="J3055" s="387">
        <v>1</v>
      </c>
      <c r="K3055" s="385" t="s">
        <v>3681</v>
      </c>
    </row>
    <row r="3056" spans="1:11" ht="15.75">
      <c r="A3056" s="443">
        <v>44815</v>
      </c>
      <c r="B3056" s="653" t="s">
        <v>2182</v>
      </c>
      <c r="C3056" s="381" t="s">
        <v>4329</v>
      </c>
      <c r="D3056" s="426" t="s">
        <v>3425</v>
      </c>
      <c r="E3056" s="462">
        <v>2450000</v>
      </c>
      <c r="F3056" s="385" t="s">
        <v>2292</v>
      </c>
      <c r="G3056" s="385" t="s">
        <v>30</v>
      </c>
      <c r="H3056" s="387" t="s">
        <v>2161</v>
      </c>
      <c r="I3056" s="387" t="s">
        <v>1644</v>
      </c>
      <c r="J3056" s="387">
        <v>1</v>
      </c>
      <c r="K3056" s="385" t="s">
        <v>1171</v>
      </c>
    </row>
    <row r="3057" spans="1:11" ht="15.75">
      <c r="A3057" s="443">
        <v>44906</v>
      </c>
      <c r="B3057" s="653" t="s">
        <v>1966</v>
      </c>
      <c r="C3057" s="381" t="s">
        <v>4330</v>
      </c>
      <c r="D3057" s="426" t="s">
        <v>4331</v>
      </c>
      <c r="E3057" s="462">
        <v>1100000</v>
      </c>
      <c r="F3057" s="385" t="s">
        <v>2292</v>
      </c>
      <c r="G3057" s="385" t="s">
        <v>2593</v>
      </c>
      <c r="H3057" s="387" t="s">
        <v>2161</v>
      </c>
      <c r="I3057" s="387" t="s">
        <v>1644</v>
      </c>
      <c r="J3057" s="387">
        <v>1</v>
      </c>
      <c r="K3057" s="385" t="s">
        <v>1245</v>
      </c>
    </row>
    <row r="3058" spans="1:11" ht="15.75">
      <c r="A3058" s="443" t="s">
        <v>4332</v>
      </c>
      <c r="B3058" s="653" t="s">
        <v>2182</v>
      </c>
      <c r="C3058" s="381" t="s">
        <v>4333</v>
      </c>
      <c r="D3058" s="426" t="s">
        <v>2167</v>
      </c>
      <c r="E3058" s="462">
        <v>4500000</v>
      </c>
      <c r="F3058" s="385" t="s">
        <v>2292</v>
      </c>
      <c r="G3058" s="385" t="s">
        <v>2605</v>
      </c>
      <c r="H3058" s="387" t="s">
        <v>2161</v>
      </c>
      <c r="I3058" s="387" t="s">
        <v>1644</v>
      </c>
      <c r="J3058" s="387">
        <v>1</v>
      </c>
      <c r="K3058" s="385" t="s">
        <v>1245</v>
      </c>
    </row>
    <row r="3059" spans="1:11" ht="15.75">
      <c r="A3059" s="443" t="s">
        <v>4334</v>
      </c>
      <c r="B3059" s="653" t="s">
        <v>2182</v>
      </c>
      <c r="C3059" s="381" t="s">
        <v>4335</v>
      </c>
      <c r="D3059" s="426" t="s">
        <v>4336</v>
      </c>
      <c r="E3059" s="462">
        <v>1150000</v>
      </c>
      <c r="F3059" s="385" t="s">
        <v>2292</v>
      </c>
      <c r="G3059" s="385" t="s">
        <v>30</v>
      </c>
      <c r="H3059" s="387" t="s">
        <v>2161</v>
      </c>
      <c r="I3059" s="387" t="s">
        <v>1644</v>
      </c>
      <c r="J3059" s="387">
        <v>1</v>
      </c>
      <c r="K3059" s="385" t="s">
        <v>3681</v>
      </c>
    </row>
    <row r="3060" spans="1:11" ht="15.75">
      <c r="A3060" s="443" t="s">
        <v>4303</v>
      </c>
      <c r="B3060" s="653" t="s">
        <v>2182</v>
      </c>
      <c r="C3060" s="381" t="s">
        <v>4337</v>
      </c>
      <c r="D3060" s="426" t="s">
        <v>2661</v>
      </c>
      <c r="E3060" s="462">
        <v>950000</v>
      </c>
      <c r="F3060" s="385" t="s">
        <v>2292</v>
      </c>
      <c r="G3060" s="385" t="s">
        <v>30</v>
      </c>
      <c r="H3060" s="387" t="s">
        <v>2161</v>
      </c>
      <c r="I3060" s="387" t="s">
        <v>1644</v>
      </c>
      <c r="J3060" s="387">
        <v>1</v>
      </c>
      <c r="K3060" s="385" t="s">
        <v>1245</v>
      </c>
    </row>
    <row r="3061" spans="1:11" ht="15.75">
      <c r="A3061" s="443" t="s">
        <v>4338</v>
      </c>
      <c r="B3061" s="653" t="s">
        <v>2182</v>
      </c>
      <c r="C3061" s="381" t="s">
        <v>4339</v>
      </c>
      <c r="D3061" s="426" t="s">
        <v>2711</v>
      </c>
      <c r="E3061" s="462">
        <v>1800000</v>
      </c>
      <c r="F3061" s="385" t="s">
        <v>2292</v>
      </c>
      <c r="G3061" s="385" t="s">
        <v>2593</v>
      </c>
      <c r="H3061" s="387" t="s">
        <v>2161</v>
      </c>
      <c r="I3061" s="387" t="s">
        <v>1644</v>
      </c>
      <c r="J3061" s="387">
        <v>1</v>
      </c>
      <c r="K3061" s="385" t="s">
        <v>3681</v>
      </c>
    </row>
    <row r="3062" spans="1:11" ht="15.75">
      <c r="A3062" s="443" t="s">
        <v>4340</v>
      </c>
      <c r="B3062" s="653" t="s">
        <v>2182</v>
      </c>
      <c r="C3062" s="381" t="s">
        <v>4341</v>
      </c>
      <c r="D3062" s="426" t="s">
        <v>75</v>
      </c>
      <c r="E3062" s="462">
        <v>2500000</v>
      </c>
      <c r="F3062" s="385" t="s">
        <v>2292</v>
      </c>
      <c r="G3062" s="385" t="s">
        <v>2605</v>
      </c>
      <c r="H3062" s="387" t="s">
        <v>2161</v>
      </c>
      <c r="I3062" s="387" t="s">
        <v>1644</v>
      </c>
      <c r="J3062" s="387">
        <v>1</v>
      </c>
      <c r="K3062" s="385" t="s">
        <v>1171</v>
      </c>
    </row>
    <row r="3063" spans="1:11" ht="15.75">
      <c r="A3063" s="443" t="s">
        <v>4342</v>
      </c>
      <c r="B3063" s="653" t="s">
        <v>2182</v>
      </c>
      <c r="C3063" s="381" t="s">
        <v>1905</v>
      </c>
      <c r="D3063" s="426" t="s">
        <v>75</v>
      </c>
      <c r="E3063" s="462">
        <v>1850000</v>
      </c>
      <c r="F3063" s="385" t="s">
        <v>2292</v>
      </c>
      <c r="G3063" s="385" t="s">
        <v>2605</v>
      </c>
      <c r="H3063" s="387" t="s">
        <v>2161</v>
      </c>
      <c r="I3063" s="387" t="s">
        <v>1644</v>
      </c>
      <c r="J3063" s="387">
        <v>1</v>
      </c>
      <c r="K3063" s="385" t="s">
        <v>1171</v>
      </c>
    </row>
    <row r="3064" spans="1:11" ht="15.75">
      <c r="A3064" s="443" t="s">
        <v>4342</v>
      </c>
      <c r="B3064" s="653" t="s">
        <v>2182</v>
      </c>
      <c r="C3064" s="381" t="s">
        <v>1407</v>
      </c>
      <c r="D3064" s="426" t="s">
        <v>75</v>
      </c>
      <c r="E3064" s="462">
        <v>1850000</v>
      </c>
      <c r="F3064" s="385" t="s">
        <v>2292</v>
      </c>
      <c r="G3064" s="385" t="s">
        <v>30</v>
      </c>
      <c r="H3064" s="387" t="s">
        <v>2161</v>
      </c>
      <c r="I3064" s="387" t="s">
        <v>1644</v>
      </c>
      <c r="J3064" s="387">
        <v>1</v>
      </c>
      <c r="K3064" s="385" t="s">
        <v>1245</v>
      </c>
    </row>
    <row r="3065" spans="1:11" ht="15.75">
      <c r="A3065" s="443" t="s">
        <v>4342</v>
      </c>
      <c r="B3065" s="653" t="s">
        <v>2182</v>
      </c>
      <c r="C3065" s="381" t="s">
        <v>4343</v>
      </c>
      <c r="D3065" s="426" t="s">
        <v>3089</v>
      </c>
      <c r="E3065" s="462">
        <v>1200000</v>
      </c>
      <c r="F3065" s="385" t="s">
        <v>2292</v>
      </c>
      <c r="G3065" s="385" t="s">
        <v>2605</v>
      </c>
      <c r="H3065" s="387" t="s">
        <v>2161</v>
      </c>
      <c r="I3065" s="387" t="s">
        <v>1644</v>
      </c>
      <c r="J3065" s="387">
        <v>1</v>
      </c>
      <c r="K3065" s="385" t="s">
        <v>3681</v>
      </c>
    </row>
    <row r="3066" spans="1:11" ht="15.75">
      <c r="A3066" s="443" t="s">
        <v>4342</v>
      </c>
      <c r="B3066" s="653" t="s">
        <v>1966</v>
      </c>
      <c r="C3066" s="381" t="s">
        <v>4344</v>
      </c>
      <c r="D3066" s="426" t="s">
        <v>2845</v>
      </c>
      <c r="E3066" s="462">
        <v>3500000</v>
      </c>
      <c r="F3066" s="385" t="s">
        <v>1968</v>
      </c>
      <c r="G3066" s="385" t="s">
        <v>2593</v>
      </c>
      <c r="H3066" s="387" t="s">
        <v>2161</v>
      </c>
      <c r="I3066" s="387" t="s">
        <v>1644</v>
      </c>
      <c r="J3066" s="387">
        <v>1</v>
      </c>
      <c r="K3066" s="385" t="s">
        <v>3681</v>
      </c>
    </row>
    <row r="3067" spans="1:11" ht="15.75">
      <c r="A3067" s="443" t="s">
        <v>4342</v>
      </c>
      <c r="B3067" s="653" t="s">
        <v>2182</v>
      </c>
      <c r="C3067" s="381" t="s">
        <v>4345</v>
      </c>
      <c r="D3067" s="426" t="s">
        <v>3089</v>
      </c>
      <c r="E3067" s="462">
        <v>1200000</v>
      </c>
      <c r="F3067" s="385" t="s">
        <v>2292</v>
      </c>
      <c r="G3067" s="385" t="s">
        <v>2605</v>
      </c>
      <c r="H3067" s="387" t="s">
        <v>2161</v>
      </c>
      <c r="I3067" s="387" t="s">
        <v>1644</v>
      </c>
      <c r="J3067" s="387">
        <v>1</v>
      </c>
      <c r="K3067" s="385" t="s">
        <v>1171</v>
      </c>
    </row>
    <row r="3068" spans="1:11" ht="15.75">
      <c r="A3068" s="393"/>
      <c r="B3068" s="381"/>
      <c r="C3068" s="381"/>
      <c r="D3068" s="381"/>
      <c r="E3068" s="451"/>
      <c r="F3068" s="381"/>
      <c r="G3068" s="381"/>
      <c r="H3068" s="383"/>
      <c r="I3068" s="383"/>
      <c r="J3068" s="1246">
        <f>SUM(J3048:J3067)</f>
        <v>20</v>
      </c>
      <c r="K3068" s="381"/>
    </row>
    <row r="3071" spans="1:11" ht="26.25">
      <c r="A3071" s="1667" t="s">
        <v>4346</v>
      </c>
      <c r="B3071" s="1667"/>
      <c r="C3071" s="1667"/>
      <c r="D3071" s="1667"/>
      <c r="E3071" s="1667"/>
      <c r="F3071" s="1667"/>
      <c r="G3071" s="1667"/>
      <c r="H3071" s="1667"/>
      <c r="I3071" s="1667"/>
      <c r="J3071" s="1667"/>
      <c r="K3071" s="1667"/>
    </row>
    <row r="3072" spans="1:11" ht="30.75">
      <c r="A3072" s="375" t="s">
        <v>1941</v>
      </c>
      <c r="B3072" s="378" t="s">
        <v>1942</v>
      </c>
      <c r="C3072" s="378" t="s">
        <v>1943</v>
      </c>
      <c r="D3072" s="378" t="s">
        <v>1944</v>
      </c>
      <c r="E3072" s="452" t="s">
        <v>1945</v>
      </c>
      <c r="F3072" s="378" t="s">
        <v>1946</v>
      </c>
      <c r="G3072" s="378" t="s">
        <v>2590</v>
      </c>
      <c r="H3072" s="378" t="s">
        <v>1947</v>
      </c>
      <c r="I3072" s="378" t="s">
        <v>1948</v>
      </c>
      <c r="J3072" s="453" t="s">
        <v>1949</v>
      </c>
      <c r="K3072" s="378" t="s">
        <v>1950</v>
      </c>
    </row>
    <row r="3073" spans="1:11" ht="15.75">
      <c r="A3073" s="1244"/>
      <c r="B3073" s="1320"/>
      <c r="C3073" s="1073"/>
      <c r="D3073" s="1073"/>
      <c r="E3073" s="1072"/>
      <c r="F3073" s="1073"/>
      <c r="G3073" s="1073"/>
      <c r="H3073" s="1074"/>
      <c r="I3073" s="1074"/>
      <c r="J3073" s="1074"/>
      <c r="K3073" s="1073"/>
    </row>
    <row r="3074" spans="1:11" ht="15.75">
      <c r="A3074" s="1244"/>
      <c r="B3074" s="1320"/>
      <c r="C3074" s="1073"/>
      <c r="D3074" s="1073"/>
      <c r="E3074" s="1072"/>
      <c r="F3074" s="1073"/>
      <c r="G3074" s="1073"/>
      <c r="H3074" s="1074"/>
      <c r="I3074" s="1074"/>
      <c r="J3074" s="1074"/>
      <c r="K3074" s="1073"/>
    </row>
    <row r="3075" spans="1:11" ht="15.75">
      <c r="A3075" s="1244"/>
      <c r="B3075" s="1425"/>
      <c r="C3075" s="1070"/>
      <c r="D3075" s="1071"/>
      <c r="E3075" s="1072"/>
      <c r="F3075" s="1073"/>
      <c r="G3075" s="1073"/>
      <c r="H3075" s="1074"/>
      <c r="I3075" s="1074"/>
      <c r="J3075" s="1074"/>
      <c r="K3075" s="1073"/>
    </row>
    <row r="3076" spans="1:11" ht="15.75">
      <c r="A3076" s="479" t="s">
        <v>4307</v>
      </c>
      <c r="B3076" s="381" t="s">
        <v>2182</v>
      </c>
      <c r="C3076" s="381" t="s">
        <v>4347</v>
      </c>
      <c r="D3076" s="381" t="s">
        <v>3089</v>
      </c>
      <c r="E3076" s="451">
        <v>1200000</v>
      </c>
      <c r="F3076" s="275" t="s">
        <v>2290</v>
      </c>
      <c r="G3076" s="275" t="s">
        <v>2593</v>
      </c>
      <c r="H3076" s="383" t="s">
        <v>1955</v>
      </c>
      <c r="I3076" s="383" t="s">
        <v>1625</v>
      </c>
      <c r="J3076" s="383">
        <v>1</v>
      </c>
      <c r="K3076" s="411" t="s">
        <v>3681</v>
      </c>
    </row>
    <row r="3077" spans="1:11" ht="15.75">
      <c r="A3077" s="579" t="s">
        <v>4348</v>
      </c>
      <c r="B3077" s="381" t="s">
        <v>2182</v>
      </c>
      <c r="C3077" s="381" t="s">
        <v>1417</v>
      </c>
      <c r="D3077" s="381" t="s">
        <v>2167</v>
      </c>
      <c r="E3077" s="451">
        <v>1800000</v>
      </c>
      <c r="F3077" s="381" t="s">
        <v>2292</v>
      </c>
      <c r="G3077" s="381" t="s">
        <v>2593</v>
      </c>
      <c r="H3077" s="383" t="s">
        <v>1955</v>
      </c>
      <c r="I3077" s="383" t="s">
        <v>1625</v>
      </c>
      <c r="J3077" s="383">
        <v>1</v>
      </c>
      <c r="K3077" s="381" t="s">
        <v>1245</v>
      </c>
    </row>
    <row r="3078" spans="1:11" ht="15.75">
      <c r="A3078" s="579">
        <v>44603</v>
      </c>
      <c r="B3078" s="381" t="s">
        <v>2182</v>
      </c>
      <c r="C3078" s="381" t="s">
        <v>1415</v>
      </c>
      <c r="D3078" s="381" t="s">
        <v>75</v>
      </c>
      <c r="E3078" s="451">
        <v>1700000</v>
      </c>
      <c r="F3078" s="381" t="s">
        <v>2292</v>
      </c>
      <c r="G3078" s="381" t="s">
        <v>30</v>
      </c>
      <c r="H3078" s="383" t="s">
        <v>1955</v>
      </c>
      <c r="I3078" s="383" t="s">
        <v>1625</v>
      </c>
      <c r="J3078" s="383">
        <v>1</v>
      </c>
      <c r="K3078" s="381" t="s">
        <v>1245</v>
      </c>
    </row>
    <row r="3079" spans="1:11" ht="15.75">
      <c r="A3079" s="579">
        <v>44603</v>
      </c>
      <c r="B3079" s="381" t="s">
        <v>2182</v>
      </c>
      <c r="C3079" s="1441" t="s">
        <v>1414</v>
      </c>
      <c r="D3079" s="381" t="s">
        <v>2326</v>
      </c>
      <c r="E3079" s="451">
        <v>1200000</v>
      </c>
      <c r="F3079" s="381" t="s">
        <v>2292</v>
      </c>
      <c r="G3079" s="381" t="s">
        <v>30</v>
      </c>
      <c r="H3079" s="383" t="s">
        <v>1955</v>
      </c>
      <c r="I3079" s="383" t="s">
        <v>1625</v>
      </c>
      <c r="J3079" s="383">
        <v>1</v>
      </c>
      <c r="K3079" s="381" t="s">
        <v>3681</v>
      </c>
    </row>
    <row r="3080" spans="1:11" ht="15.75">
      <c r="A3080" s="579">
        <v>44784</v>
      </c>
      <c r="B3080" s="381" t="s">
        <v>2182</v>
      </c>
      <c r="C3080" s="381" t="s">
        <v>4349</v>
      </c>
      <c r="D3080" s="381" t="s">
        <v>4350</v>
      </c>
      <c r="E3080" s="451">
        <v>2200000</v>
      </c>
      <c r="F3080" s="381" t="s">
        <v>1968</v>
      </c>
      <c r="G3080" s="381" t="s">
        <v>2593</v>
      </c>
      <c r="H3080" s="383" t="s">
        <v>1955</v>
      </c>
      <c r="I3080" s="383" t="s">
        <v>1625</v>
      </c>
      <c r="J3080" s="383">
        <v>1</v>
      </c>
      <c r="K3080" s="381" t="s">
        <v>3681</v>
      </c>
    </row>
    <row r="3081" spans="1:11" ht="15.75">
      <c r="A3081" s="579" t="s">
        <v>4351</v>
      </c>
      <c r="B3081" s="381" t="s">
        <v>2182</v>
      </c>
      <c r="C3081" s="381" t="s">
        <v>1419</v>
      </c>
      <c r="D3081" s="381" t="s">
        <v>3059</v>
      </c>
      <c r="E3081" s="451">
        <v>1700000</v>
      </c>
      <c r="F3081" s="381" t="s">
        <v>2292</v>
      </c>
      <c r="G3081" s="381" t="s">
        <v>30</v>
      </c>
      <c r="H3081" s="383" t="s">
        <v>2161</v>
      </c>
      <c r="I3081" s="383" t="s">
        <v>1644</v>
      </c>
      <c r="J3081" s="383">
        <v>1</v>
      </c>
      <c r="K3081" s="381" t="s">
        <v>1245</v>
      </c>
    </row>
    <row r="3082" spans="1:11" ht="15.75">
      <c r="A3082" s="579" t="s">
        <v>4351</v>
      </c>
      <c r="B3082" s="381" t="s">
        <v>2182</v>
      </c>
      <c r="C3082" s="381" t="s">
        <v>4352</v>
      </c>
      <c r="D3082" s="381" t="s">
        <v>3059</v>
      </c>
      <c r="E3082" s="451">
        <v>1500000</v>
      </c>
      <c r="F3082" s="381" t="s">
        <v>2292</v>
      </c>
      <c r="G3082" s="381" t="s">
        <v>30</v>
      </c>
      <c r="H3082" s="383" t="s">
        <v>2161</v>
      </c>
      <c r="I3082" s="383" t="s">
        <v>1644</v>
      </c>
      <c r="J3082" s="383">
        <v>1</v>
      </c>
      <c r="K3082" s="381" t="s">
        <v>1245</v>
      </c>
    </row>
    <row r="3083" spans="1:11" ht="15.75">
      <c r="A3083" s="579" t="s">
        <v>4340</v>
      </c>
      <c r="B3083" s="381" t="s">
        <v>2182</v>
      </c>
      <c r="C3083" s="381" t="s">
        <v>4353</v>
      </c>
      <c r="D3083" s="381" t="s">
        <v>2711</v>
      </c>
      <c r="E3083" s="451">
        <v>550000</v>
      </c>
      <c r="F3083" s="381" t="s">
        <v>1968</v>
      </c>
      <c r="G3083" s="381" t="s">
        <v>2593</v>
      </c>
      <c r="H3083" s="383" t="s">
        <v>2161</v>
      </c>
      <c r="I3083" s="383" t="s">
        <v>1644</v>
      </c>
      <c r="J3083" s="383">
        <v>1</v>
      </c>
      <c r="K3083" s="381" t="s">
        <v>3681</v>
      </c>
    </row>
    <row r="3084" spans="1:11" ht="15.75">
      <c r="A3084" s="456"/>
      <c r="B3084" s="457"/>
      <c r="C3084" s="457"/>
      <c r="D3084" s="457"/>
      <c r="E3084" s="476"/>
      <c r="F3084" s="457"/>
      <c r="G3084" s="457"/>
      <c r="H3084" s="153"/>
      <c r="I3084" s="153"/>
      <c r="J3084" s="493">
        <f>SUM(J3076:J3083)</f>
        <v>8</v>
      </c>
      <c r="K3084" s="457"/>
    </row>
    <row r="3085" spans="1:11" ht="15.75">
      <c r="A3085" s="394"/>
      <c r="B3085" s="395"/>
      <c r="C3085" s="395"/>
      <c r="D3085" s="395"/>
      <c r="E3085" s="396"/>
      <c r="F3085" s="397"/>
      <c r="G3085" s="397"/>
      <c r="H3085" s="395"/>
      <c r="I3085" s="395"/>
      <c r="J3085" s="395"/>
      <c r="K3085" s="395"/>
    </row>
    <row r="3086" spans="1:11" ht="15.75">
      <c r="A3086" s="394"/>
      <c r="B3086" s="395"/>
      <c r="C3086" s="395"/>
      <c r="D3086" s="395"/>
      <c r="E3086" s="396"/>
      <c r="F3086" s="397"/>
      <c r="G3086" s="397"/>
      <c r="H3086" s="395"/>
      <c r="I3086" s="395"/>
      <c r="J3086" s="395"/>
      <c r="K3086" s="395"/>
    </row>
    <row r="3088" spans="1:11" ht="26.25">
      <c r="A3088" s="1668" t="s">
        <v>4354</v>
      </c>
      <c r="B3088" s="1669"/>
      <c r="C3088" s="1669"/>
      <c r="D3088" s="1669"/>
      <c r="E3088" s="1669"/>
      <c r="F3088" s="1669"/>
      <c r="G3088" s="1669"/>
      <c r="H3088" s="1669"/>
      <c r="I3088" s="1669"/>
      <c r="J3088" s="1669"/>
      <c r="K3088" s="1670"/>
    </row>
    <row r="3089" spans="1:11" ht="30.75">
      <c r="A3089" s="378" t="s">
        <v>1941</v>
      </c>
      <c r="B3089" s="378" t="s">
        <v>1942</v>
      </c>
      <c r="C3089" s="378" t="s">
        <v>1943</v>
      </c>
      <c r="D3089" s="378" t="s">
        <v>1944</v>
      </c>
      <c r="E3089" s="452" t="s">
        <v>1945</v>
      </c>
      <c r="F3089" s="378" t="s">
        <v>1946</v>
      </c>
      <c r="G3089" s="378" t="s">
        <v>2590</v>
      </c>
      <c r="H3089" s="378" t="s">
        <v>1947</v>
      </c>
      <c r="I3089" s="378" t="s">
        <v>1948</v>
      </c>
      <c r="J3089" s="453" t="s">
        <v>1949</v>
      </c>
      <c r="K3089" s="378" t="s">
        <v>1950</v>
      </c>
    </row>
    <row r="3090" spans="1:11" ht="15.75">
      <c r="A3090" s="922"/>
      <c r="B3090" s="618"/>
      <c r="C3090" s="472"/>
      <c r="D3090" s="472"/>
      <c r="E3090" s="475"/>
      <c r="F3090" s="472"/>
      <c r="G3090" s="472"/>
      <c r="H3090" s="473"/>
      <c r="I3090" s="473"/>
      <c r="J3090" s="473"/>
      <c r="K3090" s="472"/>
    </row>
    <row r="3091" spans="1:11" ht="15.75">
      <c r="A3091" s="922"/>
      <c r="B3091" s="618"/>
      <c r="C3091" s="472"/>
      <c r="D3091" s="472"/>
      <c r="E3091" s="475"/>
      <c r="F3091" s="472"/>
      <c r="G3091" s="472"/>
      <c r="H3091" s="473"/>
      <c r="I3091" s="473"/>
      <c r="J3091" s="473"/>
      <c r="K3091" s="472"/>
    </row>
    <row r="3092" spans="1:11" ht="15.75">
      <c r="A3092" s="611"/>
      <c r="B3092" s="472"/>
      <c r="C3092" s="472"/>
      <c r="D3092" s="472"/>
      <c r="E3092" s="475"/>
      <c r="F3092" s="472"/>
      <c r="G3092" s="472"/>
      <c r="H3092" s="473"/>
      <c r="I3092" s="473"/>
      <c r="J3092" s="473"/>
      <c r="K3092" s="472"/>
    </row>
    <row r="3093" spans="1:11" ht="15.75">
      <c r="A3093" s="384">
        <v>44572</v>
      </c>
      <c r="B3093" s="1445" t="s">
        <v>2182</v>
      </c>
      <c r="C3093" s="381" t="s">
        <v>1389</v>
      </c>
      <c r="D3093" s="426" t="s">
        <v>2659</v>
      </c>
      <c r="E3093" s="462">
        <v>1450000</v>
      </c>
      <c r="F3093" s="385" t="s">
        <v>2292</v>
      </c>
      <c r="G3093" s="385" t="s">
        <v>30</v>
      </c>
      <c r="H3093" s="387" t="s">
        <v>1955</v>
      </c>
      <c r="I3093" s="387" t="s">
        <v>1625</v>
      </c>
      <c r="J3093" s="387">
        <v>1</v>
      </c>
      <c r="K3093" s="385" t="s">
        <v>1171</v>
      </c>
    </row>
    <row r="3094" spans="1:11" ht="15.75">
      <c r="A3094" s="384">
        <v>44572</v>
      </c>
      <c r="B3094" s="1445" t="s">
        <v>2182</v>
      </c>
      <c r="C3094" s="381" t="s">
        <v>1914</v>
      </c>
      <c r="D3094" s="426" t="s">
        <v>3043</v>
      </c>
      <c r="E3094" s="462">
        <v>1450000</v>
      </c>
      <c r="F3094" s="385" t="s">
        <v>2292</v>
      </c>
      <c r="G3094" s="385" t="s">
        <v>2593</v>
      </c>
      <c r="H3094" s="387" t="s">
        <v>1955</v>
      </c>
      <c r="I3094" s="387" t="s">
        <v>1625</v>
      </c>
      <c r="J3094" s="387">
        <v>1</v>
      </c>
      <c r="K3094" s="385" t="s">
        <v>1171</v>
      </c>
    </row>
    <row r="3095" spans="1:11" ht="15.75">
      <c r="A3095" s="384">
        <v>44603</v>
      </c>
      <c r="B3095" s="1445" t="s">
        <v>2182</v>
      </c>
      <c r="C3095" s="381" t="s">
        <v>4355</v>
      </c>
      <c r="D3095" s="426" t="s">
        <v>75</v>
      </c>
      <c r="E3095" s="462">
        <v>2200000</v>
      </c>
      <c r="F3095" s="385" t="s">
        <v>2292</v>
      </c>
      <c r="G3095" s="385" t="s">
        <v>2605</v>
      </c>
      <c r="H3095" s="387" t="s">
        <v>1955</v>
      </c>
      <c r="I3095" s="387" t="s">
        <v>1625</v>
      </c>
      <c r="J3095" s="387">
        <v>1</v>
      </c>
      <c r="K3095" s="385" t="s">
        <v>3681</v>
      </c>
    </row>
    <row r="3096" spans="1:11" ht="15.75">
      <c r="A3096" s="384">
        <v>44906</v>
      </c>
      <c r="B3096" s="1445" t="s">
        <v>2182</v>
      </c>
      <c r="C3096" s="381" t="s">
        <v>4356</v>
      </c>
      <c r="D3096" s="426" t="s">
        <v>2661</v>
      </c>
      <c r="E3096" s="462">
        <v>1100000</v>
      </c>
      <c r="F3096" s="385" t="s">
        <v>2306</v>
      </c>
      <c r="G3096" s="385" t="s">
        <v>30</v>
      </c>
      <c r="H3096" s="387" t="s">
        <v>2161</v>
      </c>
      <c r="I3096" s="387" t="s">
        <v>1644</v>
      </c>
      <c r="J3096" s="387">
        <v>1</v>
      </c>
      <c r="K3096" s="385" t="s">
        <v>3681</v>
      </c>
    </row>
    <row r="3097" spans="1:11" ht="15.75">
      <c r="A3097" s="384">
        <v>44906</v>
      </c>
      <c r="B3097" s="1445" t="s">
        <v>2182</v>
      </c>
      <c r="C3097" s="381" t="s">
        <v>4357</v>
      </c>
      <c r="D3097" s="426" t="s">
        <v>3620</v>
      </c>
      <c r="E3097" s="462">
        <v>750000</v>
      </c>
      <c r="F3097" s="385" t="s">
        <v>1968</v>
      </c>
      <c r="G3097" s="385" t="s">
        <v>30</v>
      </c>
      <c r="H3097" s="387" t="s">
        <v>2161</v>
      </c>
      <c r="I3097" s="387" t="s">
        <v>1644</v>
      </c>
      <c r="J3097" s="387">
        <v>1</v>
      </c>
      <c r="K3097" s="385" t="s">
        <v>1245</v>
      </c>
    </row>
    <row r="3098" spans="1:11" ht="15.75">
      <c r="A3098" s="384">
        <v>44906</v>
      </c>
      <c r="B3098" s="1445" t="s">
        <v>2182</v>
      </c>
      <c r="C3098" s="381" t="s">
        <v>4358</v>
      </c>
      <c r="D3098" s="426" t="s">
        <v>3043</v>
      </c>
      <c r="E3098" s="462">
        <v>1450000</v>
      </c>
      <c r="F3098" s="385" t="s">
        <v>2292</v>
      </c>
      <c r="G3098" s="385" t="s">
        <v>30</v>
      </c>
      <c r="H3098" s="387" t="s">
        <v>2161</v>
      </c>
      <c r="I3098" s="387" t="s">
        <v>1644</v>
      </c>
      <c r="J3098" s="387">
        <v>1</v>
      </c>
      <c r="K3098" s="385" t="s">
        <v>1245</v>
      </c>
    </row>
    <row r="3099" spans="1:11" ht="15.75">
      <c r="A3099" s="384">
        <v>44906</v>
      </c>
      <c r="B3099" s="577" t="s">
        <v>2182</v>
      </c>
      <c r="C3099" s="381" t="s">
        <v>4359</v>
      </c>
      <c r="D3099" s="385" t="s">
        <v>3043</v>
      </c>
      <c r="E3099" s="462">
        <v>2500000</v>
      </c>
      <c r="F3099" s="385" t="s">
        <v>1968</v>
      </c>
      <c r="G3099" s="385" t="s">
        <v>2593</v>
      </c>
      <c r="H3099" s="387" t="s">
        <v>2161</v>
      </c>
      <c r="I3099" s="387" t="s">
        <v>1644</v>
      </c>
      <c r="J3099" s="387">
        <v>1</v>
      </c>
      <c r="K3099" s="385" t="s">
        <v>1245</v>
      </c>
    </row>
    <row r="3100" spans="1:11" ht="15.75">
      <c r="A3100" s="419"/>
      <c r="B3100" s="420"/>
      <c r="C3100" s="457"/>
      <c r="D3100" s="457"/>
      <c r="E3100" s="458"/>
      <c r="F3100" s="457"/>
      <c r="G3100" s="457"/>
      <c r="H3100" s="457"/>
      <c r="I3100" s="457"/>
      <c r="J3100" s="493">
        <f>SUM(J3090:J3099)</f>
        <v>7</v>
      </c>
      <c r="K3100" s="457"/>
    </row>
    <row r="3103" spans="1:11" ht="26.25">
      <c r="A3103" s="1668" t="s">
        <v>4360</v>
      </c>
      <c r="B3103" s="1669"/>
      <c r="C3103" s="1669"/>
      <c r="D3103" s="1669"/>
      <c r="E3103" s="1669"/>
      <c r="F3103" s="1669"/>
      <c r="G3103" s="1669"/>
      <c r="H3103" s="1669"/>
      <c r="I3103" s="1669"/>
      <c r="J3103" s="1669"/>
      <c r="K3103" s="1670"/>
    </row>
    <row r="3104" spans="1:11" ht="30.75">
      <c r="A3104" s="375" t="s">
        <v>1941</v>
      </c>
      <c r="B3104" s="378" t="s">
        <v>1942</v>
      </c>
      <c r="C3104" s="378" t="s">
        <v>1943</v>
      </c>
      <c r="D3104" s="378" t="s">
        <v>1944</v>
      </c>
      <c r="E3104" s="452" t="s">
        <v>1945</v>
      </c>
      <c r="F3104" s="378" t="s">
        <v>1946</v>
      </c>
      <c r="G3104" s="378" t="s">
        <v>2590</v>
      </c>
      <c r="H3104" s="378" t="s">
        <v>1947</v>
      </c>
      <c r="I3104" s="378" t="s">
        <v>1948</v>
      </c>
      <c r="J3104" s="453" t="s">
        <v>1949</v>
      </c>
      <c r="K3104" s="378" t="s">
        <v>1950</v>
      </c>
    </row>
    <row r="3105" spans="1:11" ht="15.75">
      <c r="A3105" s="1068"/>
      <c r="B3105" s="1069"/>
      <c r="C3105" s="1070"/>
      <c r="D3105" s="1071"/>
      <c r="E3105" s="1072"/>
      <c r="F3105" s="1073"/>
      <c r="G3105" s="1073"/>
      <c r="H3105" s="1074"/>
      <c r="I3105" s="1074"/>
      <c r="J3105" s="1074"/>
      <c r="K3105" s="1073"/>
    </row>
    <row r="3106" spans="1:11" ht="15.75">
      <c r="A3106" s="1068"/>
      <c r="B3106" s="1069"/>
      <c r="C3106" s="1073"/>
      <c r="D3106" s="1071"/>
      <c r="E3106" s="1072"/>
      <c r="F3106" s="1073"/>
      <c r="G3106" s="1073"/>
      <c r="H3106" s="1074"/>
      <c r="I3106" s="1074"/>
      <c r="J3106" s="1074"/>
      <c r="K3106" s="1073"/>
    </row>
    <row r="3107" spans="1:11" ht="15.75">
      <c r="A3107" s="443">
        <v>44603</v>
      </c>
      <c r="B3107" s="1416" t="s">
        <v>2060</v>
      </c>
      <c r="C3107" s="381" t="s">
        <v>4361</v>
      </c>
      <c r="D3107" s="426" t="s">
        <v>75</v>
      </c>
      <c r="E3107" s="462">
        <v>850000</v>
      </c>
      <c r="F3107" s="385" t="s">
        <v>1968</v>
      </c>
      <c r="G3107" s="385" t="s">
        <v>2593</v>
      </c>
      <c r="H3107" s="387" t="s">
        <v>1955</v>
      </c>
      <c r="I3107" s="387" t="s">
        <v>1625</v>
      </c>
      <c r="J3107" s="387">
        <v>1</v>
      </c>
      <c r="K3107" s="385" t="s">
        <v>1245</v>
      </c>
    </row>
    <row r="3108" spans="1:11" ht="15.75">
      <c r="A3108" s="443">
        <v>44631</v>
      </c>
      <c r="B3108" s="1416" t="s">
        <v>2182</v>
      </c>
      <c r="C3108" s="381" t="s">
        <v>4362</v>
      </c>
      <c r="D3108" s="426" t="s">
        <v>2347</v>
      </c>
      <c r="E3108" s="462">
        <v>950000</v>
      </c>
      <c r="F3108" s="385" t="s">
        <v>1968</v>
      </c>
      <c r="G3108" s="385" t="s">
        <v>2593</v>
      </c>
      <c r="H3108" s="387" t="s">
        <v>1955</v>
      </c>
      <c r="I3108" s="387" t="s">
        <v>1625</v>
      </c>
      <c r="J3108" s="387">
        <v>1</v>
      </c>
      <c r="K3108" s="385" t="s">
        <v>1171</v>
      </c>
    </row>
    <row r="3109" spans="1:11" ht="15.75">
      <c r="A3109" s="443">
        <v>44876</v>
      </c>
      <c r="B3109" s="1416" t="s">
        <v>2182</v>
      </c>
      <c r="C3109" s="381" t="s">
        <v>4363</v>
      </c>
      <c r="D3109" s="426" t="s">
        <v>2661</v>
      </c>
      <c r="E3109" s="462">
        <v>950000</v>
      </c>
      <c r="F3109" s="385" t="s">
        <v>2292</v>
      </c>
      <c r="G3109" s="385" t="s">
        <v>2605</v>
      </c>
      <c r="H3109" s="387" t="s">
        <v>2161</v>
      </c>
      <c r="I3109" s="387" t="s">
        <v>1644</v>
      </c>
      <c r="J3109" s="387">
        <v>1</v>
      </c>
      <c r="K3109" s="385" t="s">
        <v>3681</v>
      </c>
    </row>
    <row r="3110" spans="1:11" ht="15.75">
      <c r="A3110" s="443">
        <v>44876</v>
      </c>
      <c r="B3110" s="653" t="s">
        <v>2182</v>
      </c>
      <c r="C3110" s="381" t="s">
        <v>4364</v>
      </c>
      <c r="D3110" s="426" t="s">
        <v>2326</v>
      </c>
      <c r="E3110" s="462">
        <v>1150000</v>
      </c>
      <c r="F3110" s="385" t="s">
        <v>1968</v>
      </c>
      <c r="G3110" s="385" t="s">
        <v>2593</v>
      </c>
      <c r="H3110" s="387" t="s">
        <v>2161</v>
      </c>
      <c r="I3110" s="387" t="s">
        <v>1644</v>
      </c>
      <c r="J3110" s="387">
        <v>1</v>
      </c>
      <c r="K3110" s="385" t="s">
        <v>1245</v>
      </c>
    </row>
    <row r="3111" spans="1:11" ht="15.75">
      <c r="A3111" s="443" t="s">
        <v>4334</v>
      </c>
      <c r="B3111" s="1416" t="s">
        <v>2182</v>
      </c>
      <c r="C3111" s="381" t="s">
        <v>4365</v>
      </c>
      <c r="D3111" s="426" t="s">
        <v>2133</v>
      </c>
      <c r="E3111" s="462">
        <v>950000</v>
      </c>
      <c r="F3111" s="385" t="s">
        <v>1968</v>
      </c>
      <c r="G3111" s="385" t="s">
        <v>2593</v>
      </c>
      <c r="H3111" s="387" t="s">
        <v>2161</v>
      </c>
      <c r="I3111" s="387" t="s">
        <v>1644</v>
      </c>
      <c r="J3111" s="387">
        <v>1</v>
      </c>
      <c r="K3111" s="385" t="s">
        <v>1171</v>
      </c>
    </row>
    <row r="3112" spans="1:11" ht="15.75">
      <c r="A3112" s="443" t="s">
        <v>4366</v>
      </c>
      <c r="B3112" s="1416" t="s">
        <v>2182</v>
      </c>
      <c r="C3112" s="381" t="s">
        <v>4367</v>
      </c>
      <c r="D3112" s="426" t="s">
        <v>4368</v>
      </c>
      <c r="E3112" s="462">
        <v>950000</v>
      </c>
      <c r="F3112" s="385" t="s">
        <v>2292</v>
      </c>
      <c r="G3112" s="385" t="s">
        <v>2593</v>
      </c>
      <c r="H3112" s="387" t="s">
        <v>2161</v>
      </c>
      <c r="I3112" s="387" t="s">
        <v>1644</v>
      </c>
      <c r="J3112" s="387">
        <v>1</v>
      </c>
      <c r="K3112" s="385" t="s">
        <v>3681</v>
      </c>
    </row>
    <row r="3113" spans="1:11" ht="15.75">
      <c r="A3113" s="443" t="s">
        <v>4369</v>
      </c>
      <c r="B3113" s="653" t="s">
        <v>2182</v>
      </c>
      <c r="C3113" s="482" t="s">
        <v>4370</v>
      </c>
      <c r="D3113" s="426" t="s">
        <v>2933</v>
      </c>
      <c r="E3113" s="462">
        <v>1200000</v>
      </c>
      <c r="F3113" s="385" t="s">
        <v>1968</v>
      </c>
      <c r="G3113" s="385" t="s">
        <v>2593</v>
      </c>
      <c r="H3113" s="387" t="s">
        <v>2161</v>
      </c>
      <c r="I3113" s="387" t="s">
        <v>1644</v>
      </c>
      <c r="J3113" s="387">
        <v>1</v>
      </c>
      <c r="K3113" s="385" t="s">
        <v>1245</v>
      </c>
    </row>
    <row r="3114" spans="1:11" ht="15.75">
      <c r="A3114" s="393"/>
      <c r="B3114" s="653"/>
      <c r="C3114" s="381"/>
      <c r="D3114" s="381"/>
      <c r="E3114" s="451"/>
      <c r="F3114" s="381"/>
      <c r="G3114" s="381"/>
      <c r="H3114" s="383"/>
      <c r="I3114" s="383"/>
      <c r="J3114" s="1246">
        <f>SUM(J3107:J3113)</f>
        <v>7</v>
      </c>
      <c r="K3114" s="381"/>
    </row>
    <row r="3117" spans="1:11" ht="26.25">
      <c r="A3117" s="1668" t="s">
        <v>4371</v>
      </c>
      <c r="B3117" s="1669"/>
      <c r="C3117" s="1669"/>
      <c r="D3117" s="1669"/>
      <c r="E3117" s="1669"/>
      <c r="F3117" s="1669"/>
      <c r="G3117" s="1669"/>
      <c r="H3117" s="1669"/>
      <c r="I3117" s="1669"/>
      <c r="J3117" s="1669"/>
      <c r="K3117" s="1670"/>
    </row>
    <row r="3118" spans="1:11" ht="30.75">
      <c r="A3118" s="375" t="s">
        <v>1941</v>
      </c>
      <c r="B3118" s="378" t="s">
        <v>1942</v>
      </c>
      <c r="C3118" s="378" t="s">
        <v>1943</v>
      </c>
      <c r="D3118" s="378" t="s">
        <v>1944</v>
      </c>
      <c r="E3118" s="452" t="s">
        <v>1945</v>
      </c>
      <c r="F3118" s="378" t="s">
        <v>1946</v>
      </c>
      <c r="G3118" s="378" t="s">
        <v>2590</v>
      </c>
      <c r="H3118" s="378" t="s">
        <v>1947</v>
      </c>
      <c r="I3118" s="378" t="s">
        <v>1948</v>
      </c>
      <c r="J3118" s="453" t="s">
        <v>1949</v>
      </c>
      <c r="K3118" s="378" t="s">
        <v>1950</v>
      </c>
    </row>
    <row r="3119" spans="1:11" ht="15.75">
      <c r="A3119" s="1244"/>
      <c r="B3119" s="1069"/>
      <c r="C3119" s="1070"/>
      <c r="D3119" s="1070"/>
      <c r="E3119" s="1245"/>
      <c r="F3119" s="1070"/>
      <c r="G3119" s="1070"/>
      <c r="H3119" s="1246"/>
      <c r="I3119" s="1246"/>
      <c r="J3119" s="1246"/>
      <c r="K3119" s="1070"/>
    </row>
    <row r="3120" spans="1:11" ht="15.75">
      <c r="A3120" s="393"/>
      <c r="B3120" s="653"/>
      <c r="C3120" s="381"/>
      <c r="D3120" s="381"/>
      <c r="E3120" s="451"/>
      <c r="F3120" s="381"/>
      <c r="G3120" s="381"/>
      <c r="H3120" s="383"/>
      <c r="I3120" s="383"/>
      <c r="J3120" s="383"/>
      <c r="K3120" s="381"/>
    </row>
    <row r="3121" spans="1:11" ht="15.75">
      <c r="A3121" s="393"/>
      <c r="B3121" s="653"/>
      <c r="C3121" s="381"/>
      <c r="D3121" s="381"/>
      <c r="E3121" s="451"/>
      <c r="F3121" s="381"/>
      <c r="G3121" s="381"/>
      <c r="H3121" s="383"/>
      <c r="I3121" s="383"/>
      <c r="J3121" s="1246"/>
      <c r="K3121" s="381"/>
    </row>
    <row r="3122" spans="1:11" ht="15.75">
      <c r="A3122" s="393"/>
      <c r="B3122" s="653"/>
      <c r="C3122" s="381"/>
      <c r="D3122" s="381"/>
      <c r="E3122" s="451"/>
      <c r="F3122" s="381"/>
      <c r="G3122" s="381"/>
      <c r="H3122" s="383"/>
      <c r="I3122" s="383"/>
      <c r="J3122" s="1246"/>
      <c r="K3122" s="381"/>
    </row>
    <row r="3123" spans="1:11" ht="15.75">
      <c r="A3123" s="393"/>
      <c r="B3123" s="653"/>
      <c r="C3123" s="381"/>
      <c r="D3123" s="381"/>
      <c r="E3123" s="451"/>
      <c r="F3123" s="381"/>
      <c r="G3123" s="381"/>
      <c r="H3123" s="383"/>
      <c r="I3123" s="383"/>
      <c r="J3123" s="1246"/>
      <c r="K3123" s="381"/>
    </row>
    <row r="3124" spans="1:11" ht="15.75">
      <c r="A3124" s="1405"/>
      <c r="B3124" s="1406"/>
      <c r="C3124" s="506"/>
      <c r="D3124" s="506"/>
      <c r="E3124" s="1407"/>
      <c r="F3124" s="506"/>
      <c r="G3124" s="506"/>
      <c r="H3124" s="504"/>
      <c r="I3124" s="504"/>
      <c r="J3124" s="1408"/>
      <c r="K3124" s="506"/>
    </row>
    <row r="3126" spans="1:11" ht="26.25">
      <c r="A3126" s="1668" t="s">
        <v>4372</v>
      </c>
      <c r="B3126" s="1669"/>
      <c r="C3126" s="1669"/>
      <c r="D3126" s="1669"/>
      <c r="E3126" s="1669"/>
      <c r="F3126" s="1669"/>
      <c r="G3126" s="1669"/>
      <c r="H3126" s="1669"/>
      <c r="I3126" s="1669"/>
      <c r="J3126" s="1669"/>
      <c r="K3126" s="1670"/>
    </row>
    <row r="3127" spans="1:11" ht="30.75">
      <c r="A3127" s="375" t="s">
        <v>1941</v>
      </c>
      <c r="B3127" s="378" t="s">
        <v>1942</v>
      </c>
      <c r="C3127" s="378" t="s">
        <v>1943</v>
      </c>
      <c r="D3127" s="378" t="s">
        <v>1944</v>
      </c>
      <c r="E3127" s="452" t="s">
        <v>1945</v>
      </c>
      <c r="F3127" s="378" t="s">
        <v>1946</v>
      </c>
      <c r="G3127" s="378" t="s">
        <v>2590</v>
      </c>
      <c r="H3127" s="378" t="s">
        <v>1947</v>
      </c>
      <c r="I3127" s="378" t="s">
        <v>1948</v>
      </c>
      <c r="J3127" s="453" t="s">
        <v>1949</v>
      </c>
      <c r="K3127" s="378" t="s">
        <v>1950</v>
      </c>
    </row>
    <row r="3128" spans="1:11" ht="15.75">
      <c r="A3128" s="1068"/>
      <c r="B3128" s="1069"/>
      <c r="C3128" s="1070"/>
      <c r="D3128" s="1071"/>
      <c r="E3128" s="1072"/>
      <c r="F3128" s="1073"/>
      <c r="G3128" s="1073"/>
      <c r="H3128" s="1074"/>
      <c r="I3128" s="1074"/>
      <c r="J3128" s="1074"/>
      <c r="K3128" s="1073"/>
    </row>
    <row r="3129" spans="1:11" ht="15.75">
      <c r="A3129" s="1068"/>
      <c r="B3129" s="1069"/>
      <c r="C3129" s="1070"/>
      <c r="D3129" s="1071"/>
      <c r="E3129" s="1072"/>
      <c r="F3129" s="1073"/>
      <c r="G3129" s="1073"/>
      <c r="H3129" s="1074"/>
      <c r="I3129" s="1074"/>
      <c r="J3129" s="1074"/>
      <c r="K3129" s="1073"/>
    </row>
    <row r="3130" spans="1:11" ht="15.75">
      <c r="A3130" s="443">
        <v>44631</v>
      </c>
      <c r="B3130" s="653" t="s">
        <v>2060</v>
      </c>
      <c r="C3130" s="1467" t="s">
        <v>4373</v>
      </c>
      <c r="D3130" s="426" t="s">
        <v>4374</v>
      </c>
      <c r="E3130" s="462">
        <v>1000000</v>
      </c>
      <c r="F3130" s="385" t="s">
        <v>4006</v>
      </c>
      <c r="G3130" s="385" t="s">
        <v>30</v>
      </c>
      <c r="H3130" s="387" t="s">
        <v>1955</v>
      </c>
      <c r="I3130" s="387" t="s">
        <v>1625</v>
      </c>
      <c r="J3130" s="387">
        <v>1</v>
      </c>
      <c r="K3130" s="385" t="s">
        <v>856</v>
      </c>
    </row>
    <row r="3131" spans="1:11" ht="15.75">
      <c r="A3131" s="393">
        <v>44784</v>
      </c>
      <c r="B3131" s="1416" t="s">
        <v>2182</v>
      </c>
      <c r="C3131" s="381" t="s">
        <v>4375</v>
      </c>
      <c r="D3131" s="411" t="s">
        <v>2347</v>
      </c>
      <c r="E3131" s="451">
        <v>1800000</v>
      </c>
      <c r="F3131" s="385" t="s">
        <v>4006</v>
      </c>
      <c r="G3131" s="385" t="s">
        <v>30</v>
      </c>
      <c r="H3131" s="387" t="s">
        <v>1955</v>
      </c>
      <c r="I3131" s="387" t="s">
        <v>1625</v>
      </c>
      <c r="J3131" s="387">
        <v>1</v>
      </c>
      <c r="K3131" s="385" t="s">
        <v>856</v>
      </c>
    </row>
    <row r="3132" spans="1:11" ht="15.75">
      <c r="A3132" s="443">
        <v>44784</v>
      </c>
      <c r="B3132" s="1416" t="s">
        <v>2182</v>
      </c>
      <c r="C3132" s="1480" t="s">
        <v>4376</v>
      </c>
      <c r="D3132" s="426" t="s">
        <v>4377</v>
      </c>
      <c r="E3132" s="462">
        <v>850000</v>
      </c>
      <c r="F3132" s="385" t="s">
        <v>4006</v>
      </c>
      <c r="G3132" s="385" t="s">
        <v>3351</v>
      </c>
      <c r="H3132" s="387" t="s">
        <v>1955</v>
      </c>
      <c r="I3132" s="387" t="s">
        <v>1625</v>
      </c>
      <c r="J3132" s="387">
        <v>1</v>
      </c>
      <c r="K3132" s="385" t="s">
        <v>856</v>
      </c>
    </row>
    <row r="3133" spans="1:11" ht="15.75">
      <c r="A3133" s="443">
        <v>44572</v>
      </c>
      <c r="B3133" s="1416" t="s">
        <v>2182</v>
      </c>
      <c r="C3133" s="1480" t="s">
        <v>4378</v>
      </c>
      <c r="D3133" s="426" t="s">
        <v>2845</v>
      </c>
      <c r="E3133" s="462">
        <v>1600000</v>
      </c>
      <c r="F3133" s="385" t="s">
        <v>4006</v>
      </c>
      <c r="G3133" s="385" t="s">
        <v>30</v>
      </c>
      <c r="H3133" s="387" t="s">
        <v>2161</v>
      </c>
      <c r="I3133" s="387" t="s">
        <v>1644</v>
      </c>
      <c r="J3133" s="387">
        <v>1</v>
      </c>
      <c r="K3133" s="385" t="s">
        <v>856</v>
      </c>
    </row>
    <row r="3134" spans="1:11" ht="15.75">
      <c r="A3134" s="443">
        <v>44603</v>
      </c>
      <c r="B3134" s="1416" t="s">
        <v>2182</v>
      </c>
      <c r="C3134" s="1480" t="s">
        <v>988</v>
      </c>
      <c r="D3134" s="426" t="s">
        <v>2659</v>
      </c>
      <c r="E3134" s="462">
        <v>1600000</v>
      </c>
      <c r="F3134" s="385" t="s">
        <v>1021</v>
      </c>
      <c r="G3134" s="385" t="s">
        <v>2593</v>
      </c>
      <c r="H3134" s="387" t="s">
        <v>2161</v>
      </c>
      <c r="I3134" s="387" t="s">
        <v>1644</v>
      </c>
      <c r="J3134" s="387">
        <v>1</v>
      </c>
      <c r="K3134" s="385" t="s">
        <v>856</v>
      </c>
    </row>
    <row r="3135" spans="1:11" ht="15.75">
      <c r="A3135" s="443">
        <v>44692</v>
      </c>
      <c r="B3135" s="1416" t="s">
        <v>2182</v>
      </c>
      <c r="C3135" s="1480" t="s">
        <v>572</v>
      </c>
      <c r="D3135" s="426" t="s">
        <v>2347</v>
      </c>
      <c r="E3135" s="462">
        <v>1700000</v>
      </c>
      <c r="F3135" s="385" t="s">
        <v>1021</v>
      </c>
      <c r="G3135" s="385" t="s">
        <v>2593</v>
      </c>
      <c r="H3135" s="387" t="s">
        <v>2161</v>
      </c>
      <c r="I3135" s="387" t="s">
        <v>1644</v>
      </c>
      <c r="J3135" s="387">
        <v>1</v>
      </c>
      <c r="K3135" s="385" t="s">
        <v>856</v>
      </c>
    </row>
    <row r="3136" spans="1:11" ht="15.75">
      <c r="A3136" s="443">
        <v>44906</v>
      </c>
      <c r="B3136" s="1416" t="s">
        <v>2182</v>
      </c>
      <c r="C3136" s="381" t="s">
        <v>971</v>
      </c>
      <c r="D3136" s="426" t="s">
        <v>3059</v>
      </c>
      <c r="E3136" s="462">
        <v>1450000</v>
      </c>
      <c r="F3136" s="385" t="s">
        <v>1021</v>
      </c>
      <c r="G3136" s="385" t="s">
        <v>2593</v>
      </c>
      <c r="H3136" s="387" t="s">
        <v>2161</v>
      </c>
      <c r="I3136" s="387" t="s">
        <v>1644</v>
      </c>
      <c r="J3136" s="387">
        <v>1</v>
      </c>
      <c r="K3136" s="385" t="s">
        <v>856</v>
      </c>
    </row>
    <row r="3137" spans="1:11" ht="15.75">
      <c r="A3137" s="384" t="s">
        <v>4379</v>
      </c>
      <c r="B3137" s="1416" t="s">
        <v>2182</v>
      </c>
      <c r="C3137" s="381" t="s">
        <v>805</v>
      </c>
      <c r="D3137" s="426" t="s">
        <v>3059</v>
      </c>
      <c r="E3137" s="462">
        <v>1500000</v>
      </c>
      <c r="F3137" s="385" t="s">
        <v>1021</v>
      </c>
      <c r="G3137" s="385" t="s">
        <v>2593</v>
      </c>
      <c r="H3137" s="387" t="s">
        <v>2161</v>
      </c>
      <c r="I3137" s="387" t="s">
        <v>1644</v>
      </c>
      <c r="J3137" s="387">
        <v>1</v>
      </c>
      <c r="K3137" s="385" t="s">
        <v>856</v>
      </c>
    </row>
    <row r="3138" spans="1:11" ht="15.75">
      <c r="A3138" s="384" t="s">
        <v>4303</v>
      </c>
      <c r="B3138" s="1416" t="s">
        <v>2182</v>
      </c>
      <c r="C3138" s="381" t="s">
        <v>707</v>
      </c>
      <c r="D3138" s="426" t="s">
        <v>2347</v>
      </c>
      <c r="E3138" s="462">
        <v>1650000</v>
      </c>
      <c r="F3138" s="385" t="s">
        <v>4006</v>
      </c>
      <c r="G3138" s="385" t="s">
        <v>30</v>
      </c>
      <c r="H3138" s="387" t="s">
        <v>2161</v>
      </c>
      <c r="I3138" s="387" t="s">
        <v>1644</v>
      </c>
      <c r="J3138" s="387">
        <v>1</v>
      </c>
      <c r="K3138" s="385" t="s">
        <v>856</v>
      </c>
    </row>
    <row r="3139" spans="1:11" ht="15.75">
      <c r="A3139" s="384" t="s">
        <v>4340</v>
      </c>
      <c r="B3139" s="653" t="s">
        <v>2182</v>
      </c>
      <c r="C3139" s="482" t="s">
        <v>494</v>
      </c>
      <c r="D3139" s="385" t="s">
        <v>2576</v>
      </c>
      <c r="E3139" s="462">
        <v>1000000</v>
      </c>
      <c r="F3139" s="385" t="s">
        <v>4006</v>
      </c>
      <c r="G3139" s="385" t="s">
        <v>30</v>
      </c>
      <c r="H3139" s="387" t="s">
        <v>1625</v>
      </c>
      <c r="I3139" s="387" t="s">
        <v>1644</v>
      </c>
      <c r="J3139" s="387">
        <v>1</v>
      </c>
      <c r="K3139" s="385" t="s">
        <v>856</v>
      </c>
    </row>
    <row r="3140" spans="1:11" ht="15.75">
      <c r="A3140" s="384" t="s">
        <v>4340</v>
      </c>
      <c r="B3140" s="653" t="s">
        <v>2182</v>
      </c>
      <c r="C3140" s="385" t="s">
        <v>545</v>
      </c>
      <c r="D3140" s="385" t="s">
        <v>75</v>
      </c>
      <c r="E3140" s="462">
        <v>2300000</v>
      </c>
      <c r="F3140" s="385" t="s">
        <v>4006</v>
      </c>
      <c r="G3140" s="385" t="s">
        <v>30</v>
      </c>
      <c r="H3140" s="387" t="s">
        <v>2161</v>
      </c>
      <c r="I3140" s="387" t="s">
        <v>1644</v>
      </c>
      <c r="J3140" s="387">
        <v>1</v>
      </c>
      <c r="K3140" s="385" t="s">
        <v>856</v>
      </c>
    </row>
    <row r="3141" spans="1:11" ht="15.75">
      <c r="A3141" s="384"/>
      <c r="B3141" s="577"/>
      <c r="C3141" s="385"/>
      <c r="D3141" s="385"/>
      <c r="E3141" s="462"/>
      <c r="F3141" s="385"/>
      <c r="G3141" s="385"/>
      <c r="H3141" s="387"/>
      <c r="I3141" s="1404"/>
      <c r="J3141" s="387"/>
      <c r="K3141" s="426"/>
    </row>
    <row r="3142" spans="1:11" ht="15.75">
      <c r="A3142" s="384"/>
      <c r="B3142" s="577"/>
      <c r="C3142" s="385"/>
      <c r="D3142" s="385"/>
      <c r="E3142" s="462"/>
      <c r="F3142" s="385"/>
      <c r="G3142" s="385"/>
      <c r="H3142" s="387"/>
      <c r="I3142" s="1404"/>
      <c r="J3142" s="387"/>
      <c r="K3142" s="426"/>
    </row>
    <row r="3143" spans="1:11" ht="15.75">
      <c r="A3143" s="109"/>
      <c r="B3143" s="80"/>
      <c r="C3143" s="80"/>
      <c r="D3143" s="80"/>
      <c r="E3143" s="119"/>
      <c r="F3143" s="71"/>
      <c r="G3143" s="71"/>
      <c r="H3143" s="80"/>
      <c r="I3143" s="1354"/>
      <c r="J3143" s="1246">
        <f>SUM(J3130:J3140)</f>
        <v>11</v>
      </c>
      <c r="K3143" s="1355"/>
    </row>
    <row r="3146" spans="1:11">
      <c r="A3146" s="1665" t="s">
        <v>4380</v>
      </c>
      <c r="B3146" s="1665"/>
      <c r="C3146" s="1665"/>
      <c r="D3146" s="1665"/>
      <c r="E3146" s="1665"/>
      <c r="F3146" s="1665"/>
      <c r="G3146" s="1665"/>
      <c r="H3146" s="1665"/>
      <c r="I3146" s="1665"/>
      <c r="J3146" s="1665"/>
      <c r="K3146" s="1665"/>
    </row>
    <row r="3147" spans="1:11">
      <c r="A3147" s="1666"/>
      <c r="B3147" s="1666"/>
      <c r="C3147" s="1666"/>
      <c r="D3147" s="1666"/>
      <c r="E3147" s="1666"/>
      <c r="F3147" s="1666"/>
      <c r="G3147" s="1666"/>
      <c r="H3147" s="1666"/>
      <c r="I3147" s="1666"/>
      <c r="J3147" s="1666"/>
      <c r="K3147" s="1666"/>
    </row>
    <row r="3149" spans="1:11" ht="15.75">
      <c r="A3149" s="394"/>
      <c r="B3149" s="395"/>
      <c r="C3149" s="395"/>
      <c r="D3149" s="395"/>
      <c r="E3149" s="706"/>
      <c r="F3149" s="707"/>
      <c r="G3149" s="707"/>
      <c r="H3149" s="397"/>
      <c r="I3149" s="397"/>
      <c r="J3149" s="397"/>
      <c r="K3149" s="395"/>
    </row>
    <row r="3150" spans="1:11" ht="26.25">
      <c r="A3150" s="1667" t="s">
        <v>4381</v>
      </c>
      <c r="B3150" s="1667"/>
      <c r="C3150" s="1667"/>
      <c r="D3150" s="1667"/>
      <c r="E3150" s="1667"/>
      <c r="F3150" s="1667"/>
      <c r="G3150" s="1667"/>
      <c r="H3150" s="1667"/>
      <c r="I3150" s="1667"/>
      <c r="J3150" s="1667"/>
      <c r="K3150" s="1667"/>
    </row>
    <row r="3151" spans="1:11" ht="30.75">
      <c r="A3151" s="375" t="s">
        <v>1941</v>
      </c>
      <c r="B3151" s="378" t="s">
        <v>1942</v>
      </c>
      <c r="C3151" s="378" t="s">
        <v>1943</v>
      </c>
      <c r="D3151" s="378" t="s">
        <v>1944</v>
      </c>
      <c r="E3151" s="452" t="s">
        <v>1945</v>
      </c>
      <c r="F3151" s="378" t="s">
        <v>1946</v>
      </c>
      <c r="G3151" s="378" t="s">
        <v>2590</v>
      </c>
      <c r="H3151" s="378" t="s">
        <v>1947</v>
      </c>
      <c r="I3151" s="378" t="s">
        <v>1948</v>
      </c>
      <c r="J3151" s="453" t="s">
        <v>1949</v>
      </c>
      <c r="K3151" s="378" t="s">
        <v>1950</v>
      </c>
    </row>
    <row r="3152" spans="1:11" ht="15.75">
      <c r="A3152" s="611"/>
      <c r="B3152" s="455"/>
      <c r="C3152" s="578"/>
      <c r="D3152" s="472"/>
      <c r="E3152" s="475"/>
      <c r="F3152" s="472"/>
      <c r="G3152" s="472"/>
      <c r="H3152" s="473"/>
      <c r="I3152" s="473"/>
      <c r="J3152" s="473"/>
      <c r="K3152" s="472"/>
    </row>
    <row r="3153" spans="1:11" ht="15.75">
      <c r="A3153" s="937"/>
      <c r="B3153" s="472"/>
      <c r="C3153" s="578"/>
      <c r="D3153" s="472"/>
      <c r="E3153" s="475"/>
      <c r="F3153" s="472"/>
      <c r="G3153" s="472"/>
      <c r="H3153" s="473"/>
      <c r="I3153" s="473"/>
      <c r="J3153" s="473"/>
      <c r="K3153" s="472"/>
    </row>
    <row r="3154" spans="1:11" ht="15.75">
      <c r="A3154" s="937"/>
      <c r="B3154" s="472"/>
      <c r="C3154" s="578"/>
      <c r="D3154" s="472"/>
      <c r="E3154" s="475"/>
      <c r="F3154" s="472"/>
      <c r="G3154" s="472"/>
      <c r="H3154" s="473"/>
      <c r="I3154" s="473"/>
      <c r="J3154" s="473"/>
      <c r="K3154" s="472"/>
    </row>
    <row r="3155" spans="1:11" ht="15.75">
      <c r="A3155" s="744" t="s">
        <v>4382</v>
      </c>
      <c r="B3155" s="653" t="s">
        <v>2182</v>
      </c>
      <c r="C3155" s="482" t="s">
        <v>4383</v>
      </c>
      <c r="D3155" s="385" t="s">
        <v>2661</v>
      </c>
      <c r="E3155" s="462">
        <v>1200000</v>
      </c>
      <c r="F3155" s="385" t="s">
        <v>2290</v>
      </c>
      <c r="G3155" s="385" t="s">
        <v>2605</v>
      </c>
      <c r="H3155" s="387" t="s">
        <v>2161</v>
      </c>
      <c r="I3155" s="387" t="s">
        <v>1644</v>
      </c>
      <c r="J3155" s="387">
        <v>1</v>
      </c>
      <c r="K3155" s="411" t="s">
        <v>3681</v>
      </c>
    </row>
    <row r="3156" spans="1:11" ht="15.75">
      <c r="A3156" s="393" t="s">
        <v>4382</v>
      </c>
      <c r="B3156" s="406" t="s">
        <v>2182</v>
      </c>
      <c r="C3156" s="482" t="s">
        <v>4384</v>
      </c>
      <c r="D3156" s="381" t="s">
        <v>2661</v>
      </c>
      <c r="E3156" s="451">
        <v>1000000</v>
      </c>
      <c r="F3156" s="381" t="s">
        <v>2292</v>
      </c>
      <c r="G3156" s="381" t="s">
        <v>2605</v>
      </c>
      <c r="H3156" s="383" t="s">
        <v>2161</v>
      </c>
      <c r="I3156" s="383" t="s">
        <v>1644</v>
      </c>
      <c r="J3156" s="383">
        <v>1</v>
      </c>
      <c r="K3156" s="381" t="s">
        <v>1245</v>
      </c>
    </row>
    <row r="3157" spans="1:11" ht="15.75">
      <c r="A3157" s="579" t="s">
        <v>4382</v>
      </c>
      <c r="B3157" s="381" t="s">
        <v>2182</v>
      </c>
      <c r="C3157" s="381" t="s">
        <v>2982</v>
      </c>
      <c r="D3157" s="381" t="s">
        <v>4108</v>
      </c>
      <c r="E3157" s="451">
        <v>1400000</v>
      </c>
      <c r="F3157" s="381" t="s">
        <v>2292</v>
      </c>
      <c r="G3157" s="381" t="s">
        <v>2593</v>
      </c>
      <c r="H3157" s="383" t="s">
        <v>2161</v>
      </c>
      <c r="I3157" s="383" t="s">
        <v>1644</v>
      </c>
      <c r="J3157" s="383">
        <v>1</v>
      </c>
      <c r="K3157" s="381" t="s">
        <v>1171</v>
      </c>
    </row>
    <row r="3158" spans="1:11" ht="15.75">
      <c r="A3158" s="579" t="s">
        <v>4385</v>
      </c>
      <c r="B3158" s="381" t="s">
        <v>2182</v>
      </c>
      <c r="C3158" s="381" t="s">
        <v>4386</v>
      </c>
      <c r="D3158" s="381" t="s">
        <v>2659</v>
      </c>
      <c r="E3158" s="451">
        <v>1400000</v>
      </c>
      <c r="F3158" s="381" t="s">
        <v>2292</v>
      </c>
      <c r="G3158" s="381" t="s">
        <v>2605</v>
      </c>
      <c r="H3158" s="383" t="s">
        <v>2161</v>
      </c>
      <c r="I3158" s="383" t="s">
        <v>1644</v>
      </c>
      <c r="J3158" s="383">
        <v>1</v>
      </c>
      <c r="K3158" s="381" t="s">
        <v>3681</v>
      </c>
    </row>
    <row r="3159" spans="1:11" ht="15.75">
      <c r="A3159" s="579"/>
      <c r="B3159" s="381"/>
      <c r="C3159" s="381"/>
      <c r="D3159" s="381"/>
      <c r="E3159" s="451"/>
      <c r="F3159" s="381"/>
      <c r="G3159" s="381"/>
      <c r="H3159" s="383"/>
      <c r="I3159" s="383"/>
      <c r="J3159" s="383"/>
      <c r="K3159" s="381"/>
    </row>
    <row r="3160" spans="1:11" ht="15.75">
      <c r="A3160" s="579"/>
      <c r="B3160" s="381"/>
      <c r="C3160" s="381"/>
      <c r="D3160" s="381"/>
      <c r="E3160" s="451"/>
      <c r="F3160" s="381"/>
      <c r="G3160" s="381"/>
      <c r="H3160" s="383"/>
      <c r="I3160" s="383"/>
      <c r="J3160" s="383"/>
      <c r="K3160" s="381"/>
    </row>
    <row r="3161" spans="1:11" ht="15.75">
      <c r="A3161" s="579"/>
      <c r="B3161" s="381"/>
      <c r="C3161" s="381"/>
      <c r="D3161" s="381"/>
      <c r="E3161" s="451"/>
      <c r="F3161" s="381"/>
      <c r="G3161" s="381"/>
      <c r="H3161" s="383"/>
      <c r="I3161" s="383"/>
      <c r="J3161" s="383"/>
      <c r="K3161" s="381"/>
    </row>
    <row r="3162" spans="1:11" ht="15.75">
      <c r="A3162" s="579"/>
      <c r="B3162" s="381"/>
      <c r="C3162" s="381"/>
      <c r="D3162" s="381"/>
      <c r="E3162" s="451"/>
      <c r="F3162" s="381"/>
      <c r="G3162" s="381"/>
      <c r="H3162" s="383"/>
      <c r="I3162" s="383"/>
      <c r="J3162" s="383"/>
      <c r="K3162" s="381"/>
    </row>
    <row r="3163" spans="1:11" ht="15.75">
      <c r="A3163" s="579"/>
      <c r="B3163" s="381"/>
      <c r="C3163" s="381"/>
      <c r="D3163" s="381"/>
      <c r="E3163" s="451"/>
      <c r="F3163" s="381"/>
      <c r="G3163" s="381"/>
      <c r="H3163" s="383"/>
      <c r="I3163" s="383"/>
      <c r="J3163" s="383"/>
      <c r="K3163" s="381"/>
    </row>
    <row r="3164" spans="1:11" ht="15.75">
      <c r="A3164" s="579"/>
      <c r="B3164" s="381"/>
      <c r="C3164" s="381"/>
      <c r="D3164" s="381"/>
      <c r="E3164" s="451"/>
      <c r="F3164" s="381"/>
      <c r="G3164" s="381"/>
      <c r="H3164" s="383"/>
      <c r="I3164" s="383"/>
      <c r="J3164" s="383"/>
      <c r="K3164" s="381"/>
    </row>
    <row r="3165" spans="1:11" ht="15.75">
      <c r="A3165" s="579"/>
      <c r="B3165" s="381"/>
      <c r="C3165" s="381"/>
      <c r="D3165" s="381"/>
      <c r="E3165" s="451"/>
      <c r="F3165" s="381"/>
      <c r="G3165" s="381"/>
      <c r="H3165" s="383"/>
      <c r="I3165" s="383"/>
      <c r="J3165" s="383"/>
      <c r="K3165" s="381"/>
    </row>
    <row r="3166" spans="1:11" ht="15.75">
      <c r="A3166" s="579"/>
      <c r="B3166" s="381"/>
      <c r="C3166" s="381"/>
      <c r="D3166" s="381"/>
      <c r="E3166" s="451"/>
      <c r="F3166" s="381"/>
      <c r="G3166" s="381"/>
      <c r="H3166" s="383"/>
      <c r="I3166" s="383"/>
      <c r="J3166" s="383"/>
      <c r="K3166" s="381"/>
    </row>
    <row r="3167" spans="1:11" ht="15.75">
      <c r="A3167" s="579"/>
      <c r="B3167" s="381"/>
      <c r="C3167" s="381"/>
      <c r="D3167" s="381"/>
      <c r="E3167" s="451"/>
      <c r="F3167" s="381"/>
      <c r="G3167" s="381"/>
      <c r="H3167" s="383"/>
      <c r="I3167" s="383"/>
      <c r="J3167" s="383"/>
      <c r="K3167" s="381"/>
    </row>
    <row r="3168" spans="1:11" ht="15.75">
      <c r="A3168" s="579"/>
      <c r="B3168" s="381"/>
      <c r="C3168" s="381"/>
      <c r="D3168" s="381"/>
      <c r="E3168" s="451"/>
      <c r="F3168" s="381"/>
      <c r="G3168" s="381"/>
      <c r="H3168" s="383"/>
      <c r="I3168" s="383"/>
      <c r="J3168" s="383"/>
      <c r="K3168" s="381"/>
    </row>
    <row r="3169" spans="1:11" ht="15.75">
      <c r="A3169" s="579"/>
      <c r="B3169" s="381"/>
      <c r="C3169" s="381"/>
      <c r="D3169" s="381"/>
      <c r="E3169" s="451"/>
      <c r="F3169" s="381"/>
      <c r="G3169" s="381"/>
      <c r="H3169" s="383"/>
      <c r="I3169" s="383"/>
      <c r="J3169" s="383"/>
      <c r="K3169" s="381"/>
    </row>
    <row r="3170" spans="1:11" ht="15.75">
      <c r="A3170" s="579"/>
      <c r="B3170" s="381"/>
      <c r="C3170" s="381"/>
      <c r="D3170" s="381"/>
      <c r="E3170" s="451"/>
      <c r="F3170" s="381"/>
      <c r="G3170" s="381"/>
      <c r="H3170" s="383"/>
      <c r="I3170" s="383"/>
      <c r="J3170" s="383"/>
      <c r="K3170" s="381"/>
    </row>
    <row r="3171" spans="1:11" ht="15.75">
      <c r="A3171" s="579"/>
      <c r="B3171" s="381"/>
      <c r="C3171" s="381"/>
      <c r="D3171" s="381"/>
      <c r="E3171" s="451"/>
      <c r="F3171" s="381"/>
      <c r="G3171" s="381"/>
      <c r="H3171" s="383"/>
      <c r="I3171" s="383"/>
      <c r="J3171" s="383"/>
      <c r="K3171" s="381"/>
    </row>
    <row r="3172" spans="1:11" ht="15.75">
      <c r="A3172" s="579"/>
      <c r="B3172" s="381"/>
      <c r="C3172" s="381"/>
      <c r="D3172" s="381"/>
      <c r="E3172" s="451"/>
      <c r="F3172" s="381"/>
      <c r="G3172" s="381"/>
      <c r="H3172" s="383"/>
      <c r="I3172" s="383"/>
      <c r="J3172" s="383"/>
      <c r="K3172" s="381"/>
    </row>
    <row r="3173" spans="1:11" ht="15.75">
      <c r="A3173" s="579"/>
      <c r="B3173" s="381"/>
      <c r="C3173" s="381"/>
      <c r="D3173" s="381"/>
      <c r="E3173" s="451"/>
      <c r="F3173" s="381"/>
      <c r="G3173" s="381"/>
      <c r="H3173" s="383"/>
      <c r="I3173" s="383"/>
      <c r="J3173" s="383"/>
      <c r="K3173" s="381"/>
    </row>
    <row r="3174" spans="1:11" ht="15.75">
      <c r="A3174" s="456"/>
      <c r="B3174" s="457"/>
      <c r="C3174" s="457"/>
      <c r="D3174" s="457"/>
      <c r="E3174" s="476"/>
      <c r="F3174" s="457"/>
      <c r="G3174" s="457"/>
      <c r="H3174" s="153"/>
      <c r="I3174" s="153"/>
      <c r="J3174" s="493">
        <f>SUM(J3152:J3173)</f>
        <v>4</v>
      </c>
      <c r="K3174" s="457"/>
    </row>
    <row r="3175" spans="1:11" ht="15.75">
      <c r="A3175" s="394"/>
      <c r="B3175" s="395"/>
      <c r="C3175" s="395"/>
      <c r="D3175" s="395"/>
      <c r="E3175" s="396"/>
      <c r="F3175" s="397"/>
      <c r="G3175" s="397"/>
      <c r="H3175" s="395"/>
      <c r="I3175" s="395"/>
      <c r="J3175" s="395"/>
      <c r="K3175" s="395"/>
    </row>
    <row r="3176" spans="1:11" ht="15.75">
      <c r="A3176" s="394"/>
      <c r="B3176" s="395"/>
      <c r="C3176" s="395"/>
      <c r="D3176" s="395"/>
      <c r="E3176" s="396"/>
      <c r="F3176" s="397"/>
      <c r="G3176" s="397"/>
      <c r="H3176" s="395"/>
      <c r="I3176" s="395"/>
      <c r="J3176" s="395"/>
      <c r="K3176" s="395"/>
    </row>
    <row r="3178" spans="1:11" ht="26.25">
      <c r="A3178" s="1668" t="s">
        <v>4387</v>
      </c>
      <c r="B3178" s="1669"/>
      <c r="C3178" s="1669"/>
      <c r="D3178" s="1669"/>
      <c r="E3178" s="1669"/>
      <c r="F3178" s="1669"/>
      <c r="G3178" s="1669"/>
      <c r="H3178" s="1669"/>
      <c r="I3178" s="1669"/>
      <c r="J3178" s="1669"/>
      <c r="K3178" s="1670"/>
    </row>
    <row r="3179" spans="1:11" ht="30.75">
      <c r="A3179" s="378" t="s">
        <v>1941</v>
      </c>
      <c r="B3179" s="378" t="s">
        <v>1942</v>
      </c>
      <c r="C3179" s="378" t="s">
        <v>1943</v>
      </c>
      <c r="D3179" s="378" t="s">
        <v>1944</v>
      </c>
      <c r="E3179" s="452" t="s">
        <v>1945</v>
      </c>
      <c r="F3179" s="378" t="s">
        <v>1946</v>
      </c>
      <c r="G3179" s="378" t="s">
        <v>2590</v>
      </c>
      <c r="H3179" s="378" t="s">
        <v>1947</v>
      </c>
      <c r="I3179" s="378" t="s">
        <v>1948</v>
      </c>
      <c r="J3179" s="453" t="s">
        <v>1949</v>
      </c>
      <c r="K3179" s="378" t="s">
        <v>1950</v>
      </c>
    </row>
    <row r="3180" spans="1:11" ht="15.75">
      <c r="A3180" s="922"/>
      <c r="B3180" s="618"/>
      <c r="C3180" s="472"/>
      <c r="D3180" s="472"/>
      <c r="E3180" s="475"/>
      <c r="F3180" s="472"/>
      <c r="G3180" s="472"/>
      <c r="H3180" s="473"/>
      <c r="I3180" s="473"/>
      <c r="J3180" s="473"/>
      <c r="K3180" s="472"/>
    </row>
    <row r="3181" spans="1:11" ht="15.75">
      <c r="A3181" s="922"/>
      <c r="B3181" s="618"/>
      <c r="C3181" s="472"/>
      <c r="D3181" s="472"/>
      <c r="E3181" s="475"/>
      <c r="F3181" s="472"/>
      <c r="G3181" s="472"/>
      <c r="H3181" s="473"/>
      <c r="I3181" s="473"/>
      <c r="J3181" s="473"/>
      <c r="K3181" s="472"/>
    </row>
    <row r="3182" spans="1:11" ht="15.75">
      <c r="A3182" s="611"/>
      <c r="B3182" s="472"/>
      <c r="C3182" s="472"/>
      <c r="D3182" s="472"/>
      <c r="E3182" s="475"/>
      <c r="F3182" s="472"/>
      <c r="G3182" s="472"/>
      <c r="H3182" s="473"/>
      <c r="I3182" s="473"/>
      <c r="J3182" s="473"/>
      <c r="K3182" s="472"/>
    </row>
    <row r="3183" spans="1:11" ht="15.75">
      <c r="A3183" s="384"/>
      <c r="B3183" s="577"/>
      <c r="C3183" s="426" t="s">
        <v>4388</v>
      </c>
      <c r="D3183" s="385"/>
      <c r="E3183" s="462"/>
      <c r="F3183" s="385"/>
      <c r="G3183" s="385"/>
      <c r="H3183" s="387"/>
      <c r="I3183" s="387"/>
      <c r="J3183" s="387"/>
      <c r="K3183" s="385"/>
    </row>
    <row r="3184" spans="1:11" ht="15.75">
      <c r="A3184" s="384"/>
      <c r="B3184" s="577"/>
      <c r="C3184" s="426"/>
      <c r="D3184" s="385"/>
      <c r="E3184" s="462"/>
      <c r="F3184" s="385"/>
      <c r="G3184" s="385"/>
      <c r="H3184" s="387"/>
      <c r="I3184" s="387"/>
      <c r="J3184" s="387"/>
      <c r="K3184" s="385"/>
    </row>
    <row r="3185" spans="1:11" ht="15.75">
      <c r="A3185" s="384"/>
      <c r="B3185" s="577"/>
      <c r="C3185" s="381"/>
      <c r="D3185" s="385"/>
      <c r="E3185" s="462"/>
      <c r="F3185" s="385"/>
      <c r="G3185" s="385"/>
      <c r="H3185" s="387"/>
      <c r="I3185" s="387"/>
      <c r="J3185" s="387"/>
      <c r="K3185" s="385"/>
    </row>
    <row r="3186" spans="1:11" ht="15.75">
      <c r="A3186" s="384"/>
      <c r="B3186" s="577"/>
      <c r="C3186" s="426"/>
      <c r="D3186" s="385"/>
      <c r="E3186" s="462"/>
      <c r="F3186" s="385"/>
      <c r="G3186" s="385"/>
      <c r="H3186" s="387"/>
      <c r="I3186" s="387"/>
      <c r="J3186" s="387"/>
      <c r="K3186" s="385"/>
    </row>
    <row r="3187" spans="1:11" ht="15.75">
      <c r="A3187" s="412"/>
      <c r="B3187" s="381"/>
      <c r="C3187" s="426"/>
      <c r="D3187" s="385"/>
      <c r="E3187" s="462"/>
      <c r="F3187" s="385"/>
      <c r="G3187" s="385"/>
      <c r="H3187" s="387"/>
      <c r="I3187" s="387"/>
      <c r="J3187" s="387"/>
      <c r="K3187" s="385"/>
    </row>
    <row r="3188" spans="1:11" ht="15.75">
      <c r="A3188" s="412"/>
      <c r="B3188" s="575"/>
      <c r="C3188" s="381"/>
      <c r="D3188" s="426"/>
      <c r="E3188" s="462"/>
      <c r="F3188" s="385"/>
      <c r="G3188" s="385"/>
      <c r="H3188" s="387"/>
      <c r="I3188" s="387"/>
      <c r="J3188" s="387"/>
      <c r="K3188" s="385"/>
    </row>
    <row r="3189" spans="1:11" ht="15.75">
      <c r="A3189" s="412"/>
      <c r="B3189" s="575"/>
      <c r="C3189" s="381"/>
      <c r="D3189" s="426"/>
      <c r="E3189" s="462"/>
      <c r="F3189" s="385"/>
      <c r="G3189" s="385"/>
      <c r="H3189" s="387"/>
      <c r="I3189" s="387"/>
      <c r="J3189" s="387"/>
      <c r="K3189" s="385"/>
    </row>
    <row r="3190" spans="1:11" ht="15.75">
      <c r="A3190" s="412"/>
      <c r="B3190" s="575"/>
      <c r="C3190" s="381"/>
      <c r="D3190" s="426"/>
      <c r="E3190" s="462"/>
      <c r="F3190" s="385"/>
      <c r="G3190" s="385"/>
      <c r="H3190" s="387"/>
      <c r="I3190" s="387"/>
      <c r="J3190" s="387"/>
      <c r="K3190" s="385"/>
    </row>
    <row r="3191" spans="1:11" ht="15.75">
      <c r="A3191" s="928"/>
      <c r="B3191" s="1442"/>
      <c r="C3191" s="381"/>
      <c r="D3191" s="743"/>
      <c r="E3191" s="644"/>
      <c r="F3191" s="633"/>
      <c r="G3191" s="633"/>
      <c r="H3191" s="635"/>
      <c r="I3191" s="635"/>
      <c r="J3191" s="387"/>
      <c r="K3191" s="385"/>
    </row>
    <row r="3192" spans="1:11" ht="15.75">
      <c r="A3192" s="393"/>
      <c r="B3192" s="1400"/>
      <c r="C3192" s="381"/>
      <c r="D3192" s="426"/>
      <c r="E3192" s="462"/>
      <c r="F3192" s="385"/>
      <c r="G3192" s="385"/>
      <c r="H3192" s="387"/>
      <c r="I3192" s="387"/>
      <c r="J3192" s="387"/>
      <c r="K3192" s="385"/>
    </row>
    <row r="3193" spans="1:11" ht="15.75">
      <c r="A3193" s="481"/>
      <c r="B3193" s="653"/>
      <c r="C3193" s="381"/>
      <c r="D3193" s="426"/>
      <c r="E3193" s="462"/>
      <c r="F3193" s="385"/>
      <c r="G3193" s="385"/>
      <c r="H3193" s="387"/>
      <c r="I3193" s="387"/>
      <c r="J3193" s="387"/>
      <c r="K3193" s="385"/>
    </row>
    <row r="3194" spans="1:11" ht="15.75">
      <c r="A3194" s="924"/>
      <c r="B3194" s="426"/>
      <c r="C3194" s="385"/>
      <c r="D3194" s="385"/>
      <c r="E3194" s="462"/>
      <c r="F3194" s="633"/>
      <c r="G3194" s="633"/>
      <c r="H3194" s="387"/>
      <c r="I3194" s="387"/>
      <c r="J3194" s="387"/>
      <c r="K3194" s="385"/>
    </row>
    <row r="3195" spans="1:11" ht="15.75">
      <c r="A3195" s="412"/>
      <c r="B3195" s="381"/>
      <c r="C3195" s="381"/>
      <c r="D3195" s="381"/>
      <c r="E3195" s="451"/>
      <c r="F3195" s="381"/>
      <c r="G3195" s="381"/>
      <c r="H3195" s="383"/>
      <c r="I3195" s="383"/>
      <c r="J3195" s="383"/>
      <c r="K3195" s="381"/>
    </row>
    <row r="3196" spans="1:11" ht="15.75">
      <c r="A3196" s="412"/>
      <c r="B3196" s="381"/>
      <c r="C3196" s="381"/>
      <c r="D3196" s="381"/>
      <c r="E3196" s="451"/>
      <c r="F3196" s="381"/>
      <c r="G3196" s="381"/>
      <c r="H3196" s="383"/>
      <c r="I3196" s="383"/>
      <c r="J3196" s="383"/>
      <c r="K3196" s="381"/>
    </row>
    <row r="3197" spans="1:11" ht="15.75">
      <c r="A3197" s="928"/>
      <c r="B3197" s="420"/>
      <c r="C3197" s="1303"/>
      <c r="D3197" s="1304"/>
      <c r="E3197" s="1305"/>
      <c r="F3197" s="1304"/>
      <c r="G3197" s="1304"/>
      <c r="H3197" s="1306"/>
      <c r="I3197" s="1306"/>
      <c r="J3197" s="484"/>
      <c r="K3197" s="482"/>
    </row>
    <row r="3198" spans="1:11" ht="15.75">
      <c r="A3198" s="928"/>
      <c r="B3198" s="420"/>
      <c r="C3198" s="743"/>
      <c r="D3198" s="633"/>
      <c r="E3198" s="644"/>
      <c r="F3198" s="633"/>
      <c r="G3198" s="633"/>
      <c r="H3198" s="635"/>
      <c r="I3198" s="635"/>
      <c r="J3198" s="387"/>
      <c r="K3198" s="385"/>
    </row>
    <row r="3199" spans="1:11" ht="15.75">
      <c r="A3199" s="928"/>
      <c r="B3199" s="420"/>
      <c r="C3199" s="743"/>
      <c r="D3199" s="633"/>
      <c r="E3199" s="644"/>
      <c r="F3199" s="633"/>
      <c r="G3199" s="633"/>
      <c r="H3199" s="635"/>
      <c r="I3199" s="635"/>
      <c r="J3199" s="387"/>
      <c r="K3199" s="385"/>
    </row>
    <row r="3200" spans="1:11" ht="15.75">
      <c r="A3200" s="928"/>
      <c r="B3200" s="420"/>
      <c r="C3200" s="743"/>
      <c r="D3200" s="633"/>
      <c r="E3200" s="644"/>
      <c r="F3200" s="633"/>
      <c r="G3200" s="633"/>
      <c r="H3200" s="635"/>
      <c r="I3200" s="635"/>
      <c r="J3200" s="387"/>
      <c r="K3200" s="385"/>
    </row>
    <row r="3201" spans="1:11" ht="15.75">
      <c r="A3201" s="928"/>
      <c r="B3201" s="420"/>
      <c r="C3201" s="743"/>
      <c r="D3201" s="633"/>
      <c r="E3201" s="644"/>
      <c r="F3201" s="633"/>
      <c r="G3201" s="633"/>
      <c r="H3201" s="635"/>
      <c r="I3201" s="635"/>
      <c r="J3201" s="387"/>
      <c r="K3201" s="385"/>
    </row>
    <row r="3202" spans="1:11" ht="15.75">
      <c r="A3202" s="928"/>
      <c r="B3202" s="420"/>
      <c r="C3202" s="743"/>
      <c r="D3202" s="633"/>
      <c r="E3202" s="644"/>
      <c r="F3202" s="633"/>
      <c r="G3202" s="633"/>
      <c r="H3202" s="635"/>
      <c r="I3202" s="635"/>
      <c r="J3202" s="387"/>
      <c r="K3202" s="385"/>
    </row>
    <row r="3203" spans="1:11" ht="15.75">
      <c r="A3203" s="928"/>
      <c r="B3203" s="420"/>
      <c r="C3203" s="743"/>
      <c r="D3203" s="633"/>
      <c r="E3203" s="644"/>
      <c r="F3203" s="633"/>
      <c r="G3203" s="633"/>
      <c r="H3203" s="635"/>
      <c r="I3203" s="635"/>
      <c r="J3203" s="387"/>
      <c r="K3203" s="385"/>
    </row>
    <row r="3204" spans="1:11" ht="15.75">
      <c r="A3204" s="419"/>
      <c r="B3204" s="420"/>
      <c r="C3204" s="457"/>
      <c r="D3204" s="457"/>
      <c r="E3204" s="458"/>
      <c r="F3204" s="457"/>
      <c r="G3204" s="457"/>
      <c r="H3204" s="457"/>
      <c r="I3204" s="457"/>
      <c r="J3204" s="493">
        <f>SUM(J3180:J3203)</f>
        <v>0</v>
      </c>
      <c r="K3204" s="457"/>
    </row>
    <row r="3207" spans="1:11" ht="26.25">
      <c r="A3207" s="1668" t="s">
        <v>4389</v>
      </c>
      <c r="B3207" s="1669"/>
      <c r="C3207" s="1669"/>
      <c r="D3207" s="1669"/>
      <c r="E3207" s="1669"/>
      <c r="F3207" s="1669"/>
      <c r="G3207" s="1669"/>
      <c r="H3207" s="1669"/>
      <c r="I3207" s="1669"/>
      <c r="J3207" s="1669"/>
      <c r="K3207" s="1670"/>
    </row>
    <row r="3208" spans="1:11" ht="30.75">
      <c r="A3208" s="375" t="s">
        <v>1941</v>
      </c>
      <c r="B3208" s="378" t="s">
        <v>1942</v>
      </c>
      <c r="C3208" s="378" t="s">
        <v>1943</v>
      </c>
      <c r="D3208" s="378" t="s">
        <v>1944</v>
      </c>
      <c r="E3208" s="452" t="s">
        <v>1945</v>
      </c>
      <c r="F3208" s="378" t="s">
        <v>1946</v>
      </c>
      <c r="G3208" s="378" t="s">
        <v>2590</v>
      </c>
      <c r="H3208" s="378" t="s">
        <v>1947</v>
      </c>
      <c r="I3208" s="378" t="s">
        <v>1948</v>
      </c>
      <c r="J3208" s="453" t="s">
        <v>1949</v>
      </c>
      <c r="K3208" s="378" t="s">
        <v>1950</v>
      </c>
    </row>
    <row r="3209" spans="1:11" ht="15.75">
      <c r="A3209" s="1068"/>
      <c r="B3209" s="1069"/>
      <c r="C3209" s="1070"/>
      <c r="D3209" s="1071"/>
      <c r="E3209" s="1072"/>
      <c r="F3209" s="1073"/>
      <c r="G3209" s="1073"/>
      <c r="H3209" s="1074"/>
      <c r="I3209" s="1074"/>
      <c r="J3209" s="1074"/>
      <c r="K3209" s="1073"/>
    </row>
    <row r="3210" spans="1:11" ht="15.75">
      <c r="A3210" s="1068"/>
      <c r="B3210" s="1069"/>
      <c r="C3210" s="1070"/>
      <c r="D3210" s="1071"/>
      <c r="E3210" s="1072"/>
      <c r="F3210" s="1073"/>
      <c r="G3210" s="1073"/>
      <c r="H3210" s="1074"/>
      <c r="I3210" s="1074"/>
      <c r="J3210" s="1074"/>
      <c r="K3210" s="1073"/>
    </row>
    <row r="3211" spans="1:11" ht="15.75">
      <c r="A3211" s="1068"/>
      <c r="B3211" s="1069"/>
      <c r="C3211" s="1070"/>
      <c r="D3211" s="1071"/>
      <c r="E3211" s="1072"/>
      <c r="F3211" s="1073"/>
      <c r="G3211" s="1073"/>
      <c r="H3211" s="1074"/>
      <c r="I3211" s="1074"/>
      <c r="J3211" s="1074"/>
      <c r="K3211" s="1073"/>
    </row>
    <row r="3212" spans="1:11" ht="15.75">
      <c r="A3212" s="443"/>
      <c r="B3212" s="653"/>
      <c r="C3212" s="381" t="s">
        <v>4390</v>
      </c>
      <c r="D3212" s="426"/>
      <c r="E3212" s="462"/>
      <c r="F3212" s="385"/>
      <c r="G3212" s="385"/>
      <c r="H3212" s="387"/>
      <c r="I3212" s="387"/>
      <c r="J3212" s="387"/>
      <c r="K3212" s="385"/>
    </row>
    <row r="3213" spans="1:11" ht="15.75">
      <c r="A3213" s="443"/>
      <c r="B3213" s="653"/>
      <c r="C3213" s="381"/>
      <c r="D3213" s="426"/>
      <c r="E3213" s="462"/>
      <c r="F3213" s="385"/>
      <c r="G3213" s="385"/>
      <c r="H3213" s="387"/>
      <c r="I3213" s="387"/>
      <c r="J3213" s="387"/>
      <c r="K3213" s="385"/>
    </row>
    <row r="3214" spans="1:11" ht="15.75">
      <c r="A3214" s="443"/>
      <c r="B3214" s="653"/>
      <c r="C3214" s="381"/>
      <c r="D3214" s="426"/>
      <c r="E3214" s="462"/>
      <c r="F3214" s="385"/>
      <c r="G3214" s="385"/>
      <c r="H3214" s="387"/>
      <c r="I3214" s="387"/>
      <c r="J3214" s="387"/>
      <c r="K3214" s="385"/>
    </row>
    <row r="3215" spans="1:11" ht="15.75">
      <c r="A3215" s="443"/>
      <c r="B3215" s="653"/>
      <c r="C3215" s="381"/>
      <c r="D3215" s="426"/>
      <c r="E3215" s="462"/>
      <c r="F3215" s="385"/>
      <c r="G3215" s="385"/>
      <c r="H3215" s="387"/>
      <c r="I3215" s="387"/>
      <c r="J3215" s="387"/>
      <c r="K3215" s="385"/>
    </row>
    <row r="3216" spans="1:11" ht="15.75">
      <c r="A3216" s="443"/>
      <c r="B3216" s="653"/>
      <c r="C3216" s="953"/>
      <c r="D3216" s="426"/>
      <c r="E3216" s="462"/>
      <c r="F3216" s="385"/>
      <c r="G3216" s="385"/>
      <c r="H3216" s="387"/>
      <c r="I3216" s="387"/>
      <c r="J3216" s="387"/>
      <c r="K3216" s="385"/>
    </row>
    <row r="3217" spans="1:11" ht="15.75">
      <c r="A3217" s="393"/>
      <c r="B3217" s="653"/>
      <c r="C3217" s="381"/>
      <c r="D3217" s="426"/>
      <c r="E3217" s="462"/>
      <c r="F3217" s="385"/>
      <c r="G3217" s="385"/>
      <c r="H3217" s="387"/>
      <c r="I3217" s="387"/>
      <c r="J3217" s="387"/>
      <c r="K3217" s="385"/>
    </row>
    <row r="3218" spans="1:11" ht="15.75">
      <c r="A3218" s="443"/>
      <c r="B3218" s="653"/>
      <c r="C3218" s="1441"/>
      <c r="D3218" s="426"/>
      <c r="E3218" s="462"/>
      <c r="F3218" s="385"/>
      <c r="G3218" s="385"/>
      <c r="H3218" s="387"/>
      <c r="I3218" s="387"/>
      <c r="J3218" s="387"/>
      <c r="K3218" s="385"/>
    </row>
    <row r="3219" spans="1:11" ht="15.75">
      <c r="A3219" s="443"/>
      <c r="B3219" s="653"/>
      <c r="C3219" s="381"/>
      <c r="D3219" s="426"/>
      <c r="E3219" s="462"/>
      <c r="F3219" s="385"/>
      <c r="G3219" s="385"/>
      <c r="H3219" s="387"/>
      <c r="I3219" s="387"/>
      <c r="J3219" s="387"/>
      <c r="K3219" s="385"/>
    </row>
    <row r="3220" spans="1:11" ht="15.75">
      <c r="A3220" s="443"/>
      <c r="B3220" s="653"/>
      <c r="C3220" s="381"/>
      <c r="D3220" s="426"/>
      <c r="E3220" s="462"/>
      <c r="F3220" s="385"/>
      <c r="G3220" s="385"/>
      <c r="H3220" s="387"/>
      <c r="I3220" s="387"/>
      <c r="J3220" s="387"/>
      <c r="K3220" s="385"/>
    </row>
    <row r="3221" spans="1:11" ht="15.75">
      <c r="A3221" s="443"/>
      <c r="B3221" s="653"/>
      <c r="C3221" s="381"/>
      <c r="D3221" s="426"/>
      <c r="E3221" s="462"/>
      <c r="F3221" s="385"/>
      <c r="G3221" s="385"/>
      <c r="H3221" s="387"/>
      <c r="I3221" s="387"/>
      <c r="J3221" s="387"/>
      <c r="K3221" s="385"/>
    </row>
    <row r="3222" spans="1:11" ht="15.75">
      <c r="A3222" s="443"/>
      <c r="B3222" s="653"/>
      <c r="C3222" s="381"/>
      <c r="D3222" s="426"/>
      <c r="E3222" s="462"/>
      <c r="F3222" s="385"/>
      <c r="G3222" s="385"/>
      <c r="H3222" s="387"/>
      <c r="I3222" s="387"/>
      <c r="J3222" s="387"/>
      <c r="K3222" s="385"/>
    </row>
    <row r="3223" spans="1:11" ht="15.75">
      <c r="A3223" s="443"/>
      <c r="B3223" s="653"/>
      <c r="C3223" s="381"/>
      <c r="D3223" s="426"/>
      <c r="E3223" s="462"/>
      <c r="F3223" s="385"/>
      <c r="G3223" s="385"/>
      <c r="H3223" s="387"/>
      <c r="I3223" s="387"/>
      <c r="J3223" s="387"/>
      <c r="K3223" s="385"/>
    </row>
    <row r="3224" spans="1:11" ht="15.75">
      <c r="A3224" s="443"/>
      <c r="B3224" s="653"/>
      <c r="C3224" s="381"/>
      <c r="D3224" s="426"/>
      <c r="E3224" s="462"/>
      <c r="F3224" s="385"/>
      <c r="G3224" s="385"/>
      <c r="H3224" s="387"/>
      <c r="I3224" s="387"/>
      <c r="J3224" s="387"/>
      <c r="K3224" s="385"/>
    </row>
    <row r="3225" spans="1:11" ht="15.75">
      <c r="A3225" s="443"/>
      <c r="B3225" s="653"/>
      <c r="C3225" s="381"/>
      <c r="D3225" s="426"/>
      <c r="E3225" s="462"/>
      <c r="F3225" s="385"/>
      <c r="G3225" s="385"/>
      <c r="H3225" s="387"/>
      <c r="I3225" s="387"/>
      <c r="J3225" s="387"/>
      <c r="K3225" s="385"/>
    </row>
    <row r="3226" spans="1:11" ht="15.75">
      <c r="A3226" s="443"/>
      <c r="B3226" s="653"/>
      <c r="C3226" s="381"/>
      <c r="D3226" s="426"/>
      <c r="E3226" s="462"/>
      <c r="F3226" s="385"/>
      <c r="G3226" s="385"/>
      <c r="H3226" s="387"/>
      <c r="I3226" s="387"/>
      <c r="J3226" s="387"/>
      <c r="K3226" s="385"/>
    </row>
    <row r="3227" spans="1:11" ht="15.75">
      <c r="A3227" s="393"/>
      <c r="B3227" s="381"/>
      <c r="C3227" s="381"/>
      <c r="D3227" s="381"/>
      <c r="E3227" s="451"/>
      <c r="F3227" s="381"/>
      <c r="G3227" s="381"/>
      <c r="H3227" s="383"/>
      <c r="I3227" s="383"/>
      <c r="J3227" s="1246">
        <f>SUM(J3212:J3226)</f>
        <v>0</v>
      </c>
      <c r="K3227" s="381"/>
    </row>
    <row r="3230" spans="1:11" ht="26.25">
      <c r="A3230" s="1667" t="s">
        <v>4391</v>
      </c>
      <c r="B3230" s="1667"/>
      <c r="C3230" s="1667"/>
      <c r="D3230" s="1667"/>
      <c r="E3230" s="1667"/>
      <c r="F3230" s="1667"/>
      <c r="G3230" s="1667"/>
      <c r="H3230" s="1667"/>
      <c r="I3230" s="1667"/>
      <c r="J3230" s="1667"/>
      <c r="K3230" s="1667"/>
    </row>
    <row r="3231" spans="1:11" ht="30.75">
      <c r="A3231" s="375" t="s">
        <v>1941</v>
      </c>
      <c r="B3231" s="378" t="s">
        <v>1942</v>
      </c>
      <c r="C3231" s="378" t="s">
        <v>1943</v>
      </c>
      <c r="D3231" s="378" t="s">
        <v>1944</v>
      </c>
      <c r="E3231" s="452" t="s">
        <v>1945</v>
      </c>
      <c r="F3231" s="378" t="s">
        <v>1946</v>
      </c>
      <c r="G3231" s="378" t="s">
        <v>2590</v>
      </c>
      <c r="H3231" s="378" t="s">
        <v>1947</v>
      </c>
      <c r="I3231" s="378" t="s">
        <v>1948</v>
      </c>
      <c r="J3231" s="453" t="s">
        <v>1949</v>
      </c>
      <c r="K3231" s="378" t="s">
        <v>1950</v>
      </c>
    </row>
    <row r="3232" spans="1:11" ht="15.75">
      <c r="A3232" s="1244"/>
      <c r="B3232" s="1320"/>
      <c r="C3232" s="1073"/>
      <c r="D3232" s="1073"/>
      <c r="E3232" s="1072"/>
      <c r="F3232" s="1073"/>
      <c r="G3232" s="1073"/>
      <c r="H3232" s="1074"/>
      <c r="I3232" s="1074"/>
      <c r="J3232" s="1074"/>
      <c r="K3232" s="1073"/>
    </row>
    <row r="3233" spans="1:11" ht="15.75">
      <c r="A3233" s="1244"/>
      <c r="B3233" s="1320"/>
      <c r="C3233" s="1073"/>
      <c r="D3233" s="1073"/>
      <c r="E3233" s="1072"/>
      <c r="F3233" s="1073"/>
      <c r="G3233" s="1073"/>
      <c r="H3233" s="1074"/>
      <c r="I3233" s="1074"/>
      <c r="J3233" s="1074"/>
      <c r="K3233" s="1073"/>
    </row>
    <row r="3234" spans="1:11" ht="15.75">
      <c r="A3234" s="1244"/>
      <c r="B3234" s="1425"/>
      <c r="C3234" s="1070"/>
      <c r="D3234" s="1071"/>
      <c r="E3234" s="1072"/>
      <c r="F3234" s="1073"/>
      <c r="G3234" s="1073"/>
      <c r="H3234" s="1074"/>
      <c r="I3234" s="1074"/>
      <c r="J3234" s="1074"/>
      <c r="K3234" s="1073"/>
    </row>
    <row r="3235" spans="1:11" ht="15.75">
      <c r="A3235" s="479" t="s">
        <v>4392</v>
      </c>
      <c r="B3235" s="381" t="s">
        <v>2694</v>
      </c>
      <c r="C3235" s="381" t="s">
        <v>4393</v>
      </c>
      <c r="D3235" s="381" t="s">
        <v>4394</v>
      </c>
      <c r="E3235" s="451">
        <v>900000</v>
      </c>
      <c r="F3235" s="275" t="s">
        <v>1968</v>
      </c>
      <c r="G3235" s="275" t="s">
        <v>2593</v>
      </c>
      <c r="H3235" s="383" t="s">
        <v>1955</v>
      </c>
      <c r="I3235" s="383" t="s">
        <v>1625</v>
      </c>
      <c r="J3235" s="383">
        <v>1</v>
      </c>
      <c r="K3235" s="411" t="s">
        <v>3681</v>
      </c>
    </row>
    <row r="3236" spans="1:11" ht="15.75">
      <c r="A3236" s="579" t="s">
        <v>4385</v>
      </c>
      <c r="B3236" s="381" t="s">
        <v>1952</v>
      </c>
      <c r="C3236" s="381" t="s">
        <v>3786</v>
      </c>
      <c r="D3236" s="381" t="s">
        <v>2394</v>
      </c>
      <c r="E3236" s="451">
        <v>1250000</v>
      </c>
      <c r="F3236" s="381" t="s">
        <v>1968</v>
      </c>
      <c r="G3236" s="381" t="s">
        <v>30</v>
      </c>
      <c r="H3236" s="383" t="s">
        <v>1955</v>
      </c>
      <c r="I3236" s="383" t="s">
        <v>1625</v>
      </c>
      <c r="J3236" s="383">
        <v>1</v>
      </c>
      <c r="K3236" s="381" t="s">
        <v>1171</v>
      </c>
    </row>
    <row r="3237" spans="1:11" ht="15.75">
      <c r="A3237" s="579" t="s">
        <v>4392</v>
      </c>
      <c r="B3237" s="381" t="s">
        <v>1952</v>
      </c>
      <c r="C3237" s="381" t="s">
        <v>4395</v>
      </c>
      <c r="D3237" s="381" t="s">
        <v>3059</v>
      </c>
      <c r="E3237" s="451">
        <v>2500000</v>
      </c>
      <c r="F3237" s="381" t="s">
        <v>3752</v>
      </c>
      <c r="G3237" s="381" t="s">
        <v>2605</v>
      </c>
      <c r="H3237" s="383" t="s">
        <v>1955</v>
      </c>
      <c r="I3237" s="383" t="s">
        <v>1625</v>
      </c>
      <c r="J3237" s="383">
        <v>1</v>
      </c>
      <c r="K3237" s="381" t="s">
        <v>1245</v>
      </c>
    </row>
    <row r="3238" spans="1:11" ht="15.75">
      <c r="A3238" s="579"/>
      <c r="B3238" s="381"/>
      <c r="C3238" s="1441" t="s">
        <v>4396</v>
      </c>
      <c r="D3238" s="381"/>
      <c r="E3238" s="451"/>
      <c r="F3238" s="381"/>
      <c r="G3238" s="381"/>
      <c r="H3238" s="383"/>
      <c r="I3238" s="383"/>
      <c r="J3238" s="383"/>
      <c r="K3238" s="381"/>
    </row>
    <row r="3239" spans="1:11" ht="15.75">
      <c r="A3239" s="579"/>
      <c r="B3239" s="381"/>
      <c r="C3239" s="381"/>
      <c r="D3239" s="381"/>
      <c r="E3239" s="451"/>
      <c r="F3239" s="381"/>
      <c r="G3239" s="381"/>
      <c r="H3239" s="383"/>
      <c r="I3239" s="383"/>
      <c r="J3239" s="383"/>
      <c r="K3239" s="381"/>
    </row>
    <row r="3240" spans="1:11" ht="15.75">
      <c r="A3240" s="579"/>
      <c r="B3240" s="381"/>
      <c r="C3240" s="381"/>
      <c r="D3240" s="381"/>
      <c r="E3240" s="451"/>
      <c r="F3240" s="381"/>
      <c r="G3240" s="381"/>
      <c r="H3240" s="383"/>
      <c r="I3240" s="383"/>
      <c r="J3240" s="383"/>
      <c r="K3240" s="381"/>
    </row>
    <row r="3241" spans="1:11" ht="15.75">
      <c r="A3241" s="579"/>
      <c r="B3241" s="381"/>
      <c r="C3241" s="381"/>
      <c r="D3241" s="381"/>
      <c r="E3241" s="451"/>
      <c r="F3241" s="381"/>
      <c r="G3241" s="381"/>
      <c r="H3241" s="383"/>
      <c r="I3241" s="383"/>
      <c r="J3241" s="383"/>
      <c r="K3241" s="381"/>
    </row>
    <row r="3242" spans="1:11" ht="15.75">
      <c r="A3242" s="579"/>
      <c r="B3242" s="381"/>
      <c r="C3242" s="381"/>
      <c r="D3242" s="381"/>
      <c r="E3242" s="451"/>
      <c r="F3242" s="381"/>
      <c r="G3242" s="381"/>
      <c r="H3242" s="383"/>
      <c r="I3242" s="383"/>
      <c r="J3242" s="383"/>
      <c r="K3242" s="381"/>
    </row>
    <row r="3243" spans="1:11" ht="15.75">
      <c r="A3243" s="579"/>
      <c r="B3243" s="381"/>
      <c r="C3243" s="381"/>
      <c r="D3243" s="381"/>
      <c r="E3243" s="451"/>
      <c r="F3243" s="381"/>
      <c r="G3243" s="381"/>
      <c r="H3243" s="383"/>
      <c r="I3243" s="383"/>
      <c r="J3243" s="383"/>
      <c r="K3243" s="381"/>
    </row>
    <row r="3244" spans="1:11" ht="15.75">
      <c r="A3244" s="456"/>
      <c r="B3244" s="457"/>
      <c r="C3244" s="457"/>
      <c r="D3244" s="457"/>
      <c r="E3244" s="476"/>
      <c r="F3244" s="457"/>
      <c r="G3244" s="457"/>
      <c r="H3244" s="153"/>
      <c r="I3244" s="153"/>
      <c r="J3244" s="493">
        <f>SUM(J3235:J3243)</f>
        <v>3</v>
      </c>
      <c r="K3244" s="457"/>
    </row>
    <row r="3245" spans="1:11" ht="15.75">
      <c r="A3245" s="394"/>
      <c r="B3245" s="395"/>
      <c r="C3245" s="395"/>
      <c r="D3245" s="395"/>
      <c r="E3245" s="396"/>
      <c r="F3245" s="397"/>
      <c r="G3245" s="397"/>
      <c r="H3245" s="395"/>
      <c r="I3245" s="395"/>
      <c r="J3245" s="395"/>
      <c r="K3245" s="395"/>
    </row>
    <row r="3246" spans="1:11" ht="15.75">
      <c r="A3246" s="394"/>
      <c r="B3246" s="395"/>
      <c r="C3246" s="395"/>
      <c r="D3246" s="395"/>
      <c r="E3246" s="396"/>
      <c r="F3246" s="397"/>
      <c r="G3246" s="397"/>
      <c r="H3246" s="395"/>
      <c r="I3246" s="395"/>
      <c r="J3246" s="395"/>
      <c r="K3246" s="395"/>
    </row>
    <row r="3248" spans="1:11" ht="26.25">
      <c r="A3248" s="1668" t="s">
        <v>4397</v>
      </c>
      <c r="B3248" s="1669"/>
      <c r="C3248" s="1669"/>
      <c r="D3248" s="1669"/>
      <c r="E3248" s="1669"/>
      <c r="F3248" s="1669"/>
      <c r="G3248" s="1669"/>
      <c r="H3248" s="1669"/>
      <c r="I3248" s="1669"/>
      <c r="J3248" s="1669"/>
      <c r="K3248" s="1670"/>
    </row>
    <row r="3249" spans="1:11" ht="30.75">
      <c r="A3249" s="378" t="s">
        <v>1941</v>
      </c>
      <c r="B3249" s="378" t="s">
        <v>1942</v>
      </c>
      <c r="C3249" s="378" t="s">
        <v>1943</v>
      </c>
      <c r="D3249" s="378" t="s">
        <v>1944</v>
      </c>
      <c r="E3249" s="452" t="s">
        <v>1945</v>
      </c>
      <c r="F3249" s="378" t="s">
        <v>1946</v>
      </c>
      <c r="G3249" s="378" t="s">
        <v>2590</v>
      </c>
      <c r="H3249" s="378" t="s">
        <v>1947</v>
      </c>
      <c r="I3249" s="378" t="s">
        <v>1948</v>
      </c>
      <c r="J3249" s="453" t="s">
        <v>1949</v>
      </c>
      <c r="K3249" s="378" t="s">
        <v>1950</v>
      </c>
    </row>
    <row r="3250" spans="1:11" ht="15.75">
      <c r="A3250" s="922"/>
      <c r="B3250" s="618"/>
      <c r="C3250" s="472"/>
      <c r="D3250" s="472"/>
      <c r="E3250" s="475"/>
      <c r="F3250" s="472"/>
      <c r="G3250" s="472"/>
      <c r="H3250" s="473"/>
      <c r="I3250" s="473"/>
      <c r="J3250" s="473"/>
      <c r="K3250" s="472"/>
    </row>
    <row r="3251" spans="1:11" ht="15.75">
      <c r="A3251" s="922"/>
      <c r="B3251" s="618"/>
      <c r="C3251" s="472"/>
      <c r="D3251" s="472"/>
      <c r="E3251" s="475"/>
      <c r="F3251" s="472"/>
      <c r="G3251" s="472"/>
      <c r="H3251" s="473"/>
      <c r="I3251" s="473"/>
      <c r="J3251" s="473"/>
      <c r="K3251" s="472"/>
    </row>
    <row r="3252" spans="1:11" ht="15.75">
      <c r="A3252" s="611"/>
      <c r="B3252" s="472"/>
      <c r="C3252" s="472"/>
      <c r="D3252" s="472"/>
      <c r="E3252" s="475"/>
      <c r="F3252" s="472"/>
      <c r="G3252" s="472"/>
      <c r="H3252" s="473"/>
      <c r="I3252" s="473"/>
      <c r="J3252" s="473"/>
      <c r="K3252" s="472"/>
    </row>
    <row r="3253" spans="1:11" ht="15.75">
      <c r="A3253" s="384"/>
      <c r="B3253" s="1445"/>
      <c r="C3253" s="381"/>
      <c r="D3253" s="426"/>
      <c r="E3253" s="462"/>
      <c r="F3253" s="385"/>
      <c r="G3253" s="385"/>
      <c r="H3253" s="387"/>
      <c r="I3253" s="387"/>
      <c r="J3253" s="387"/>
      <c r="K3253" s="385"/>
    </row>
    <row r="3254" spans="1:11" ht="15.75">
      <c r="A3254" s="384"/>
      <c r="B3254" s="1445"/>
      <c r="C3254" s="381"/>
      <c r="D3254" s="426"/>
      <c r="E3254" s="462"/>
      <c r="F3254" s="385"/>
      <c r="G3254" s="385"/>
      <c r="H3254" s="387"/>
      <c r="I3254" s="387"/>
      <c r="J3254" s="387"/>
      <c r="K3254" s="385"/>
    </row>
    <row r="3255" spans="1:11" ht="15.75">
      <c r="A3255" s="384"/>
      <c r="B3255" s="1445"/>
      <c r="C3255" s="381"/>
      <c r="D3255" s="426"/>
      <c r="E3255" s="462"/>
      <c r="F3255" s="385"/>
      <c r="G3255" s="385"/>
      <c r="H3255" s="387"/>
      <c r="I3255" s="387"/>
      <c r="J3255" s="387"/>
      <c r="K3255" s="385"/>
    </row>
    <row r="3256" spans="1:11" ht="15.75">
      <c r="A3256" s="384"/>
      <c r="B3256" s="1445"/>
      <c r="C3256" s="381"/>
      <c r="D3256" s="426"/>
      <c r="E3256" s="462"/>
      <c r="F3256" s="385"/>
      <c r="G3256" s="385"/>
      <c r="H3256" s="387"/>
      <c r="I3256" s="387"/>
      <c r="J3256" s="387"/>
      <c r="K3256" s="385"/>
    </row>
    <row r="3257" spans="1:11" ht="15.75">
      <c r="A3257" s="384"/>
      <c r="B3257" s="1445"/>
      <c r="C3257" s="381"/>
      <c r="D3257" s="426"/>
      <c r="E3257" s="462"/>
      <c r="F3257" s="385"/>
      <c r="G3257" s="385"/>
      <c r="H3257" s="387"/>
      <c r="I3257" s="387"/>
      <c r="J3257" s="387"/>
      <c r="K3257" s="385"/>
    </row>
    <row r="3258" spans="1:11" ht="15.75">
      <c r="A3258" s="384"/>
      <c r="B3258" s="1445"/>
      <c r="C3258" s="381"/>
      <c r="D3258" s="426"/>
      <c r="E3258" s="462"/>
      <c r="F3258" s="385"/>
      <c r="G3258" s="385"/>
      <c r="H3258" s="387"/>
      <c r="I3258" s="387"/>
      <c r="J3258" s="387"/>
      <c r="K3258" s="385"/>
    </row>
    <row r="3259" spans="1:11" ht="15.75">
      <c r="A3259" s="384"/>
      <c r="B3259" s="577"/>
      <c r="C3259" s="381"/>
      <c r="D3259" s="385"/>
      <c r="E3259" s="462"/>
      <c r="F3259" s="385"/>
      <c r="G3259" s="385"/>
      <c r="H3259" s="387"/>
      <c r="I3259" s="387"/>
      <c r="J3259" s="387"/>
      <c r="K3259" s="385"/>
    </row>
    <row r="3260" spans="1:11" ht="15.75">
      <c r="A3260" s="384"/>
      <c r="B3260" s="577"/>
      <c r="C3260" s="426"/>
      <c r="D3260" s="385"/>
      <c r="E3260" s="462"/>
      <c r="F3260" s="385"/>
      <c r="G3260" s="385"/>
      <c r="H3260" s="387"/>
      <c r="I3260" s="387"/>
      <c r="J3260" s="387"/>
      <c r="K3260" s="385"/>
    </row>
    <row r="3261" spans="1:11" ht="15.75">
      <c r="A3261" s="384"/>
      <c r="B3261" s="577"/>
      <c r="C3261" s="426"/>
      <c r="D3261" s="385"/>
      <c r="E3261" s="462"/>
      <c r="F3261" s="385"/>
      <c r="G3261" s="385"/>
      <c r="H3261" s="387"/>
      <c r="I3261" s="387"/>
      <c r="J3261" s="387"/>
      <c r="K3261" s="385"/>
    </row>
    <row r="3262" spans="1:11" ht="15.75">
      <c r="A3262" s="384"/>
      <c r="B3262" s="577"/>
      <c r="C3262" s="426"/>
      <c r="D3262" s="385"/>
      <c r="E3262" s="462"/>
      <c r="F3262" s="385"/>
      <c r="G3262" s="385"/>
      <c r="H3262" s="387"/>
      <c r="I3262" s="387"/>
      <c r="J3262" s="387"/>
      <c r="K3262" s="385"/>
    </row>
    <row r="3263" spans="1:11" ht="15.75">
      <c r="A3263" s="412"/>
      <c r="B3263" s="381"/>
      <c r="C3263" s="426"/>
      <c r="D3263" s="385"/>
      <c r="E3263" s="462"/>
      <c r="F3263" s="385"/>
      <c r="G3263" s="385"/>
      <c r="H3263" s="387"/>
      <c r="I3263" s="387"/>
      <c r="J3263" s="387"/>
      <c r="K3263" s="385"/>
    </row>
    <row r="3264" spans="1:11" ht="15.75">
      <c r="A3264" s="412"/>
      <c r="B3264" s="381"/>
      <c r="C3264" s="426"/>
      <c r="D3264" s="385"/>
      <c r="E3264" s="462"/>
      <c r="F3264" s="385"/>
      <c r="G3264" s="385"/>
      <c r="H3264" s="387"/>
      <c r="I3264" s="387"/>
      <c r="J3264" s="387"/>
      <c r="K3264" s="385"/>
    </row>
    <row r="3265" spans="1:11" ht="15.75">
      <c r="A3265" s="412"/>
      <c r="B3265" s="381"/>
      <c r="C3265" s="426"/>
      <c r="D3265" s="385"/>
      <c r="E3265" s="462"/>
      <c r="F3265" s="385"/>
      <c r="G3265" s="385"/>
      <c r="H3265" s="387"/>
      <c r="I3265" s="387"/>
      <c r="J3265" s="387"/>
      <c r="K3265" s="385"/>
    </row>
    <row r="3266" spans="1:11" ht="15.75">
      <c r="A3266" s="412"/>
      <c r="B3266" s="381"/>
      <c r="C3266" s="426"/>
      <c r="D3266" s="385"/>
      <c r="E3266" s="462"/>
      <c r="F3266" s="385"/>
      <c r="G3266" s="385"/>
      <c r="H3266" s="387"/>
      <c r="I3266" s="387"/>
      <c r="J3266" s="387"/>
      <c r="K3266" s="385"/>
    </row>
    <row r="3267" spans="1:11" ht="15.75">
      <c r="A3267" s="928"/>
      <c r="B3267" s="420"/>
      <c r="C3267" s="743"/>
      <c r="D3267" s="633"/>
      <c r="E3267" s="644"/>
      <c r="F3267" s="633"/>
      <c r="G3267" s="633"/>
      <c r="H3267" s="635"/>
      <c r="I3267" s="635"/>
      <c r="J3267" s="387"/>
      <c r="K3267" s="385"/>
    </row>
    <row r="3268" spans="1:11" ht="15.75">
      <c r="A3268" s="419"/>
      <c r="B3268" s="420"/>
      <c r="C3268" s="457"/>
      <c r="D3268" s="457"/>
      <c r="E3268" s="458"/>
      <c r="F3268" s="457"/>
      <c r="G3268" s="457"/>
      <c r="H3268" s="457"/>
      <c r="I3268" s="457"/>
      <c r="J3268" s="493">
        <f>SUM(J3250:J3267)</f>
        <v>0</v>
      </c>
      <c r="K3268" s="457"/>
    </row>
    <row r="3271" spans="1:11" ht="26.25">
      <c r="A3271" s="1668" t="s">
        <v>4398</v>
      </c>
      <c r="B3271" s="1669"/>
      <c r="C3271" s="1669"/>
      <c r="D3271" s="1669"/>
      <c r="E3271" s="1669"/>
      <c r="F3271" s="1669"/>
      <c r="G3271" s="1669"/>
      <c r="H3271" s="1669"/>
      <c r="I3271" s="1669"/>
      <c r="J3271" s="1669"/>
      <c r="K3271" s="1670"/>
    </row>
    <row r="3272" spans="1:11" ht="30.75">
      <c r="A3272" s="375" t="s">
        <v>1941</v>
      </c>
      <c r="B3272" s="378" t="s">
        <v>1942</v>
      </c>
      <c r="C3272" s="378" t="s">
        <v>1943</v>
      </c>
      <c r="D3272" s="378" t="s">
        <v>1944</v>
      </c>
      <c r="E3272" s="452" t="s">
        <v>1945</v>
      </c>
      <c r="F3272" s="378" t="s">
        <v>1946</v>
      </c>
      <c r="G3272" s="378" t="s">
        <v>2590</v>
      </c>
      <c r="H3272" s="378" t="s">
        <v>1947</v>
      </c>
      <c r="I3272" s="378" t="s">
        <v>1948</v>
      </c>
      <c r="J3272" s="453" t="s">
        <v>1949</v>
      </c>
      <c r="K3272" s="378" t="s">
        <v>1950</v>
      </c>
    </row>
    <row r="3273" spans="1:11" ht="15.75">
      <c r="A3273" s="1068"/>
      <c r="B3273" s="1069"/>
      <c r="C3273" s="1070"/>
      <c r="D3273" s="1071"/>
      <c r="E3273" s="1072"/>
      <c r="F3273" s="1073"/>
      <c r="G3273" s="1073"/>
      <c r="H3273" s="1074"/>
      <c r="I3273" s="1074"/>
      <c r="J3273" s="1074"/>
      <c r="K3273" s="1073"/>
    </row>
    <row r="3274" spans="1:11" ht="15.75">
      <c r="A3274" s="1068"/>
      <c r="B3274" s="1069"/>
      <c r="C3274" s="1073"/>
      <c r="D3274" s="1071"/>
      <c r="E3274" s="1072"/>
      <c r="F3274" s="1073"/>
      <c r="G3274" s="1073"/>
      <c r="H3274" s="1074"/>
      <c r="I3274" s="1074"/>
      <c r="J3274" s="1074"/>
      <c r="K3274" s="1073"/>
    </row>
    <row r="3275" spans="1:11" ht="15.75">
      <c r="A3275" s="443"/>
      <c r="B3275" s="1416"/>
      <c r="C3275" s="381" t="s">
        <v>4388</v>
      </c>
      <c r="D3275" s="426"/>
      <c r="E3275" s="462"/>
      <c r="F3275" s="385"/>
      <c r="G3275" s="385"/>
      <c r="H3275" s="387"/>
      <c r="I3275" s="387"/>
      <c r="J3275" s="387"/>
      <c r="K3275" s="385"/>
    </row>
    <row r="3276" spans="1:11" ht="15.75">
      <c r="A3276" s="443"/>
      <c r="B3276" s="1416"/>
      <c r="C3276" s="381" t="s">
        <v>4399</v>
      </c>
      <c r="D3276" s="426"/>
      <c r="E3276" s="462"/>
      <c r="F3276" s="385"/>
      <c r="G3276" s="385"/>
      <c r="H3276" s="387"/>
      <c r="I3276" s="387"/>
      <c r="J3276" s="387"/>
      <c r="K3276" s="385"/>
    </row>
    <row r="3277" spans="1:11" ht="15.75">
      <c r="A3277" s="443"/>
      <c r="B3277" s="1416"/>
      <c r="C3277" s="381"/>
      <c r="D3277" s="426"/>
      <c r="E3277" s="462"/>
      <c r="F3277" s="385"/>
      <c r="G3277" s="385"/>
      <c r="H3277" s="387"/>
      <c r="I3277" s="387"/>
      <c r="J3277" s="387"/>
      <c r="K3277" s="385"/>
    </row>
    <row r="3278" spans="1:11" ht="15.75">
      <c r="A3278" s="443"/>
      <c r="B3278" s="653"/>
      <c r="C3278" s="381"/>
      <c r="D3278" s="426"/>
      <c r="E3278" s="462"/>
      <c r="F3278" s="385"/>
      <c r="G3278" s="385"/>
      <c r="H3278" s="387"/>
      <c r="I3278" s="387"/>
      <c r="J3278" s="387"/>
      <c r="K3278" s="385"/>
    </row>
    <row r="3279" spans="1:11" ht="15.75">
      <c r="A3279" s="443"/>
      <c r="B3279" s="1416"/>
      <c r="C3279" s="381"/>
      <c r="D3279" s="426"/>
      <c r="E3279" s="462"/>
      <c r="F3279" s="385"/>
      <c r="G3279" s="385"/>
      <c r="H3279" s="387"/>
      <c r="I3279" s="387"/>
      <c r="J3279" s="387"/>
      <c r="K3279" s="385"/>
    </row>
    <row r="3280" spans="1:11" ht="15.75">
      <c r="A3280" s="443"/>
      <c r="B3280" s="1416"/>
      <c r="C3280" s="381"/>
      <c r="D3280" s="426"/>
      <c r="E3280" s="462"/>
      <c r="F3280" s="385"/>
      <c r="G3280" s="385"/>
      <c r="H3280" s="387"/>
      <c r="I3280" s="387"/>
      <c r="J3280" s="387"/>
      <c r="K3280" s="385"/>
    </row>
    <row r="3281" spans="1:11" ht="15.75">
      <c r="A3281" s="443"/>
      <c r="B3281" s="653"/>
      <c r="C3281" s="482"/>
      <c r="D3281" s="426"/>
      <c r="E3281" s="462"/>
      <c r="F3281" s="385"/>
      <c r="G3281" s="385"/>
      <c r="H3281" s="387"/>
      <c r="I3281" s="387"/>
      <c r="J3281" s="387"/>
      <c r="K3281" s="385"/>
    </row>
    <row r="3282" spans="1:11" ht="15.75">
      <c r="A3282" s="443"/>
      <c r="B3282" s="653"/>
      <c r="C3282" s="381"/>
      <c r="D3282" s="426"/>
      <c r="E3282" s="462"/>
      <c r="F3282" s="385"/>
      <c r="G3282" s="385"/>
      <c r="H3282" s="387"/>
      <c r="I3282" s="387"/>
      <c r="J3282" s="387"/>
      <c r="K3282" s="385"/>
    </row>
    <row r="3283" spans="1:11" ht="15.75">
      <c r="A3283" s="443"/>
      <c r="B3283" s="653"/>
      <c r="C3283" s="381"/>
      <c r="D3283" s="426"/>
      <c r="E3283" s="462"/>
      <c r="F3283" s="385"/>
      <c r="G3283" s="385"/>
      <c r="H3283" s="387"/>
      <c r="I3283" s="387"/>
      <c r="J3283" s="387"/>
      <c r="K3283" s="385"/>
    </row>
    <row r="3284" spans="1:11" ht="15.75">
      <c r="A3284" s="443"/>
      <c r="B3284" s="653"/>
      <c r="C3284" s="381"/>
      <c r="D3284" s="426"/>
      <c r="E3284" s="462"/>
      <c r="F3284" s="385"/>
      <c r="G3284" s="385"/>
      <c r="H3284" s="387"/>
      <c r="I3284" s="387"/>
      <c r="J3284" s="387"/>
      <c r="K3284" s="385"/>
    </row>
    <row r="3285" spans="1:11" ht="15.75">
      <c r="A3285" s="393"/>
      <c r="B3285" s="653"/>
      <c r="C3285" s="381"/>
      <c r="D3285" s="381"/>
      <c r="E3285" s="451"/>
      <c r="F3285" s="381"/>
      <c r="G3285" s="381"/>
      <c r="H3285" s="383"/>
      <c r="I3285" s="383"/>
      <c r="J3285" s="1246">
        <f>SUM(J3273:J3275)</f>
        <v>0</v>
      </c>
      <c r="K3285" s="381"/>
    </row>
    <row r="3288" spans="1:11" ht="26.25">
      <c r="A3288" s="1668" t="s">
        <v>4400</v>
      </c>
      <c r="B3288" s="1669"/>
      <c r="C3288" s="1669"/>
      <c r="D3288" s="1669"/>
      <c r="E3288" s="1669"/>
      <c r="F3288" s="1669"/>
      <c r="G3288" s="1669"/>
      <c r="H3288" s="1669"/>
      <c r="I3288" s="1669"/>
      <c r="J3288" s="1669"/>
      <c r="K3288" s="1670"/>
    </row>
    <row r="3289" spans="1:11" ht="30.75">
      <c r="A3289" s="375" t="s">
        <v>1941</v>
      </c>
      <c r="B3289" s="378" t="s">
        <v>1942</v>
      </c>
      <c r="C3289" s="378" t="s">
        <v>1943</v>
      </c>
      <c r="D3289" s="378" t="s">
        <v>1944</v>
      </c>
      <c r="E3289" s="452" t="s">
        <v>1945</v>
      </c>
      <c r="F3289" s="378" t="s">
        <v>1946</v>
      </c>
      <c r="G3289" s="378" t="s">
        <v>2590</v>
      </c>
      <c r="H3289" s="378" t="s">
        <v>1947</v>
      </c>
      <c r="I3289" s="378" t="s">
        <v>1948</v>
      </c>
      <c r="J3289" s="453" t="s">
        <v>1949</v>
      </c>
      <c r="K3289" s="378" t="s">
        <v>1950</v>
      </c>
    </row>
    <row r="3290" spans="1:11" ht="15.75">
      <c r="A3290" s="1244"/>
      <c r="B3290" s="1069"/>
      <c r="C3290" s="1070"/>
      <c r="D3290" s="1070"/>
      <c r="E3290" s="1245"/>
      <c r="F3290" s="1070"/>
      <c r="G3290" s="1070"/>
      <c r="H3290" s="1246"/>
      <c r="I3290" s="1246"/>
      <c r="J3290" s="1246"/>
      <c r="K3290" s="1070"/>
    </row>
    <row r="3291" spans="1:11" ht="15.75">
      <c r="A3291" s="393"/>
      <c r="B3291" s="653"/>
      <c r="C3291" s="381"/>
      <c r="D3291" s="381"/>
      <c r="E3291" s="451"/>
      <c r="F3291" s="381"/>
      <c r="G3291" s="381"/>
      <c r="H3291" s="383"/>
      <c r="I3291" s="383"/>
      <c r="J3291" s="383"/>
      <c r="K3291" s="381"/>
    </row>
    <row r="3292" spans="1:11" ht="15.75">
      <c r="A3292" s="393"/>
      <c r="B3292" s="653"/>
      <c r="C3292" s="381"/>
      <c r="D3292" s="381"/>
      <c r="E3292" s="451"/>
      <c r="F3292" s="381"/>
      <c r="G3292" s="381"/>
      <c r="H3292" s="383"/>
      <c r="I3292" s="383"/>
      <c r="J3292" s="1246"/>
      <c r="K3292" s="381"/>
    </row>
    <row r="3293" spans="1:11" ht="15.75">
      <c r="A3293" s="393"/>
      <c r="B3293" s="653"/>
      <c r="C3293" s="381"/>
      <c r="D3293" s="381"/>
      <c r="E3293" s="451"/>
      <c r="F3293" s="381"/>
      <c r="G3293" s="381"/>
      <c r="H3293" s="383"/>
      <c r="I3293" s="383"/>
      <c r="J3293" s="1246"/>
      <c r="K3293" s="381"/>
    </row>
    <row r="3294" spans="1:11" ht="15.75">
      <c r="A3294" s="393"/>
      <c r="B3294" s="653"/>
      <c r="C3294" s="381"/>
      <c r="D3294" s="381"/>
      <c r="E3294" s="451"/>
      <c r="F3294" s="381"/>
      <c r="G3294" s="381"/>
      <c r="H3294" s="383"/>
      <c r="I3294" s="383"/>
      <c r="J3294" s="1246"/>
      <c r="K3294" s="381"/>
    </row>
    <row r="3295" spans="1:11" ht="15.75">
      <c r="A3295" s="1405"/>
      <c r="B3295" s="1406"/>
      <c r="C3295" s="506"/>
      <c r="D3295" s="506"/>
      <c r="E3295" s="1407"/>
      <c r="F3295" s="506"/>
      <c r="G3295" s="506"/>
      <c r="H3295" s="504"/>
      <c r="I3295" s="504"/>
      <c r="J3295" s="1408"/>
      <c r="K3295" s="506"/>
    </row>
    <row r="3297" spans="1:11" ht="26.25">
      <c r="A3297" s="1668" t="s">
        <v>4401</v>
      </c>
      <c r="B3297" s="1669"/>
      <c r="C3297" s="1669"/>
      <c r="D3297" s="1669"/>
      <c r="E3297" s="1669"/>
      <c r="F3297" s="1669"/>
      <c r="G3297" s="1669"/>
      <c r="H3297" s="1669"/>
      <c r="I3297" s="1669"/>
      <c r="J3297" s="1669"/>
      <c r="K3297" s="1670"/>
    </row>
    <row r="3298" spans="1:11" ht="30.75">
      <c r="A3298" s="375" t="s">
        <v>1941</v>
      </c>
      <c r="B3298" s="378" t="s">
        <v>1942</v>
      </c>
      <c r="C3298" s="378" t="s">
        <v>1943</v>
      </c>
      <c r="D3298" s="378" t="s">
        <v>1944</v>
      </c>
      <c r="E3298" s="452" t="s">
        <v>1945</v>
      </c>
      <c r="F3298" s="378" t="s">
        <v>1946</v>
      </c>
      <c r="G3298" s="378" t="s">
        <v>2590</v>
      </c>
      <c r="H3298" s="378" t="s">
        <v>1947</v>
      </c>
      <c r="I3298" s="378" t="s">
        <v>1948</v>
      </c>
      <c r="J3298" s="453" t="s">
        <v>1949</v>
      </c>
      <c r="K3298" s="378" t="s">
        <v>1950</v>
      </c>
    </row>
    <row r="3299" spans="1:11" ht="15.75">
      <c r="A3299" s="1068"/>
      <c r="B3299" s="1069"/>
      <c r="C3299" s="1070"/>
      <c r="D3299" s="1071"/>
      <c r="E3299" s="1072"/>
      <c r="F3299" s="1073"/>
      <c r="G3299" s="1073"/>
      <c r="H3299" s="1074"/>
      <c r="I3299" s="1074"/>
      <c r="J3299" s="1074"/>
      <c r="K3299" s="1073"/>
    </row>
    <row r="3300" spans="1:11" ht="15.75">
      <c r="A3300" s="1068"/>
      <c r="B3300" s="1069"/>
      <c r="C3300" s="1070"/>
      <c r="D3300" s="1071"/>
      <c r="E3300" s="1072"/>
      <c r="F3300" s="1073"/>
      <c r="G3300" s="1073"/>
      <c r="H3300" s="1074"/>
      <c r="I3300" s="1074"/>
      <c r="J3300" s="1074"/>
      <c r="K3300" s="1073"/>
    </row>
    <row r="3301" spans="1:11" ht="15.75">
      <c r="A3301" s="443"/>
      <c r="B3301" s="653"/>
      <c r="C3301" s="1467"/>
      <c r="D3301" s="426"/>
      <c r="E3301" s="462"/>
      <c r="F3301" s="385"/>
      <c r="G3301" s="385"/>
      <c r="H3301" s="387"/>
      <c r="I3301" s="387"/>
      <c r="J3301" s="387"/>
      <c r="K3301" s="385"/>
    </row>
    <row r="3302" spans="1:11" ht="15.75">
      <c r="A3302" s="393"/>
      <c r="B3302" s="653"/>
      <c r="C3302" s="381"/>
      <c r="D3302" s="381"/>
      <c r="E3302" s="451"/>
      <c r="F3302" s="385"/>
      <c r="G3302" s="385"/>
      <c r="H3302" s="387"/>
      <c r="I3302" s="387"/>
      <c r="J3302" s="387"/>
      <c r="K3302" s="385"/>
    </row>
    <row r="3303" spans="1:11" ht="15.75">
      <c r="A3303" s="443"/>
      <c r="B3303" s="653"/>
      <c r="C3303" s="1467"/>
      <c r="D3303" s="426"/>
      <c r="E3303" s="462"/>
      <c r="F3303" s="385"/>
      <c r="G3303" s="385"/>
      <c r="H3303" s="387"/>
      <c r="I3303" s="387"/>
      <c r="J3303" s="387"/>
      <c r="K3303" s="385"/>
    </row>
    <row r="3304" spans="1:11" ht="15.75">
      <c r="A3304" s="443"/>
      <c r="B3304" s="653"/>
      <c r="C3304" s="1467"/>
      <c r="D3304" s="426"/>
      <c r="E3304" s="462"/>
      <c r="F3304" s="385"/>
      <c r="G3304" s="385"/>
      <c r="H3304" s="387"/>
      <c r="I3304" s="387"/>
      <c r="J3304" s="387"/>
      <c r="K3304" s="385"/>
    </row>
    <row r="3305" spans="1:11" ht="15.75">
      <c r="A3305" s="443"/>
      <c r="B3305" s="577"/>
      <c r="C3305" s="385"/>
      <c r="D3305" s="426"/>
      <c r="E3305" s="462"/>
      <c r="F3305" s="385"/>
      <c r="G3305" s="385"/>
      <c r="H3305" s="387"/>
      <c r="I3305" s="387"/>
      <c r="J3305" s="387"/>
      <c r="K3305" s="385"/>
    </row>
    <row r="3306" spans="1:11" ht="15.75">
      <c r="A3306" s="384"/>
      <c r="B3306" s="577"/>
      <c r="C3306" s="385"/>
      <c r="D3306" s="385"/>
      <c r="E3306" s="462"/>
      <c r="F3306" s="385"/>
      <c r="G3306" s="385"/>
      <c r="H3306" s="387"/>
      <c r="I3306" s="387"/>
      <c r="J3306" s="387"/>
      <c r="K3306" s="385"/>
    </row>
    <row r="3307" spans="1:11" ht="15.75">
      <c r="A3307" s="384"/>
      <c r="B3307" s="577"/>
      <c r="C3307" s="385"/>
      <c r="D3307" s="385"/>
      <c r="E3307" s="462"/>
      <c r="F3307" s="385"/>
      <c r="G3307" s="385"/>
      <c r="H3307" s="387"/>
      <c r="I3307" s="387"/>
      <c r="J3307" s="387"/>
      <c r="K3307" s="385"/>
    </row>
    <row r="3308" spans="1:11" ht="15.75">
      <c r="A3308" s="384"/>
      <c r="B3308" s="577"/>
      <c r="C3308" s="385"/>
      <c r="D3308" s="385"/>
      <c r="E3308" s="462"/>
      <c r="F3308" s="385"/>
      <c r="G3308" s="385"/>
      <c r="H3308" s="387"/>
      <c r="I3308" s="387"/>
      <c r="J3308" s="387"/>
      <c r="K3308" s="385"/>
    </row>
    <row r="3309" spans="1:11" ht="15.75">
      <c r="A3309" s="384"/>
      <c r="B3309" s="577"/>
      <c r="C3309" s="385"/>
      <c r="D3309" s="385"/>
      <c r="E3309" s="462"/>
      <c r="F3309" s="385"/>
      <c r="G3309" s="385"/>
      <c r="H3309" s="387"/>
      <c r="I3309" s="387"/>
      <c r="J3309" s="387"/>
      <c r="K3309" s="385"/>
    </row>
    <row r="3310" spans="1:11" ht="15.75">
      <c r="A3310" s="384"/>
      <c r="B3310" s="577"/>
      <c r="C3310" s="385"/>
      <c r="D3310" s="385"/>
      <c r="E3310" s="462"/>
      <c r="F3310" s="385"/>
      <c r="G3310" s="385"/>
      <c r="H3310" s="387"/>
      <c r="I3310" s="1404"/>
      <c r="J3310" s="387"/>
      <c r="K3310" s="426"/>
    </row>
    <row r="3311" spans="1:11" ht="15.75">
      <c r="A3311" s="384"/>
      <c r="B3311" s="577"/>
      <c r="C3311" s="385"/>
      <c r="D3311" s="385"/>
      <c r="E3311" s="462"/>
      <c r="F3311" s="385"/>
      <c r="G3311" s="385"/>
      <c r="H3311" s="387"/>
      <c r="I3311" s="1404"/>
      <c r="J3311" s="387"/>
      <c r="K3311" s="426"/>
    </row>
    <row r="3312" spans="1:11" ht="15.75">
      <c r="A3312" s="109"/>
      <c r="B3312" s="80"/>
      <c r="C3312" s="80"/>
      <c r="D3312" s="80"/>
      <c r="E3312" s="119"/>
      <c r="F3312" s="71"/>
      <c r="G3312" s="71"/>
      <c r="H3312" s="80"/>
      <c r="I3312" s="1354"/>
      <c r="J3312" s="1246">
        <f>SUM(J3301:J3309)</f>
        <v>0</v>
      </c>
      <c r="K3312" s="1355"/>
    </row>
  </sheetData>
  <mergeCells count="177">
    <mergeCell ref="A3005:K3006"/>
    <mergeCell ref="A3009:K3009"/>
    <mergeCell ref="A3026:K3026"/>
    <mergeCell ref="A3043:K3043"/>
    <mergeCell ref="A3071:K3071"/>
    <mergeCell ref="A3088:K3088"/>
    <mergeCell ref="A3103:K3103"/>
    <mergeCell ref="A3117:K3117"/>
    <mergeCell ref="A3126:K3126"/>
    <mergeCell ref="A2388:K2389"/>
    <mergeCell ref="A2392:K2392"/>
    <mergeCell ref="A2422:K2422"/>
    <mergeCell ref="A2450:K2450"/>
    <mergeCell ref="A2463:K2463"/>
    <mergeCell ref="A2479:K2479"/>
    <mergeCell ref="A2508:K2508"/>
    <mergeCell ref="A1606:K1607"/>
    <mergeCell ref="A1609:K1609"/>
    <mergeCell ref="A1642:K1642"/>
    <mergeCell ref="A1655:K1655"/>
    <mergeCell ref="A1686:K1686"/>
    <mergeCell ref="A1726:K1726"/>
    <mergeCell ref="A1716:K1716"/>
    <mergeCell ref="A1839:K1839"/>
    <mergeCell ref="A1733:K1734"/>
    <mergeCell ref="A1736:K1736"/>
    <mergeCell ref="A1767:K1767"/>
    <mergeCell ref="A1779:K1779"/>
    <mergeCell ref="A1809:K1809"/>
    <mergeCell ref="A1987:K1987"/>
    <mergeCell ref="A1979:K1979"/>
    <mergeCell ref="A1964:K1964"/>
    <mergeCell ref="A1860:K1860"/>
    <mergeCell ref="A1296:K1296"/>
    <mergeCell ref="A1306:K1306"/>
    <mergeCell ref="A1167:K1168"/>
    <mergeCell ref="A1170:K1170"/>
    <mergeCell ref="A1203:K1203"/>
    <mergeCell ref="A1233:K1233"/>
    <mergeCell ref="A1265:K1265"/>
    <mergeCell ref="A1598:K1598"/>
    <mergeCell ref="A1444:K1444"/>
    <mergeCell ref="A1454:K1454"/>
    <mergeCell ref="A1319:K1320"/>
    <mergeCell ref="A1322:K1322"/>
    <mergeCell ref="A1357:K1357"/>
    <mergeCell ref="A1376:K1376"/>
    <mergeCell ref="A1410:K1410"/>
    <mergeCell ref="A1588:K1588"/>
    <mergeCell ref="A1466:K1467"/>
    <mergeCell ref="A1469:K1469"/>
    <mergeCell ref="A1504:K1504"/>
    <mergeCell ref="A1536:K1536"/>
    <mergeCell ref="A1554:K1554"/>
    <mergeCell ref="A1:K2"/>
    <mergeCell ref="A3:K3"/>
    <mergeCell ref="A42:K42"/>
    <mergeCell ref="A78:K78"/>
    <mergeCell ref="A114:K114"/>
    <mergeCell ref="A485:K485"/>
    <mergeCell ref="A512:K512"/>
    <mergeCell ref="A237:K237"/>
    <mergeCell ref="A266:K266"/>
    <mergeCell ref="A419:K420"/>
    <mergeCell ref="A421:K421"/>
    <mergeCell ref="A454:K454"/>
    <mergeCell ref="A150:K150"/>
    <mergeCell ref="A338:K338"/>
    <mergeCell ref="A367:K367"/>
    <mergeCell ref="A397:K397"/>
    <mergeCell ref="A413:K413"/>
    <mergeCell ref="A165:K165"/>
    <mergeCell ref="A307:K308"/>
    <mergeCell ref="A309:K309"/>
    <mergeCell ref="A299:K299"/>
    <mergeCell ref="A169:K170"/>
    <mergeCell ref="A171:K171"/>
    <mergeCell ref="A207:K207"/>
    <mergeCell ref="A720:K721"/>
    <mergeCell ref="A618:K618"/>
    <mergeCell ref="A522:K523"/>
    <mergeCell ref="A524:K524"/>
    <mergeCell ref="A561:K561"/>
    <mergeCell ref="A589:K589"/>
    <mergeCell ref="A626:K627"/>
    <mergeCell ref="A628:K628"/>
    <mergeCell ref="A655:K655"/>
    <mergeCell ref="A682:K682"/>
    <mergeCell ref="A712:K712"/>
    <mergeCell ref="A1155:K1155"/>
    <mergeCell ref="A1022:K1023"/>
    <mergeCell ref="A1025:K1025"/>
    <mergeCell ref="A1037:K1037"/>
    <mergeCell ref="A1070:K1070"/>
    <mergeCell ref="A1105:K1105"/>
    <mergeCell ref="A832:K832"/>
    <mergeCell ref="A723:K723"/>
    <mergeCell ref="A757:K757"/>
    <mergeCell ref="A772:K772"/>
    <mergeCell ref="A806:K806"/>
    <mergeCell ref="A820:K820"/>
    <mergeCell ref="A1008:K1008"/>
    <mergeCell ref="A841:K842"/>
    <mergeCell ref="A844:K844"/>
    <mergeCell ref="A882:K882"/>
    <mergeCell ref="A914:K914"/>
    <mergeCell ref="A947:K947"/>
    <mergeCell ref="A970:K970"/>
    <mergeCell ref="A994:K994"/>
    <mergeCell ref="A1138:K1138"/>
    <mergeCell ref="A1853:K1853"/>
    <mergeCell ref="A1957:K1957"/>
    <mergeCell ref="A1867:K1868"/>
    <mergeCell ref="A1870:K1870"/>
    <mergeCell ref="A1900:K1900"/>
    <mergeCell ref="A1929:K1929"/>
    <mergeCell ref="A2104:K2105"/>
    <mergeCell ref="A2107:K2107"/>
    <mergeCell ref="A2119:K2119"/>
    <mergeCell ref="A2149:K2149"/>
    <mergeCell ref="A2177:K2177"/>
    <mergeCell ref="A2212:K2212"/>
    <mergeCell ref="A2356:K2356"/>
    <mergeCell ref="A2094:K2094"/>
    <mergeCell ref="A2003:K2004"/>
    <mergeCell ref="A2006:K2006"/>
    <mergeCell ref="A2035:K2035"/>
    <mergeCell ref="A2065:K2065"/>
    <mergeCell ref="A2202:K2202"/>
    <mergeCell ref="A2187:K2187"/>
    <mergeCell ref="A2200:K2201"/>
    <mergeCell ref="A2365:K2365"/>
    <mergeCell ref="A2372:K2372"/>
    <mergeCell ref="A2218:K2219"/>
    <mergeCell ref="A2222:K2222"/>
    <mergeCell ref="A2251:K2251"/>
    <mergeCell ref="A2283:K2283"/>
    <mergeCell ref="A2292:K2292"/>
    <mergeCell ref="A2317:K2317"/>
    <mergeCell ref="A2339:K2339"/>
    <mergeCell ref="A2840:K2840"/>
    <mergeCell ref="A2822:K2822"/>
    <mergeCell ref="A2794:K2794"/>
    <mergeCell ref="A2772:K2772"/>
    <mergeCell ref="A2748:K2748"/>
    <mergeCell ref="A2720:K2720"/>
    <mergeCell ref="A2690:K2690"/>
    <mergeCell ref="A2686:K2687"/>
    <mergeCell ref="A2516:K2516"/>
    <mergeCell ref="A2522:K2522"/>
    <mergeCell ref="A2540:K2541"/>
    <mergeCell ref="A2544:K2544"/>
    <mergeCell ref="A2574:K2574"/>
    <mergeCell ref="A2597:K2597"/>
    <mergeCell ref="A2623:K2623"/>
    <mergeCell ref="A2640:K2640"/>
    <mergeCell ref="A2655:K2655"/>
    <mergeCell ref="A2663:K2663"/>
    <mergeCell ref="A2669:K2669"/>
    <mergeCell ref="A2867:K2868"/>
    <mergeCell ref="A2871:K2871"/>
    <mergeCell ref="A2898:K2898"/>
    <mergeCell ref="A2926:K2926"/>
    <mergeCell ref="A2944:K2944"/>
    <mergeCell ref="A2964:K2964"/>
    <mergeCell ref="A2977:K2977"/>
    <mergeCell ref="A2989:K2989"/>
    <mergeCell ref="A2849:K2849"/>
    <mergeCell ref="A3146:K3147"/>
    <mergeCell ref="A3150:K3150"/>
    <mergeCell ref="A3178:K3178"/>
    <mergeCell ref="A3207:K3207"/>
    <mergeCell ref="A3230:K3230"/>
    <mergeCell ref="A3248:K3248"/>
    <mergeCell ref="A3271:K3271"/>
    <mergeCell ref="A3288:K3288"/>
    <mergeCell ref="A3297:K329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6766-DE0C-4731-9105-AFB8E039BF8F}">
  <sheetPr>
    <pageSetUpPr fitToPage="1"/>
  </sheetPr>
  <dimension ref="A3:G17"/>
  <sheetViews>
    <sheetView tabSelected="1" topLeftCell="A5" workbookViewId="0">
      <selection activeCell="H9" sqref="H9"/>
    </sheetView>
  </sheetViews>
  <sheetFormatPr defaultRowHeight="15"/>
  <cols>
    <col min="4" max="4" width="11.42578125" customWidth="1"/>
    <col min="6" max="6" width="9.7109375" bestFit="1" customWidth="1"/>
    <col min="7" max="7" width="10.7109375" customWidth="1"/>
  </cols>
  <sheetData>
    <row r="3" spans="1:7" ht="18.75">
      <c r="A3" s="1689" t="s">
        <v>4402</v>
      </c>
      <c r="B3" s="1689"/>
      <c r="C3" s="1689"/>
      <c r="D3" s="1689"/>
      <c r="E3" s="1690"/>
      <c r="F3" s="1690"/>
      <c r="G3" s="1690"/>
    </row>
    <row r="4" spans="1:7" ht="15.75">
      <c r="A4" s="1691" t="s">
        <v>4403</v>
      </c>
      <c r="B4" s="1692"/>
      <c r="C4" s="1692"/>
      <c r="D4" s="1692"/>
      <c r="E4" s="1697" t="s">
        <v>1945</v>
      </c>
      <c r="F4" s="1697"/>
      <c r="G4" s="1697"/>
    </row>
    <row r="5" spans="1:7" ht="18">
      <c r="A5" s="1684" t="s">
        <v>1496</v>
      </c>
      <c r="B5" s="1685"/>
      <c r="C5" s="1685"/>
      <c r="D5" s="1685"/>
      <c r="E5" s="1698">
        <v>44100</v>
      </c>
      <c r="F5" s="1698"/>
      <c r="G5" s="1698"/>
    </row>
    <row r="6" spans="1:7" ht="18">
      <c r="A6" s="1684" t="s">
        <v>113</v>
      </c>
      <c r="B6" s="1685"/>
      <c r="C6" s="1685"/>
      <c r="D6" s="1685"/>
      <c r="E6" s="1699">
        <v>44100</v>
      </c>
      <c r="F6" s="1699"/>
      <c r="G6" s="1699"/>
    </row>
    <row r="7" spans="1:7" ht="18">
      <c r="A7" s="1693" t="s">
        <v>1228</v>
      </c>
      <c r="B7" s="1694"/>
      <c r="C7" s="1694"/>
      <c r="D7" s="1694"/>
      <c r="E7" s="1680">
        <v>42000</v>
      </c>
      <c r="F7" s="1680"/>
      <c r="G7" s="1680"/>
    </row>
    <row r="8" spans="1:7" ht="18">
      <c r="A8" s="1682" t="s">
        <v>4039</v>
      </c>
      <c r="B8" s="1683"/>
      <c r="C8" s="1683"/>
      <c r="D8" s="1683"/>
      <c r="E8" s="1699">
        <v>40500</v>
      </c>
      <c r="F8" s="1699"/>
      <c r="G8" s="1699"/>
    </row>
    <row r="9" spans="1:7" ht="18">
      <c r="A9" s="1684" t="s">
        <v>856</v>
      </c>
      <c r="B9" s="1685"/>
      <c r="C9" s="1685"/>
      <c r="D9" s="1685"/>
      <c r="E9" s="1699">
        <v>44100</v>
      </c>
      <c r="F9" s="1699"/>
      <c r="G9" s="1699"/>
    </row>
    <row r="10" spans="1:7" ht="18">
      <c r="A10" s="1684" t="s">
        <v>3681</v>
      </c>
      <c r="B10" s="1685"/>
      <c r="C10" s="1685"/>
      <c r="D10" s="1685"/>
      <c r="E10" s="1699">
        <v>40500</v>
      </c>
      <c r="F10" s="1699"/>
      <c r="G10" s="1699"/>
    </row>
    <row r="11" spans="1:7" ht="18">
      <c r="A11" s="1686" t="s">
        <v>4404</v>
      </c>
      <c r="B11" s="1687"/>
      <c r="C11" s="1687"/>
      <c r="D11" s="1687"/>
      <c r="E11" s="1680">
        <v>44100</v>
      </c>
      <c r="F11" s="1680"/>
      <c r="G11" s="1680"/>
    </row>
    <row r="12" spans="1:7" ht="18">
      <c r="A12" s="1686" t="s">
        <v>4405</v>
      </c>
      <c r="B12" s="1687"/>
      <c r="C12" s="1687"/>
      <c r="D12" s="1687"/>
      <c r="E12" s="1680">
        <v>44100</v>
      </c>
      <c r="F12" s="1680"/>
      <c r="G12" s="1680"/>
    </row>
    <row r="13" spans="1:7" ht="18">
      <c r="A13" s="1686" t="s">
        <v>4406</v>
      </c>
      <c r="B13" s="1687"/>
      <c r="C13" s="1687"/>
      <c r="D13" s="1687"/>
      <c r="E13" s="1680">
        <v>44100</v>
      </c>
      <c r="F13" s="1680"/>
      <c r="G13" s="1680"/>
    </row>
    <row r="14" spans="1:7" ht="18">
      <c r="A14" s="1686" t="s">
        <v>4407</v>
      </c>
      <c r="B14" s="1687"/>
      <c r="C14" s="1687"/>
      <c r="D14" s="1687"/>
      <c r="E14" s="1680">
        <v>40500</v>
      </c>
      <c r="F14" s="1680"/>
      <c r="G14" s="1680"/>
    </row>
    <row r="15" spans="1:7" ht="18">
      <c r="A15" s="1695" t="s">
        <v>34</v>
      </c>
      <c r="B15" s="1695"/>
      <c r="C15" s="1695"/>
      <c r="D15" s="1696"/>
      <c r="E15" s="1681">
        <f>SUM(E5:G14)</f>
        <v>428100</v>
      </c>
      <c r="F15" s="1681"/>
      <c r="G15" s="1681"/>
    </row>
    <row r="17" spans="1:7" ht="51" customHeight="1">
      <c r="A17" s="1688"/>
      <c r="B17" s="1688"/>
      <c r="C17" s="1688"/>
      <c r="D17" s="1688"/>
      <c r="E17" s="1688"/>
      <c r="F17" s="1688"/>
      <c r="G17" s="1688"/>
    </row>
  </sheetData>
  <mergeCells count="26">
    <mergeCell ref="A17:G17"/>
    <mergeCell ref="E11:G11"/>
    <mergeCell ref="E12:G12"/>
    <mergeCell ref="A3:G3"/>
    <mergeCell ref="A4:D4"/>
    <mergeCell ref="A5:D5"/>
    <mergeCell ref="A6:D6"/>
    <mergeCell ref="A7:D7"/>
    <mergeCell ref="A15:D15"/>
    <mergeCell ref="E4:G4"/>
    <mergeCell ref="E5:G5"/>
    <mergeCell ref="E6:G6"/>
    <mergeCell ref="E7:G7"/>
    <mergeCell ref="E8:G8"/>
    <mergeCell ref="E9:G9"/>
    <mergeCell ref="E10:G10"/>
    <mergeCell ref="E14:G14"/>
    <mergeCell ref="E15:G15"/>
    <mergeCell ref="A8:D8"/>
    <mergeCell ref="A9:D9"/>
    <mergeCell ref="A10:D10"/>
    <mergeCell ref="A14:D14"/>
    <mergeCell ref="A11:D11"/>
    <mergeCell ref="A12:D12"/>
    <mergeCell ref="A13:D13"/>
    <mergeCell ref="E13:G13"/>
  </mergeCells>
  <pageMargins left="0.7" right="0.7" top="0.75" bottom="0.75" header="0.3" footer="0.3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9F11-4D10-49B3-BA21-C543F16D6597}">
  <dimension ref="A1:N568"/>
  <sheetViews>
    <sheetView topLeftCell="A527" workbookViewId="0">
      <selection activeCell="A540" sqref="A540"/>
    </sheetView>
  </sheetViews>
  <sheetFormatPr defaultRowHeight="15"/>
  <cols>
    <col min="1" max="1" width="20.42578125" customWidth="1"/>
    <col min="9" max="9" width="10.85546875" customWidth="1"/>
  </cols>
  <sheetData>
    <row r="1" spans="1:14">
      <c r="A1" s="1739" t="s">
        <v>4408</v>
      </c>
      <c r="B1" s="1739"/>
      <c r="C1" s="1739"/>
      <c r="D1" s="1739"/>
      <c r="E1" s="1739"/>
      <c r="F1" s="1739"/>
      <c r="G1" s="1739"/>
      <c r="H1" s="1739"/>
      <c r="I1" s="1739"/>
      <c r="J1" s="1739"/>
      <c r="K1" s="1739"/>
      <c r="L1" s="1739"/>
      <c r="M1" s="1739"/>
      <c r="N1" s="1739"/>
    </row>
    <row r="2" spans="1:14">
      <c r="A2" s="1739"/>
      <c r="B2" s="1739"/>
      <c r="C2" s="1739"/>
      <c r="D2" s="1739"/>
      <c r="E2" s="1739"/>
      <c r="F2" s="1739"/>
      <c r="G2" s="1739"/>
      <c r="H2" s="1739"/>
      <c r="I2" s="1739"/>
      <c r="J2" s="1739"/>
      <c r="K2" s="1739"/>
      <c r="L2" s="1739"/>
      <c r="M2" s="1739"/>
      <c r="N2" s="1739"/>
    </row>
    <row r="4" spans="1:14" ht="15" hidden="1" customHeight="1">
      <c r="A4" s="1718" t="s">
        <v>4409</v>
      </c>
      <c r="B4" s="1718"/>
      <c r="C4" s="1718"/>
      <c r="D4" s="1718"/>
      <c r="E4" s="1718"/>
      <c r="F4" s="1718"/>
      <c r="G4" s="1718"/>
      <c r="H4" s="1718"/>
      <c r="I4" s="1718"/>
      <c r="J4" s="1718"/>
      <c r="K4" s="1718"/>
      <c r="L4" s="1718"/>
      <c r="M4" s="1718"/>
      <c r="N4" s="1718"/>
    </row>
    <row r="5" spans="1:14" ht="15" hidden="1" customHeight="1">
      <c r="A5" s="1718"/>
      <c r="B5" s="1718"/>
      <c r="C5" s="1718"/>
      <c r="D5" s="1718"/>
      <c r="E5" s="1718"/>
      <c r="F5" s="1718"/>
      <c r="G5" s="1718"/>
      <c r="H5" s="1718"/>
      <c r="I5" s="1718"/>
      <c r="J5" s="1718"/>
      <c r="K5" s="1718"/>
      <c r="L5" s="1718"/>
      <c r="M5" s="1718"/>
      <c r="N5" s="1718"/>
    </row>
    <row r="6" spans="1:14" ht="30" hidden="1" customHeight="1">
      <c r="A6" s="614" t="s">
        <v>120</v>
      </c>
      <c r="B6" s="1740" t="s">
        <v>5</v>
      </c>
      <c r="C6" s="1740"/>
      <c r="D6" s="1740"/>
      <c r="E6" s="1740"/>
      <c r="F6" s="1740"/>
      <c r="G6" s="1740"/>
      <c r="H6" s="1740"/>
      <c r="I6" s="1741" t="s">
        <v>4410</v>
      </c>
      <c r="J6" s="1742"/>
      <c r="K6" s="1742"/>
      <c r="L6" s="1740" t="s">
        <v>4411</v>
      </c>
      <c r="M6" s="1740"/>
      <c r="N6" s="1740"/>
    </row>
    <row r="7" spans="1:14" ht="15.75" hidden="1">
      <c r="A7" s="135">
        <v>11345</v>
      </c>
      <c r="B7" s="1706" t="s">
        <v>280</v>
      </c>
      <c r="C7" s="1707"/>
      <c r="D7" s="1707"/>
      <c r="E7" s="1707"/>
      <c r="F7" s="1707"/>
      <c r="G7" s="1707"/>
      <c r="H7" s="1708"/>
      <c r="I7" s="1709">
        <v>1250000</v>
      </c>
      <c r="J7" s="1710"/>
      <c r="K7" s="1710"/>
      <c r="L7" s="1712" t="s">
        <v>288</v>
      </c>
      <c r="M7" s="1713"/>
      <c r="N7" s="1714"/>
    </row>
    <row r="8" spans="1:14" ht="15.75" hidden="1">
      <c r="A8" s="135">
        <v>11396</v>
      </c>
      <c r="B8" s="1706" t="s">
        <v>282</v>
      </c>
      <c r="C8" s="1707"/>
      <c r="D8" s="1707"/>
      <c r="E8" s="1707"/>
      <c r="F8" s="1707"/>
      <c r="G8" s="1707"/>
      <c r="H8" s="1708"/>
      <c r="I8" s="1709">
        <v>1200000</v>
      </c>
      <c r="J8" s="1710"/>
      <c r="K8" s="1710"/>
      <c r="L8" s="1712" t="s">
        <v>288</v>
      </c>
      <c r="M8" s="1713"/>
      <c r="N8" s="1714"/>
    </row>
    <row r="9" spans="1:14" ht="15.75" hidden="1">
      <c r="A9" s="135">
        <v>11354</v>
      </c>
      <c r="B9" s="1706" t="s">
        <v>284</v>
      </c>
      <c r="C9" s="1707"/>
      <c r="D9" s="1707"/>
      <c r="E9" s="1707"/>
      <c r="F9" s="1707"/>
      <c r="G9" s="1707"/>
      <c r="H9" s="1708"/>
      <c r="I9" s="1709">
        <v>870000</v>
      </c>
      <c r="J9" s="1710"/>
      <c r="K9" s="1710"/>
      <c r="L9" s="1712" t="s">
        <v>288</v>
      </c>
      <c r="M9" s="1713"/>
      <c r="N9" s="1714"/>
    </row>
    <row r="10" spans="1:14" ht="15.75" hidden="1">
      <c r="A10" s="135">
        <v>11397</v>
      </c>
      <c r="B10" s="1706" t="s">
        <v>287</v>
      </c>
      <c r="C10" s="1707"/>
      <c r="D10" s="1707"/>
      <c r="E10" s="1707"/>
      <c r="F10" s="1707"/>
      <c r="G10" s="1707"/>
      <c r="H10" s="1708"/>
      <c r="I10" s="1709">
        <v>1050000</v>
      </c>
      <c r="J10" s="1710"/>
      <c r="K10" s="1710"/>
      <c r="L10" s="1712" t="s">
        <v>288</v>
      </c>
      <c r="M10" s="1713"/>
      <c r="N10" s="1714"/>
    </row>
    <row r="11" spans="1:14" ht="15.75" hidden="1">
      <c r="A11" s="488">
        <v>11446</v>
      </c>
      <c r="B11" s="1706" t="s">
        <v>290</v>
      </c>
      <c r="C11" s="1707"/>
      <c r="D11" s="1707"/>
      <c r="E11" s="1707"/>
      <c r="F11" s="1707"/>
      <c r="G11" s="1707"/>
      <c r="H11" s="1708"/>
      <c r="I11" s="1709">
        <v>1000000</v>
      </c>
      <c r="J11" s="1710"/>
      <c r="K11" s="1710"/>
      <c r="L11" s="1712" t="s">
        <v>288</v>
      </c>
      <c r="M11" s="1713"/>
      <c r="N11" s="1714"/>
    </row>
    <row r="12" spans="1:14" ht="15.75" hidden="1">
      <c r="A12" s="135">
        <v>11378</v>
      </c>
      <c r="B12" s="1706" t="s">
        <v>303</v>
      </c>
      <c r="C12" s="1707"/>
      <c r="D12" s="1707"/>
      <c r="E12" s="1707"/>
      <c r="F12" s="1707"/>
      <c r="G12" s="1707"/>
      <c r="H12" s="1708"/>
      <c r="I12" s="1709">
        <v>1300000</v>
      </c>
      <c r="J12" s="1710"/>
      <c r="K12" s="1710"/>
      <c r="L12" s="1712" t="s">
        <v>187</v>
      </c>
      <c r="M12" s="1713"/>
      <c r="N12" s="1714"/>
    </row>
    <row r="13" spans="1:14" ht="15.75" hidden="1">
      <c r="A13" s="346">
        <v>11370</v>
      </c>
      <c r="B13" s="1706" t="s">
        <v>306</v>
      </c>
      <c r="C13" s="1707"/>
      <c r="D13" s="1707"/>
      <c r="E13" s="1707"/>
      <c r="F13" s="1707"/>
      <c r="G13" s="1707"/>
      <c r="H13" s="1708"/>
      <c r="I13" s="1709">
        <v>1100000</v>
      </c>
      <c r="J13" s="1710"/>
      <c r="K13" s="1711"/>
      <c r="L13" s="1712" t="s">
        <v>187</v>
      </c>
      <c r="M13" s="1713"/>
      <c r="N13" s="1714"/>
    </row>
    <row r="14" spans="1:14" ht="15.75" hidden="1">
      <c r="A14" s="346">
        <v>11454</v>
      </c>
      <c r="B14" s="1706" t="s">
        <v>309</v>
      </c>
      <c r="C14" s="1707"/>
      <c r="D14" s="1707"/>
      <c r="E14" s="1707"/>
      <c r="F14" s="1707"/>
      <c r="G14" s="1707"/>
      <c r="H14" s="1708"/>
      <c r="I14" s="1709">
        <v>1300000</v>
      </c>
      <c r="J14" s="1710"/>
      <c r="K14" s="1711"/>
      <c r="L14" s="1712" t="s">
        <v>187</v>
      </c>
      <c r="M14" s="1713"/>
      <c r="N14" s="1714"/>
    </row>
    <row r="15" spans="1:14" ht="18" hidden="1">
      <c r="A15" s="14"/>
      <c r="B15" s="1700" t="s">
        <v>34</v>
      </c>
      <c r="C15" s="1701"/>
      <c r="D15" s="1701"/>
      <c r="E15" s="1701"/>
      <c r="F15" s="1701"/>
      <c r="G15" s="1701"/>
      <c r="H15" s="1702"/>
      <c r="I15" s="1703">
        <f>SUM(I7:I14)</f>
        <v>9070000</v>
      </c>
      <c r="J15" s="1734"/>
      <c r="K15" s="1735"/>
      <c r="L15" s="1725"/>
      <c r="M15" s="1726"/>
      <c r="N15" s="1727"/>
    </row>
    <row r="16" spans="1:14" hidden="1"/>
    <row r="17" spans="1:14" hidden="1"/>
    <row r="18" spans="1:14" hidden="1">
      <c r="A18" s="1718" t="s">
        <v>4412</v>
      </c>
      <c r="B18" s="1718"/>
      <c r="C18" s="1718"/>
      <c r="D18" s="1718"/>
      <c r="E18" s="1718"/>
      <c r="F18" s="1718"/>
      <c r="G18" s="1718"/>
      <c r="H18" s="1718"/>
      <c r="I18" s="1718"/>
      <c r="J18" s="1718"/>
      <c r="K18" s="1718"/>
      <c r="L18" s="1718"/>
      <c r="M18" s="1718"/>
      <c r="N18" s="1718"/>
    </row>
    <row r="19" spans="1:14" hidden="1">
      <c r="A19" s="1718"/>
      <c r="B19" s="1718"/>
      <c r="C19" s="1718"/>
      <c r="D19" s="1718"/>
      <c r="E19" s="1718"/>
      <c r="F19" s="1718"/>
      <c r="G19" s="1718"/>
      <c r="H19" s="1718"/>
      <c r="I19" s="1718"/>
      <c r="J19" s="1718"/>
      <c r="K19" s="1718"/>
      <c r="L19" s="1718"/>
      <c r="M19" s="1718"/>
      <c r="N19" s="1718"/>
    </row>
    <row r="20" spans="1:14" ht="27" hidden="1" customHeight="1">
      <c r="A20" s="607" t="s">
        <v>120</v>
      </c>
      <c r="B20" s="1743" t="s">
        <v>5</v>
      </c>
      <c r="C20" s="1743"/>
      <c r="D20" s="1743"/>
      <c r="E20" s="1743"/>
      <c r="F20" s="1743"/>
      <c r="G20" s="1743"/>
      <c r="H20" s="1743"/>
      <c r="I20" s="1744" t="s">
        <v>4410</v>
      </c>
      <c r="J20" s="1745"/>
      <c r="K20" s="1745"/>
      <c r="L20" s="1743" t="s">
        <v>4411</v>
      </c>
      <c r="M20" s="1743"/>
      <c r="N20" s="1743"/>
    </row>
    <row r="21" spans="1:14" ht="15.75" hidden="1">
      <c r="A21" s="135">
        <v>11345</v>
      </c>
      <c r="B21" s="1706" t="s">
        <v>277</v>
      </c>
      <c r="C21" s="1707"/>
      <c r="D21" s="1707"/>
      <c r="E21" s="1707"/>
      <c r="F21" s="1707"/>
      <c r="G21" s="1707"/>
      <c r="H21" s="1708"/>
      <c r="I21" s="1709">
        <v>1200000</v>
      </c>
      <c r="J21" s="1710"/>
      <c r="K21" s="1711"/>
      <c r="L21" s="1728" t="s">
        <v>288</v>
      </c>
      <c r="M21" s="1729"/>
      <c r="N21" s="1730"/>
    </row>
    <row r="22" spans="1:14" ht="15.75" hidden="1">
      <c r="A22" s="135">
        <v>11403</v>
      </c>
      <c r="B22" s="1706" t="s">
        <v>285</v>
      </c>
      <c r="C22" s="1707"/>
      <c r="D22" s="1707"/>
      <c r="E22" s="1707"/>
      <c r="F22" s="1707"/>
      <c r="G22" s="1707"/>
      <c r="H22" s="1708"/>
      <c r="I22" s="1709">
        <v>1500000</v>
      </c>
      <c r="J22" s="1710"/>
      <c r="K22" s="1710"/>
      <c r="L22" s="1728" t="s">
        <v>288</v>
      </c>
      <c r="M22" s="1729"/>
      <c r="N22" s="1730"/>
    </row>
    <row r="23" spans="1:14" ht="15.75" hidden="1">
      <c r="A23" s="135">
        <v>11510</v>
      </c>
      <c r="B23" s="1706" t="s">
        <v>291</v>
      </c>
      <c r="C23" s="1707"/>
      <c r="D23" s="1707"/>
      <c r="E23" s="1707"/>
      <c r="F23" s="1707"/>
      <c r="G23" s="1707"/>
      <c r="H23" s="1708"/>
      <c r="I23" s="1709">
        <v>1150000</v>
      </c>
      <c r="J23" s="1710"/>
      <c r="K23" s="1710"/>
      <c r="L23" s="1712" t="s">
        <v>288</v>
      </c>
      <c r="M23" s="1713"/>
      <c r="N23" s="1714"/>
    </row>
    <row r="24" spans="1:14" ht="15.75" hidden="1">
      <c r="A24" s="135">
        <v>11498</v>
      </c>
      <c r="B24" s="1706" t="s">
        <v>292</v>
      </c>
      <c r="C24" s="1707"/>
      <c r="D24" s="1707"/>
      <c r="E24" s="1707"/>
      <c r="F24" s="1707"/>
      <c r="G24" s="1707"/>
      <c r="H24" s="1708"/>
      <c r="I24" s="1709">
        <v>650000</v>
      </c>
      <c r="J24" s="1710"/>
      <c r="K24" s="1710"/>
      <c r="L24" s="1712" t="s">
        <v>288</v>
      </c>
      <c r="M24" s="1713"/>
      <c r="N24" s="1714"/>
    </row>
    <row r="25" spans="1:14" ht="15.75" hidden="1">
      <c r="A25" s="135">
        <v>11515</v>
      </c>
      <c r="B25" s="1706" t="s">
        <v>294</v>
      </c>
      <c r="C25" s="1707"/>
      <c r="D25" s="1707"/>
      <c r="E25" s="1707"/>
      <c r="F25" s="1707"/>
      <c r="G25" s="1707"/>
      <c r="H25" s="1708"/>
      <c r="I25" s="1709">
        <v>1200000</v>
      </c>
      <c r="J25" s="1710"/>
      <c r="K25" s="1710"/>
      <c r="L25" s="1712" t="s">
        <v>288</v>
      </c>
      <c r="M25" s="1713"/>
      <c r="N25" s="1714"/>
    </row>
    <row r="26" spans="1:14" ht="15.75" hidden="1">
      <c r="A26" s="135">
        <v>11504</v>
      </c>
      <c r="B26" s="1706" t="s">
        <v>295</v>
      </c>
      <c r="C26" s="1707"/>
      <c r="D26" s="1707"/>
      <c r="E26" s="1707"/>
      <c r="F26" s="1707"/>
      <c r="G26" s="1707"/>
      <c r="H26" s="1708"/>
      <c r="I26" s="1709">
        <v>650000</v>
      </c>
      <c r="J26" s="1710"/>
      <c r="K26" s="1710"/>
      <c r="L26" s="1712" t="s">
        <v>288</v>
      </c>
      <c r="M26" s="1713"/>
      <c r="N26" s="1714"/>
    </row>
    <row r="27" spans="1:14" ht="15.75" hidden="1">
      <c r="A27" s="135">
        <v>11516</v>
      </c>
      <c r="B27" s="1706" t="s">
        <v>296</v>
      </c>
      <c r="C27" s="1707"/>
      <c r="D27" s="1707"/>
      <c r="E27" s="1707"/>
      <c r="F27" s="1707"/>
      <c r="G27" s="1707"/>
      <c r="H27" s="1708"/>
      <c r="I27" s="1709">
        <v>650000</v>
      </c>
      <c r="J27" s="1710"/>
      <c r="K27" s="1711"/>
      <c r="L27" s="1728" t="s">
        <v>288</v>
      </c>
      <c r="M27" s="1729"/>
      <c r="N27" s="1730"/>
    </row>
    <row r="28" spans="1:14" ht="15.75" hidden="1">
      <c r="A28" s="346">
        <v>11404</v>
      </c>
      <c r="B28" s="1706" t="s">
        <v>304</v>
      </c>
      <c r="C28" s="1707"/>
      <c r="D28" s="1707"/>
      <c r="E28" s="1707"/>
      <c r="F28" s="1707"/>
      <c r="G28" s="1707"/>
      <c r="H28" s="1708"/>
      <c r="I28" s="1709">
        <v>1200000</v>
      </c>
      <c r="J28" s="1710"/>
      <c r="K28" s="1711"/>
      <c r="L28" s="1712" t="s">
        <v>187</v>
      </c>
      <c r="M28" s="1713"/>
      <c r="N28" s="1714"/>
    </row>
    <row r="29" spans="1:14" ht="15.75" hidden="1">
      <c r="A29" s="346">
        <v>11389</v>
      </c>
      <c r="B29" s="1706" t="s">
        <v>283</v>
      </c>
      <c r="C29" s="1707"/>
      <c r="D29" s="1707"/>
      <c r="E29" s="1707"/>
      <c r="F29" s="1707"/>
      <c r="G29" s="1707"/>
      <c r="H29" s="1708"/>
      <c r="I29" s="1709">
        <v>1400000</v>
      </c>
      <c r="J29" s="1710"/>
      <c r="K29" s="1711"/>
      <c r="L29" s="1712" t="s">
        <v>187</v>
      </c>
      <c r="M29" s="1713"/>
      <c r="N29" s="1714"/>
    </row>
    <row r="30" spans="1:14" ht="15.75" hidden="1">
      <c r="A30" s="488">
        <v>11437</v>
      </c>
      <c r="B30" s="1706" t="s">
        <v>308</v>
      </c>
      <c r="C30" s="1707"/>
      <c r="D30" s="1707"/>
      <c r="E30" s="1707"/>
      <c r="F30" s="1707"/>
      <c r="G30" s="1707"/>
      <c r="H30" s="1708"/>
      <c r="I30" s="1709">
        <v>800000</v>
      </c>
      <c r="J30" s="1710"/>
      <c r="K30" s="1711"/>
      <c r="L30" s="1712" t="s">
        <v>187</v>
      </c>
      <c r="M30" s="1713"/>
      <c r="N30" s="1714"/>
    </row>
    <row r="31" spans="1:14" ht="15.75" hidden="1">
      <c r="A31" s="346">
        <v>11455</v>
      </c>
      <c r="B31" s="1706" t="s">
        <v>310</v>
      </c>
      <c r="C31" s="1707"/>
      <c r="D31" s="1707"/>
      <c r="E31" s="1707"/>
      <c r="F31" s="1707"/>
      <c r="G31" s="1707"/>
      <c r="H31" s="1708"/>
      <c r="I31" s="1709">
        <v>1100000</v>
      </c>
      <c r="J31" s="1710"/>
      <c r="K31" s="1711"/>
      <c r="L31" s="1712" t="s">
        <v>187</v>
      </c>
      <c r="M31" s="1713"/>
      <c r="N31" s="1714"/>
    </row>
    <row r="32" spans="1:14" ht="15.75" hidden="1">
      <c r="A32" s="346">
        <v>11478</v>
      </c>
      <c r="B32" s="1706" t="s">
        <v>312</v>
      </c>
      <c r="C32" s="1707"/>
      <c r="D32" s="1707"/>
      <c r="E32" s="1707"/>
      <c r="F32" s="1707"/>
      <c r="G32" s="1707"/>
      <c r="H32" s="1708"/>
      <c r="I32" s="1709">
        <v>1200000</v>
      </c>
      <c r="J32" s="1710"/>
      <c r="K32" s="1711"/>
      <c r="L32" s="1712" t="s">
        <v>187</v>
      </c>
      <c r="M32" s="1713"/>
      <c r="N32" s="1714"/>
    </row>
    <row r="33" spans="1:14" ht="15.75" hidden="1">
      <c r="A33" s="346">
        <v>11359</v>
      </c>
      <c r="B33" s="1706" t="s">
        <v>313</v>
      </c>
      <c r="C33" s="1707"/>
      <c r="D33" s="1707"/>
      <c r="E33" s="1707"/>
      <c r="F33" s="1707"/>
      <c r="G33" s="1707"/>
      <c r="H33" s="1708"/>
      <c r="I33" s="1709">
        <v>680000</v>
      </c>
      <c r="J33" s="1710"/>
      <c r="K33" s="1711"/>
      <c r="L33" s="1712" t="s">
        <v>311</v>
      </c>
      <c r="M33" s="1713"/>
      <c r="N33" s="1714"/>
    </row>
    <row r="34" spans="1:14" ht="15.75" hidden="1">
      <c r="A34" s="135">
        <v>11400</v>
      </c>
      <c r="B34" s="1706" t="s">
        <v>314</v>
      </c>
      <c r="C34" s="1707"/>
      <c r="D34" s="1707"/>
      <c r="E34" s="1707"/>
      <c r="F34" s="1707"/>
      <c r="G34" s="1707"/>
      <c r="H34" s="1708"/>
      <c r="I34" s="1709">
        <v>1200000</v>
      </c>
      <c r="J34" s="1710"/>
      <c r="K34" s="1711"/>
      <c r="L34" s="1712" t="s">
        <v>311</v>
      </c>
      <c r="M34" s="1713"/>
      <c r="N34" s="1714"/>
    </row>
    <row r="35" spans="1:14" ht="15.75" hidden="1">
      <c r="A35" s="135">
        <v>11349</v>
      </c>
      <c r="B35" s="1706" t="s">
        <v>315</v>
      </c>
      <c r="C35" s="1707"/>
      <c r="D35" s="1707"/>
      <c r="E35" s="1707"/>
      <c r="F35" s="1707"/>
      <c r="G35" s="1707"/>
      <c r="H35" s="1708"/>
      <c r="I35" s="1709">
        <v>900000</v>
      </c>
      <c r="J35" s="1710"/>
      <c r="K35" s="1711"/>
      <c r="L35" s="1712" t="s">
        <v>311</v>
      </c>
      <c r="M35" s="1713"/>
      <c r="N35" s="1714"/>
    </row>
    <row r="36" spans="1:14" ht="15.75" hidden="1">
      <c r="A36" s="135">
        <v>11408</v>
      </c>
      <c r="B36" s="1706" t="s">
        <v>316</v>
      </c>
      <c r="C36" s="1707"/>
      <c r="D36" s="1707"/>
      <c r="E36" s="1707"/>
      <c r="F36" s="1707"/>
      <c r="G36" s="1707"/>
      <c r="H36" s="1708"/>
      <c r="I36" s="1709">
        <v>900000</v>
      </c>
      <c r="J36" s="1710"/>
      <c r="K36" s="1711"/>
      <c r="L36" s="1712" t="s">
        <v>311</v>
      </c>
      <c r="M36" s="1713"/>
      <c r="N36" s="1714"/>
    </row>
    <row r="37" spans="1:14" ht="15.75" hidden="1">
      <c r="A37" s="135">
        <v>11382</v>
      </c>
      <c r="B37" s="1706" t="s">
        <v>281</v>
      </c>
      <c r="C37" s="1707"/>
      <c r="D37" s="1707"/>
      <c r="E37" s="1707"/>
      <c r="F37" s="1707"/>
      <c r="G37" s="1707"/>
      <c r="H37" s="1708"/>
      <c r="I37" s="1709">
        <v>1350000</v>
      </c>
      <c r="J37" s="1710"/>
      <c r="K37" s="1711"/>
      <c r="L37" s="1712" t="s">
        <v>311</v>
      </c>
      <c r="M37" s="1713"/>
      <c r="N37" s="1714"/>
    </row>
    <row r="38" spans="1:14" ht="15.75" hidden="1">
      <c r="A38" s="135">
        <v>11482</v>
      </c>
      <c r="B38" s="1706" t="s">
        <v>317</v>
      </c>
      <c r="C38" s="1707"/>
      <c r="D38" s="1707"/>
      <c r="E38" s="1707"/>
      <c r="F38" s="1707"/>
      <c r="G38" s="1707"/>
      <c r="H38" s="1708"/>
      <c r="I38" s="1709">
        <v>750000</v>
      </c>
      <c r="J38" s="1710"/>
      <c r="K38" s="1711"/>
      <c r="L38" s="1712" t="s">
        <v>311</v>
      </c>
      <c r="M38" s="1713"/>
      <c r="N38" s="1714"/>
    </row>
    <row r="39" spans="1:14" ht="15.75" hidden="1">
      <c r="A39" s="135">
        <v>11486</v>
      </c>
      <c r="B39" s="1706" t="s">
        <v>319</v>
      </c>
      <c r="C39" s="1707"/>
      <c r="D39" s="1707"/>
      <c r="E39" s="1707"/>
      <c r="F39" s="1707"/>
      <c r="G39" s="1707"/>
      <c r="H39" s="1708"/>
      <c r="I39" s="1709">
        <v>700000</v>
      </c>
      <c r="J39" s="1710"/>
      <c r="K39" s="1711"/>
      <c r="L39" s="1712" t="s">
        <v>311</v>
      </c>
      <c r="M39" s="1713"/>
      <c r="N39" s="1714"/>
    </row>
    <row r="40" spans="1:14" ht="15.75" hidden="1">
      <c r="A40" s="346">
        <v>11374</v>
      </c>
      <c r="B40" s="1706" t="s">
        <v>324</v>
      </c>
      <c r="C40" s="1707"/>
      <c r="D40" s="1707"/>
      <c r="E40" s="1707"/>
      <c r="F40" s="1707"/>
      <c r="G40" s="1707"/>
      <c r="H40" s="1708"/>
      <c r="I40" s="1709">
        <v>1060000</v>
      </c>
      <c r="J40" s="1710"/>
      <c r="K40" s="1711"/>
      <c r="L40" s="1712" t="s">
        <v>30</v>
      </c>
      <c r="M40" s="1713"/>
      <c r="N40" s="1714"/>
    </row>
    <row r="41" spans="1:14" ht="18" hidden="1">
      <c r="A41" s="14"/>
      <c r="B41" s="1700" t="s">
        <v>34</v>
      </c>
      <c r="C41" s="1701"/>
      <c r="D41" s="1701"/>
      <c r="E41" s="1701"/>
      <c r="F41" s="1701"/>
      <c r="G41" s="1701"/>
      <c r="H41" s="1702"/>
      <c r="I41" s="1703">
        <f>SUM(I21:I40)</f>
        <v>20240000</v>
      </c>
      <c r="J41" s="1734"/>
      <c r="K41" s="1735"/>
      <c r="L41" s="1725"/>
      <c r="M41" s="1726"/>
      <c r="N41" s="1727"/>
    </row>
    <row r="44" spans="1:14">
      <c r="A44" s="1721" t="s">
        <v>4413</v>
      </c>
      <c r="B44" s="1721"/>
      <c r="C44" s="1721"/>
      <c r="D44" s="1721"/>
      <c r="E44" s="1721"/>
      <c r="F44" s="1721"/>
      <c r="G44" s="1721"/>
      <c r="H44" s="1721"/>
      <c r="I44" s="1721"/>
      <c r="J44" s="1721"/>
      <c r="K44" s="1721"/>
      <c r="L44" s="1721"/>
      <c r="M44" s="1721"/>
      <c r="N44" s="1721"/>
    </row>
    <row r="45" spans="1:14">
      <c r="A45" s="1721"/>
      <c r="B45" s="1721"/>
      <c r="C45" s="1721"/>
      <c r="D45" s="1721"/>
      <c r="E45" s="1721"/>
      <c r="F45" s="1721"/>
      <c r="G45" s="1721"/>
      <c r="H45" s="1721"/>
      <c r="I45" s="1721"/>
      <c r="J45" s="1721"/>
      <c r="K45" s="1721"/>
      <c r="L45" s="1721"/>
      <c r="M45" s="1721"/>
      <c r="N45" s="1721"/>
    </row>
    <row r="47" spans="1:14" hidden="1">
      <c r="A47" s="1718" t="s">
        <v>4414</v>
      </c>
      <c r="B47" s="1718"/>
      <c r="C47" s="1718"/>
      <c r="D47" s="1718"/>
      <c r="E47" s="1718"/>
      <c r="F47" s="1718"/>
      <c r="G47" s="1718"/>
      <c r="H47" s="1718"/>
      <c r="I47" s="1718"/>
      <c r="J47" s="1718"/>
      <c r="K47" s="1718"/>
      <c r="L47" s="1718"/>
      <c r="M47" s="1718"/>
      <c r="N47" s="1718"/>
    </row>
    <row r="48" spans="1:14" hidden="1">
      <c r="A48" s="1718"/>
      <c r="B48" s="1718"/>
      <c r="C48" s="1718"/>
      <c r="D48" s="1718"/>
      <c r="E48" s="1718"/>
      <c r="F48" s="1718"/>
      <c r="G48" s="1718"/>
      <c r="H48" s="1718"/>
      <c r="I48" s="1718"/>
      <c r="J48" s="1718"/>
      <c r="K48" s="1718"/>
      <c r="L48" s="1718"/>
      <c r="M48" s="1718"/>
      <c r="N48" s="1718"/>
    </row>
    <row r="49" spans="1:14" ht="26.25" hidden="1" customHeight="1">
      <c r="A49" s="615" t="s">
        <v>120</v>
      </c>
      <c r="B49" s="1722" t="s">
        <v>5</v>
      </c>
      <c r="C49" s="1722"/>
      <c r="D49" s="1722"/>
      <c r="E49" s="1722"/>
      <c r="F49" s="1722"/>
      <c r="G49" s="1722"/>
      <c r="H49" s="1722"/>
      <c r="I49" s="1723" t="s">
        <v>4410</v>
      </c>
      <c r="J49" s="1724"/>
      <c r="K49" s="1724"/>
      <c r="L49" s="1722" t="s">
        <v>4411</v>
      </c>
      <c r="M49" s="1722"/>
      <c r="N49" s="1722"/>
    </row>
    <row r="50" spans="1:14" ht="15.75" hidden="1">
      <c r="A50" s="135">
        <v>11531</v>
      </c>
      <c r="B50" s="1706" t="s">
        <v>328</v>
      </c>
      <c r="C50" s="1707"/>
      <c r="D50" s="1707"/>
      <c r="E50" s="1707"/>
      <c r="F50" s="1707"/>
      <c r="G50" s="1707"/>
      <c r="H50" s="1708"/>
      <c r="I50" s="1709">
        <v>1070000</v>
      </c>
      <c r="J50" s="1710"/>
      <c r="K50" s="1711"/>
      <c r="L50" s="1728" t="s">
        <v>288</v>
      </c>
      <c r="M50" s="1729"/>
      <c r="N50" s="1730"/>
    </row>
    <row r="51" spans="1:14" ht="15.75" hidden="1">
      <c r="A51" s="135">
        <v>11543</v>
      </c>
      <c r="B51" s="1706" t="s">
        <v>329</v>
      </c>
      <c r="C51" s="1707"/>
      <c r="D51" s="1707"/>
      <c r="E51" s="1707"/>
      <c r="F51" s="1707"/>
      <c r="G51" s="1707"/>
      <c r="H51" s="1708"/>
      <c r="I51" s="1709">
        <v>700000</v>
      </c>
      <c r="J51" s="1710"/>
      <c r="K51" s="1711"/>
      <c r="L51" s="1728" t="s">
        <v>288</v>
      </c>
      <c r="M51" s="1729"/>
      <c r="N51" s="1730"/>
    </row>
    <row r="52" spans="1:14" ht="15.75" hidden="1">
      <c r="A52" s="135">
        <v>11593</v>
      </c>
      <c r="B52" s="1706" t="s">
        <v>334</v>
      </c>
      <c r="C52" s="1707"/>
      <c r="D52" s="1707"/>
      <c r="E52" s="1707"/>
      <c r="F52" s="1707"/>
      <c r="G52" s="1707"/>
      <c r="H52" s="1708"/>
      <c r="I52" s="1709">
        <v>1000000</v>
      </c>
      <c r="J52" s="1710"/>
      <c r="K52" s="1711"/>
      <c r="L52" s="1728" t="s">
        <v>288</v>
      </c>
      <c r="M52" s="1729"/>
      <c r="N52" s="1730"/>
    </row>
    <row r="53" spans="1:14" ht="15.75" hidden="1">
      <c r="A53" s="135">
        <v>11695</v>
      </c>
      <c r="B53" s="1706" t="s">
        <v>335</v>
      </c>
      <c r="C53" s="1707"/>
      <c r="D53" s="1707"/>
      <c r="E53" s="1707"/>
      <c r="F53" s="1707"/>
      <c r="G53" s="1707"/>
      <c r="H53" s="1708"/>
      <c r="I53" s="1709">
        <v>1250000</v>
      </c>
      <c r="J53" s="1710"/>
      <c r="K53" s="1711"/>
      <c r="L53" s="1728" t="s">
        <v>288</v>
      </c>
      <c r="M53" s="1729"/>
      <c r="N53" s="1730"/>
    </row>
    <row r="54" spans="1:14" ht="15.75" hidden="1">
      <c r="A54" s="135">
        <v>11671</v>
      </c>
      <c r="B54" s="1706" t="s">
        <v>336</v>
      </c>
      <c r="C54" s="1707"/>
      <c r="D54" s="1707"/>
      <c r="E54" s="1707"/>
      <c r="F54" s="1707"/>
      <c r="G54" s="1707"/>
      <c r="H54" s="1708"/>
      <c r="I54" s="1709">
        <v>1200000</v>
      </c>
      <c r="J54" s="1710"/>
      <c r="K54" s="1711"/>
      <c r="L54" s="1728" t="s">
        <v>288</v>
      </c>
      <c r="M54" s="1729"/>
      <c r="N54" s="1730"/>
    </row>
    <row r="55" spans="1:14" ht="15.75" hidden="1">
      <c r="A55" s="135">
        <v>11662</v>
      </c>
      <c r="B55" s="1706" t="s">
        <v>337</v>
      </c>
      <c r="C55" s="1707"/>
      <c r="D55" s="1707"/>
      <c r="E55" s="1707"/>
      <c r="F55" s="1707"/>
      <c r="G55" s="1707"/>
      <c r="H55" s="1708"/>
      <c r="I55" s="1709">
        <v>950000</v>
      </c>
      <c r="J55" s="1710"/>
      <c r="K55" s="1711"/>
      <c r="L55" s="1728" t="s">
        <v>288</v>
      </c>
      <c r="M55" s="1729"/>
      <c r="N55" s="1730"/>
    </row>
    <row r="56" spans="1:14" ht="15.75" hidden="1">
      <c r="A56" s="346">
        <v>11603</v>
      </c>
      <c r="B56" s="1706" t="s">
        <v>350</v>
      </c>
      <c r="C56" s="1707"/>
      <c r="D56" s="1707"/>
      <c r="E56" s="1707"/>
      <c r="F56" s="1707"/>
      <c r="G56" s="1707"/>
      <c r="H56" s="1708"/>
      <c r="I56" s="1709">
        <v>1350000</v>
      </c>
      <c r="J56" s="1710"/>
      <c r="K56" s="1711"/>
      <c r="L56" s="1712" t="s">
        <v>187</v>
      </c>
      <c r="M56" s="1713"/>
      <c r="N56" s="1714"/>
    </row>
    <row r="57" spans="1:14" ht="15.75" hidden="1">
      <c r="A57" s="362"/>
      <c r="B57" s="1706" t="s">
        <v>351</v>
      </c>
      <c r="C57" s="1707"/>
      <c r="D57" s="1707"/>
      <c r="E57" s="1707"/>
      <c r="F57" s="1707"/>
      <c r="G57" s="1707"/>
      <c r="H57" s="1708"/>
      <c r="I57" s="1709">
        <v>1200000</v>
      </c>
      <c r="J57" s="1710"/>
      <c r="K57" s="1711"/>
      <c r="L57" s="1712" t="s">
        <v>187</v>
      </c>
      <c r="M57" s="1713"/>
      <c r="N57" s="1714"/>
    </row>
    <row r="58" spans="1:14" ht="18.75" hidden="1" customHeight="1">
      <c r="A58" s="14"/>
      <c r="B58" s="1700" t="s">
        <v>34</v>
      </c>
      <c r="C58" s="1701"/>
      <c r="D58" s="1701"/>
      <c r="E58" s="1701"/>
      <c r="F58" s="1701"/>
      <c r="G58" s="1701"/>
      <c r="H58" s="1702"/>
      <c r="I58" s="1703">
        <f>SUM(I50:I57)</f>
        <v>8720000</v>
      </c>
      <c r="J58" s="1734"/>
      <c r="K58" s="1735"/>
      <c r="L58" s="1725"/>
      <c r="M58" s="1726"/>
      <c r="N58" s="1727"/>
    </row>
    <row r="59" spans="1:14" hidden="1"/>
    <row r="60" spans="1:14" hidden="1"/>
    <row r="61" spans="1:14" hidden="1">
      <c r="A61" s="1718" t="s">
        <v>4415</v>
      </c>
      <c r="B61" s="1718"/>
      <c r="C61" s="1718"/>
      <c r="D61" s="1718"/>
      <c r="E61" s="1718"/>
      <c r="F61" s="1718"/>
      <c r="G61" s="1718"/>
      <c r="H61" s="1718"/>
      <c r="I61" s="1718"/>
      <c r="J61" s="1718"/>
      <c r="K61" s="1718"/>
      <c r="L61" s="1718"/>
      <c r="M61" s="1718"/>
      <c r="N61" s="1718"/>
    </row>
    <row r="62" spans="1:14" hidden="1">
      <c r="A62" s="1719"/>
      <c r="B62" s="1719"/>
      <c r="C62" s="1719"/>
      <c r="D62" s="1719"/>
      <c r="E62" s="1719"/>
      <c r="F62" s="1719"/>
      <c r="G62" s="1719"/>
      <c r="H62" s="1719"/>
      <c r="I62" s="1719"/>
      <c r="J62" s="1719"/>
      <c r="K62" s="1719"/>
      <c r="L62" s="1719"/>
      <c r="M62" s="1719"/>
      <c r="N62" s="1719"/>
    </row>
    <row r="63" spans="1:14" ht="24" hidden="1" customHeight="1">
      <c r="A63" s="606" t="s">
        <v>120</v>
      </c>
      <c r="B63" s="1720" t="s">
        <v>5</v>
      </c>
      <c r="C63" s="1720"/>
      <c r="D63" s="1720"/>
      <c r="E63" s="1720"/>
      <c r="F63" s="1720"/>
      <c r="G63" s="1720"/>
      <c r="H63" s="1720"/>
      <c r="I63" s="1720" t="s">
        <v>4410</v>
      </c>
      <c r="J63" s="1720"/>
      <c r="K63" s="1720"/>
      <c r="L63" s="1720" t="s">
        <v>4411</v>
      </c>
      <c r="M63" s="1720"/>
      <c r="N63" s="1720"/>
    </row>
    <row r="64" spans="1:14" ht="15.75" hidden="1">
      <c r="A64" s="135">
        <v>11540</v>
      </c>
      <c r="B64" s="1706" t="s">
        <v>330</v>
      </c>
      <c r="C64" s="1707"/>
      <c r="D64" s="1707"/>
      <c r="E64" s="1707"/>
      <c r="F64" s="1707"/>
      <c r="G64" s="1707"/>
      <c r="H64" s="1708"/>
      <c r="I64" s="1709">
        <v>1200000</v>
      </c>
      <c r="J64" s="1710"/>
      <c r="K64" s="1711"/>
      <c r="L64" s="1712" t="s">
        <v>288</v>
      </c>
      <c r="M64" s="1713"/>
      <c r="N64" s="1714"/>
    </row>
    <row r="65" spans="1:14" ht="15.75" hidden="1">
      <c r="A65" s="135">
        <v>11612</v>
      </c>
      <c r="B65" s="1706" t="s">
        <v>380</v>
      </c>
      <c r="C65" s="1707"/>
      <c r="D65" s="1707"/>
      <c r="E65" s="1707"/>
      <c r="F65" s="1707"/>
      <c r="G65" s="1707"/>
      <c r="H65" s="1708"/>
      <c r="I65" s="1709">
        <v>1600000</v>
      </c>
      <c r="J65" s="1710"/>
      <c r="K65" s="1711"/>
      <c r="L65" s="1712" t="s">
        <v>288</v>
      </c>
      <c r="M65" s="1713"/>
      <c r="N65" s="1714"/>
    </row>
    <row r="66" spans="1:14" ht="15.75" hidden="1">
      <c r="A66" s="135">
        <v>11697</v>
      </c>
      <c r="B66" s="1706" t="s">
        <v>332</v>
      </c>
      <c r="C66" s="1707"/>
      <c r="D66" s="1707"/>
      <c r="E66" s="1707"/>
      <c r="F66" s="1707"/>
      <c r="G66" s="1707"/>
      <c r="H66" s="1708"/>
      <c r="I66" s="1709">
        <v>1400000</v>
      </c>
      <c r="J66" s="1710"/>
      <c r="K66" s="1711"/>
      <c r="L66" s="1712" t="s">
        <v>288</v>
      </c>
      <c r="M66" s="1713"/>
      <c r="N66" s="1714"/>
    </row>
    <row r="67" spans="1:14" ht="15.75" hidden="1">
      <c r="A67" s="741">
        <v>11627</v>
      </c>
      <c r="B67" s="1706" t="s">
        <v>357</v>
      </c>
      <c r="C67" s="1707"/>
      <c r="D67" s="1707"/>
      <c r="E67" s="1707"/>
      <c r="F67" s="1707"/>
      <c r="G67" s="1707"/>
      <c r="H67" s="1708"/>
      <c r="I67" s="1709">
        <v>700000</v>
      </c>
      <c r="J67" s="1710"/>
      <c r="K67" s="1711"/>
      <c r="L67" s="1712" t="s">
        <v>4416</v>
      </c>
      <c r="M67" s="1713"/>
      <c r="N67" s="1714"/>
    </row>
    <row r="68" spans="1:14" ht="15.75" hidden="1">
      <c r="A68" s="741">
        <v>11673</v>
      </c>
      <c r="B68" s="1706" t="s">
        <v>358</v>
      </c>
      <c r="C68" s="1707"/>
      <c r="D68" s="1707"/>
      <c r="E68" s="1707"/>
      <c r="F68" s="1707"/>
      <c r="G68" s="1707"/>
      <c r="H68" s="1708"/>
      <c r="I68" s="1709">
        <v>1150000</v>
      </c>
      <c r="J68" s="1710"/>
      <c r="K68" s="1711"/>
      <c r="L68" s="1712" t="s">
        <v>4416</v>
      </c>
      <c r="M68" s="1713"/>
      <c r="N68" s="1714"/>
    </row>
    <row r="69" spans="1:14" ht="15.75" hidden="1">
      <c r="A69" s="135">
        <v>11547</v>
      </c>
      <c r="B69" s="1706" t="s">
        <v>364</v>
      </c>
      <c r="C69" s="1707"/>
      <c r="D69" s="1707"/>
      <c r="E69" s="1707"/>
      <c r="F69" s="1707"/>
      <c r="G69" s="1707"/>
      <c r="H69" s="1708"/>
      <c r="I69" s="1709">
        <v>700000</v>
      </c>
      <c r="J69" s="1710"/>
      <c r="K69" s="1711"/>
      <c r="L69" s="1712" t="s">
        <v>311</v>
      </c>
      <c r="M69" s="1713"/>
      <c r="N69" s="1714"/>
    </row>
    <row r="70" spans="1:14" ht="15.75" hidden="1">
      <c r="A70" s="135">
        <v>11558</v>
      </c>
      <c r="B70" s="1706" t="s">
        <v>365</v>
      </c>
      <c r="C70" s="1707"/>
      <c r="D70" s="1707"/>
      <c r="E70" s="1707"/>
      <c r="F70" s="1707"/>
      <c r="G70" s="1707"/>
      <c r="H70" s="1708"/>
      <c r="I70" s="1709">
        <v>1100000</v>
      </c>
      <c r="J70" s="1710"/>
      <c r="K70" s="1711"/>
      <c r="L70" s="1712" t="s">
        <v>311</v>
      </c>
      <c r="M70" s="1713"/>
      <c r="N70" s="1714"/>
    </row>
    <row r="71" spans="1:14" ht="15.75" hidden="1">
      <c r="A71" s="135">
        <v>11590</v>
      </c>
      <c r="B71" s="1706" t="s">
        <v>367</v>
      </c>
      <c r="C71" s="1707"/>
      <c r="D71" s="1707"/>
      <c r="E71" s="1707"/>
      <c r="F71" s="1707"/>
      <c r="G71" s="1707"/>
      <c r="H71" s="1708"/>
      <c r="I71" s="1709">
        <v>750000</v>
      </c>
      <c r="J71" s="1710"/>
      <c r="K71" s="1711"/>
      <c r="L71" s="1712" t="s">
        <v>311</v>
      </c>
      <c r="M71" s="1713"/>
      <c r="N71" s="1714"/>
    </row>
    <row r="72" spans="1:14" ht="15.75" hidden="1">
      <c r="A72" s="135">
        <v>11623</v>
      </c>
      <c r="B72" s="1706" t="s">
        <v>368</v>
      </c>
      <c r="C72" s="1707"/>
      <c r="D72" s="1707"/>
      <c r="E72" s="1707"/>
      <c r="F72" s="1707"/>
      <c r="G72" s="1707"/>
      <c r="H72" s="1708"/>
      <c r="I72" s="1709">
        <v>620000</v>
      </c>
      <c r="J72" s="1710"/>
      <c r="K72" s="1711"/>
      <c r="L72" s="1712" t="s">
        <v>311</v>
      </c>
      <c r="M72" s="1713"/>
      <c r="N72" s="1714"/>
    </row>
    <row r="73" spans="1:14" ht="15.75" hidden="1">
      <c r="A73" s="135">
        <v>11656</v>
      </c>
      <c r="B73" s="1706" t="s">
        <v>369</v>
      </c>
      <c r="C73" s="1707"/>
      <c r="D73" s="1707"/>
      <c r="E73" s="1707"/>
      <c r="F73" s="1707"/>
      <c r="G73" s="1707"/>
      <c r="H73" s="1708"/>
      <c r="I73" s="1709">
        <v>1250000</v>
      </c>
      <c r="J73" s="1710"/>
      <c r="K73" s="1711"/>
      <c r="L73" s="1712" t="s">
        <v>311</v>
      </c>
      <c r="M73" s="1713"/>
      <c r="N73" s="1714"/>
    </row>
    <row r="74" spans="1:14" ht="15.75" hidden="1">
      <c r="A74" s="135">
        <v>11676</v>
      </c>
      <c r="B74" s="1706" t="s">
        <v>370</v>
      </c>
      <c r="C74" s="1707"/>
      <c r="D74" s="1707"/>
      <c r="E74" s="1707"/>
      <c r="F74" s="1707"/>
      <c r="G74" s="1707"/>
      <c r="H74" s="1708"/>
      <c r="I74" s="1709">
        <v>950000</v>
      </c>
      <c r="J74" s="1710"/>
      <c r="K74" s="1711"/>
      <c r="L74" s="1712" t="s">
        <v>311</v>
      </c>
      <c r="M74" s="1713"/>
      <c r="N74" s="1714"/>
    </row>
    <row r="75" spans="1:14" ht="15.75" hidden="1">
      <c r="A75" s="630">
        <v>11721</v>
      </c>
      <c r="B75" s="1706" t="s">
        <v>4417</v>
      </c>
      <c r="C75" s="1707"/>
      <c r="D75" s="1707"/>
      <c r="E75" s="1707"/>
      <c r="F75" s="1707"/>
      <c r="G75" s="1707"/>
      <c r="H75" s="1708"/>
      <c r="I75" s="1709">
        <v>700000</v>
      </c>
      <c r="J75" s="1710"/>
      <c r="K75" s="1711"/>
      <c r="L75" s="1712" t="s">
        <v>311</v>
      </c>
      <c r="M75" s="1713"/>
      <c r="N75" s="1714"/>
    </row>
    <row r="76" spans="1:14" ht="15.75" hidden="1">
      <c r="A76" s="135">
        <v>11722</v>
      </c>
      <c r="B76" s="1706" t="s">
        <v>372</v>
      </c>
      <c r="C76" s="1707"/>
      <c r="D76" s="1707"/>
      <c r="E76" s="1707"/>
      <c r="F76" s="1707"/>
      <c r="G76" s="1707"/>
      <c r="H76" s="1708"/>
      <c r="I76" s="1709">
        <v>1200000</v>
      </c>
      <c r="J76" s="1710"/>
      <c r="K76" s="1711"/>
      <c r="L76" s="1712" t="s">
        <v>311</v>
      </c>
      <c r="M76" s="1713"/>
      <c r="N76" s="1714"/>
    </row>
    <row r="77" spans="1:14" ht="18" hidden="1">
      <c r="A77" s="14"/>
      <c r="B77" s="1700" t="s">
        <v>34</v>
      </c>
      <c r="C77" s="1701"/>
      <c r="D77" s="1701"/>
      <c r="E77" s="1701"/>
      <c r="F77" s="1701"/>
      <c r="G77" s="1701"/>
      <c r="H77" s="1702"/>
      <c r="I77" s="1703">
        <f>SUM(I64:I76)</f>
        <v>13320000</v>
      </c>
      <c r="J77" s="1704"/>
      <c r="K77" s="1705"/>
      <c r="L77" s="1725"/>
      <c r="M77" s="1726"/>
      <c r="N77" s="1727"/>
    </row>
    <row r="80" spans="1:14">
      <c r="A80" s="1721" t="s">
        <v>4418</v>
      </c>
      <c r="B80" s="1721"/>
      <c r="C80" s="1721"/>
      <c r="D80" s="1721"/>
      <c r="E80" s="1721"/>
      <c r="F80" s="1721"/>
      <c r="G80" s="1721"/>
      <c r="H80" s="1721"/>
      <c r="I80" s="1721"/>
      <c r="J80" s="1721"/>
      <c r="K80" s="1721"/>
      <c r="L80" s="1721"/>
      <c r="M80" s="1721"/>
      <c r="N80" s="1721"/>
    </row>
    <row r="81" spans="1:14">
      <c r="A81" s="1721"/>
      <c r="B81" s="1721"/>
      <c r="C81" s="1721"/>
      <c r="D81" s="1721"/>
      <c r="E81" s="1721"/>
      <c r="F81" s="1721"/>
      <c r="G81" s="1721"/>
      <c r="H81" s="1721"/>
      <c r="I81" s="1721"/>
      <c r="J81" s="1721"/>
      <c r="K81" s="1721"/>
      <c r="L81" s="1721"/>
      <c r="M81" s="1721"/>
      <c r="N81" s="1721"/>
    </row>
    <row r="83" spans="1:14" hidden="1">
      <c r="A83" s="1718" t="s">
        <v>4419</v>
      </c>
      <c r="B83" s="1718"/>
      <c r="C83" s="1718"/>
      <c r="D83" s="1718"/>
      <c r="E83" s="1718"/>
      <c r="F83" s="1718"/>
      <c r="G83" s="1718"/>
      <c r="H83" s="1718"/>
      <c r="I83" s="1718"/>
      <c r="J83" s="1718"/>
      <c r="K83" s="1718"/>
      <c r="L83" s="1718"/>
      <c r="M83" s="1718"/>
      <c r="N83" s="1718"/>
    </row>
    <row r="84" spans="1:14" hidden="1">
      <c r="A84" s="1718"/>
      <c r="B84" s="1718"/>
      <c r="C84" s="1718"/>
      <c r="D84" s="1718"/>
      <c r="E84" s="1718"/>
      <c r="F84" s="1718"/>
      <c r="G84" s="1718"/>
      <c r="H84" s="1718"/>
      <c r="I84" s="1718"/>
      <c r="J84" s="1718"/>
      <c r="K84" s="1718"/>
      <c r="L84" s="1718"/>
      <c r="M84" s="1718"/>
      <c r="N84" s="1718"/>
    </row>
    <row r="85" spans="1:14" hidden="1">
      <c r="A85" s="615" t="s">
        <v>120</v>
      </c>
      <c r="B85" s="1722" t="s">
        <v>5</v>
      </c>
      <c r="C85" s="1722"/>
      <c r="D85" s="1722"/>
      <c r="E85" s="1722"/>
      <c r="F85" s="1722"/>
      <c r="G85" s="1722"/>
      <c r="H85" s="1722"/>
      <c r="I85" s="1723" t="s">
        <v>4410</v>
      </c>
      <c r="J85" s="1724"/>
      <c r="K85" s="1724"/>
      <c r="L85" s="1722" t="s">
        <v>4411</v>
      </c>
      <c r="M85" s="1722"/>
      <c r="N85" s="1722"/>
    </row>
    <row r="86" spans="1:14" ht="15.75" hidden="1">
      <c r="A86" s="135">
        <v>11751</v>
      </c>
      <c r="B86" s="1706" t="s">
        <v>383</v>
      </c>
      <c r="C86" s="1707"/>
      <c r="D86" s="1707"/>
      <c r="E86" s="1707"/>
      <c r="F86" s="1707"/>
      <c r="G86" s="1707"/>
      <c r="H86" s="1708"/>
      <c r="I86" s="1709">
        <v>1200000</v>
      </c>
      <c r="J86" s="1710"/>
      <c r="K86" s="1711"/>
      <c r="L86" s="1728" t="s">
        <v>288</v>
      </c>
      <c r="M86" s="1729"/>
      <c r="N86" s="1730"/>
    </row>
    <row r="87" spans="1:14" ht="15.75" hidden="1">
      <c r="A87" s="135">
        <v>11764</v>
      </c>
      <c r="B87" s="1706" t="s">
        <v>384</v>
      </c>
      <c r="C87" s="1707"/>
      <c r="D87" s="1707"/>
      <c r="E87" s="1707"/>
      <c r="F87" s="1707"/>
      <c r="G87" s="1707"/>
      <c r="H87" s="1708"/>
      <c r="I87" s="1709">
        <v>1200000</v>
      </c>
      <c r="J87" s="1710"/>
      <c r="K87" s="1711"/>
      <c r="L87" s="1728" t="s">
        <v>288</v>
      </c>
      <c r="M87" s="1729"/>
      <c r="N87" s="1730"/>
    </row>
    <row r="88" spans="1:14" ht="15.75" hidden="1">
      <c r="A88" s="135">
        <v>11744</v>
      </c>
      <c r="B88" s="1706" t="s">
        <v>386</v>
      </c>
      <c r="C88" s="1707"/>
      <c r="D88" s="1707"/>
      <c r="E88" s="1707"/>
      <c r="F88" s="1707"/>
      <c r="G88" s="1707"/>
      <c r="H88" s="1708"/>
      <c r="I88" s="1709">
        <v>1050000</v>
      </c>
      <c r="J88" s="1710"/>
      <c r="K88" s="1711"/>
      <c r="L88" s="1728" t="s">
        <v>288</v>
      </c>
      <c r="M88" s="1729"/>
      <c r="N88" s="1730"/>
    </row>
    <row r="89" spans="1:14" ht="15.75" hidden="1">
      <c r="A89" s="135">
        <v>11914</v>
      </c>
      <c r="B89" s="1706" t="s">
        <v>399</v>
      </c>
      <c r="C89" s="1707"/>
      <c r="D89" s="1707"/>
      <c r="E89" s="1707"/>
      <c r="F89" s="1707"/>
      <c r="G89" s="1707"/>
      <c r="H89" s="1708"/>
      <c r="I89" s="1709">
        <v>1050000</v>
      </c>
      <c r="J89" s="1710"/>
      <c r="K89" s="1711"/>
      <c r="L89" s="1728" t="s">
        <v>288</v>
      </c>
      <c r="M89" s="1729"/>
      <c r="N89" s="1730"/>
    </row>
    <row r="90" spans="1:14" ht="15.75" hidden="1">
      <c r="A90" s="135">
        <v>11921</v>
      </c>
      <c r="B90" s="1706" t="s">
        <v>400</v>
      </c>
      <c r="C90" s="1707"/>
      <c r="D90" s="1707"/>
      <c r="E90" s="1707"/>
      <c r="F90" s="1707"/>
      <c r="G90" s="1707"/>
      <c r="H90" s="1708"/>
      <c r="I90" s="1709">
        <v>1150000</v>
      </c>
      <c r="J90" s="1710"/>
      <c r="K90" s="1711"/>
      <c r="L90" s="1728" t="s">
        <v>288</v>
      </c>
      <c r="M90" s="1729"/>
      <c r="N90" s="1730"/>
    </row>
    <row r="91" spans="1:14" ht="15.75" hidden="1">
      <c r="A91" s="135">
        <v>11938</v>
      </c>
      <c r="B91" s="1706" t="s">
        <v>402</v>
      </c>
      <c r="C91" s="1707"/>
      <c r="D91" s="1707"/>
      <c r="E91" s="1707"/>
      <c r="F91" s="1707"/>
      <c r="G91" s="1707"/>
      <c r="H91" s="1708"/>
      <c r="I91" s="1709">
        <v>1100000</v>
      </c>
      <c r="J91" s="1710"/>
      <c r="K91" s="1711"/>
      <c r="L91" s="1728" t="s">
        <v>288</v>
      </c>
      <c r="M91" s="1729"/>
      <c r="N91" s="1730"/>
    </row>
    <row r="92" spans="1:14" ht="15.75" hidden="1">
      <c r="A92" s="346">
        <v>11801</v>
      </c>
      <c r="B92" s="1706" t="s">
        <v>468</v>
      </c>
      <c r="C92" s="1707"/>
      <c r="D92" s="1707"/>
      <c r="E92" s="1707"/>
      <c r="F92" s="1707"/>
      <c r="G92" s="1707"/>
      <c r="H92" s="1708"/>
      <c r="I92" s="1709">
        <v>1200000</v>
      </c>
      <c r="J92" s="1710"/>
      <c r="K92" s="1711"/>
      <c r="L92" s="1712" t="s">
        <v>187</v>
      </c>
      <c r="M92" s="1713"/>
      <c r="N92" s="1714"/>
    </row>
    <row r="93" spans="1:14" ht="15.75" hidden="1">
      <c r="A93" s="346">
        <v>11827</v>
      </c>
      <c r="B93" s="1731" t="s">
        <v>84</v>
      </c>
      <c r="C93" s="1732"/>
      <c r="D93" s="1732"/>
      <c r="E93" s="1732"/>
      <c r="F93" s="1732"/>
      <c r="G93" s="1732"/>
      <c r="H93" s="1733"/>
      <c r="I93" s="1709">
        <v>850000</v>
      </c>
      <c r="J93" s="1710"/>
      <c r="K93" s="1711"/>
      <c r="L93" s="1712" t="s">
        <v>187</v>
      </c>
      <c r="M93" s="1713"/>
      <c r="N93" s="1714"/>
    </row>
    <row r="94" spans="1:14" ht="15.75" hidden="1">
      <c r="A94" s="346">
        <v>11929</v>
      </c>
      <c r="B94" s="1706" t="s">
        <v>417</v>
      </c>
      <c r="C94" s="1707"/>
      <c r="D94" s="1707"/>
      <c r="E94" s="1707"/>
      <c r="F94" s="1707"/>
      <c r="G94" s="1707"/>
      <c r="H94" s="1708"/>
      <c r="I94" s="1709">
        <v>1200000</v>
      </c>
      <c r="J94" s="1710"/>
      <c r="K94" s="1711"/>
      <c r="L94" s="1712" t="s">
        <v>187</v>
      </c>
      <c r="M94" s="1713"/>
      <c r="N94" s="1714"/>
    </row>
    <row r="95" spans="1:14" ht="18" hidden="1">
      <c r="A95" s="14"/>
      <c r="B95" s="1700" t="s">
        <v>34</v>
      </c>
      <c r="C95" s="1701"/>
      <c r="D95" s="1701"/>
      <c r="E95" s="1701"/>
      <c r="F95" s="1701"/>
      <c r="G95" s="1701"/>
      <c r="H95" s="1702"/>
      <c r="I95" s="1703">
        <f>SUM(I86:I94)</f>
        <v>10000000</v>
      </c>
      <c r="J95" s="1734"/>
      <c r="K95" s="1735"/>
      <c r="L95" s="1725"/>
      <c r="M95" s="1726"/>
      <c r="N95" s="1727"/>
    </row>
    <row r="96" spans="1:14" hidden="1"/>
    <row r="97" spans="1:14" hidden="1"/>
    <row r="98" spans="1:14" hidden="1">
      <c r="A98" s="1718" t="s">
        <v>4420</v>
      </c>
      <c r="B98" s="1718"/>
      <c r="C98" s="1718"/>
      <c r="D98" s="1718"/>
      <c r="E98" s="1718"/>
      <c r="F98" s="1718"/>
      <c r="G98" s="1718"/>
      <c r="H98" s="1718"/>
      <c r="I98" s="1718"/>
      <c r="J98" s="1718"/>
      <c r="K98" s="1718"/>
      <c r="L98" s="1718"/>
      <c r="M98" s="1718"/>
      <c r="N98" s="1718"/>
    </row>
    <row r="99" spans="1:14" hidden="1">
      <c r="A99" s="1719"/>
      <c r="B99" s="1719"/>
      <c r="C99" s="1719"/>
      <c r="D99" s="1719"/>
      <c r="E99" s="1719"/>
      <c r="F99" s="1719"/>
      <c r="G99" s="1719"/>
      <c r="H99" s="1719"/>
      <c r="I99" s="1719"/>
      <c r="J99" s="1719"/>
      <c r="K99" s="1719"/>
      <c r="L99" s="1719"/>
      <c r="M99" s="1719"/>
      <c r="N99" s="1719"/>
    </row>
    <row r="100" spans="1:14" hidden="1">
      <c r="A100" s="606" t="s">
        <v>120</v>
      </c>
      <c r="B100" s="1720" t="s">
        <v>5</v>
      </c>
      <c r="C100" s="1720"/>
      <c r="D100" s="1720"/>
      <c r="E100" s="1720"/>
      <c r="F100" s="1720"/>
      <c r="G100" s="1720"/>
      <c r="H100" s="1720"/>
      <c r="I100" s="1720" t="s">
        <v>4410</v>
      </c>
      <c r="J100" s="1720"/>
      <c r="K100" s="1720"/>
      <c r="L100" s="1720" t="s">
        <v>4411</v>
      </c>
      <c r="M100" s="1720"/>
      <c r="N100" s="1720"/>
    </row>
    <row r="101" spans="1:14" ht="15.75" hidden="1">
      <c r="A101" s="135">
        <v>11750</v>
      </c>
      <c r="B101" s="1706" t="s">
        <v>385</v>
      </c>
      <c r="C101" s="1707"/>
      <c r="D101" s="1707"/>
      <c r="E101" s="1707"/>
      <c r="F101" s="1707"/>
      <c r="G101" s="1707"/>
      <c r="H101" s="1708"/>
      <c r="I101" s="1709">
        <v>1300000</v>
      </c>
      <c r="J101" s="1710"/>
      <c r="K101" s="1711"/>
      <c r="L101" s="1712" t="s">
        <v>288</v>
      </c>
      <c r="M101" s="1713"/>
      <c r="N101" s="1714"/>
    </row>
    <row r="102" spans="1:14" ht="15.75" hidden="1">
      <c r="A102" s="135">
        <v>11792</v>
      </c>
      <c r="B102" s="1706" t="s">
        <v>387</v>
      </c>
      <c r="C102" s="1707"/>
      <c r="D102" s="1707"/>
      <c r="E102" s="1707"/>
      <c r="F102" s="1707"/>
      <c r="G102" s="1707"/>
      <c r="H102" s="1708"/>
      <c r="I102" s="1709">
        <v>1300000</v>
      </c>
      <c r="J102" s="1710"/>
      <c r="K102" s="1711"/>
      <c r="L102" s="1712" t="s">
        <v>288</v>
      </c>
      <c r="M102" s="1713"/>
      <c r="N102" s="1714"/>
    </row>
    <row r="103" spans="1:14" ht="15.75" hidden="1">
      <c r="A103" s="135">
        <v>11784</v>
      </c>
      <c r="B103" s="1706" t="s">
        <v>388</v>
      </c>
      <c r="C103" s="1707"/>
      <c r="D103" s="1707"/>
      <c r="E103" s="1707"/>
      <c r="F103" s="1707"/>
      <c r="G103" s="1707"/>
      <c r="H103" s="1708"/>
      <c r="I103" s="1709">
        <v>1300000</v>
      </c>
      <c r="J103" s="1710"/>
      <c r="K103" s="1711"/>
      <c r="L103" s="1712" t="s">
        <v>288</v>
      </c>
      <c r="M103" s="1713"/>
      <c r="N103" s="1714"/>
    </row>
    <row r="104" spans="1:14" ht="15.75" hidden="1">
      <c r="A104" s="135">
        <v>11835</v>
      </c>
      <c r="B104" s="1706" t="s">
        <v>389</v>
      </c>
      <c r="C104" s="1707"/>
      <c r="D104" s="1707"/>
      <c r="E104" s="1707"/>
      <c r="F104" s="1707"/>
      <c r="G104" s="1707"/>
      <c r="H104" s="1708"/>
      <c r="I104" s="1709">
        <v>1300000</v>
      </c>
      <c r="J104" s="1710"/>
      <c r="K104" s="1711"/>
      <c r="L104" s="1712" t="s">
        <v>288</v>
      </c>
      <c r="M104" s="1713"/>
      <c r="N104" s="1714"/>
    </row>
    <row r="105" spans="1:14" ht="15.75" hidden="1">
      <c r="A105" s="135">
        <v>11837</v>
      </c>
      <c r="B105" s="1706" t="s">
        <v>390</v>
      </c>
      <c r="C105" s="1707"/>
      <c r="D105" s="1707"/>
      <c r="E105" s="1707"/>
      <c r="F105" s="1707"/>
      <c r="G105" s="1707"/>
      <c r="H105" s="1708"/>
      <c r="I105" s="1709">
        <v>700000</v>
      </c>
      <c r="J105" s="1710"/>
      <c r="K105" s="1711"/>
      <c r="L105" s="1712" t="s">
        <v>288</v>
      </c>
      <c r="M105" s="1713"/>
      <c r="N105" s="1714"/>
    </row>
    <row r="106" spans="1:14" ht="15.75" hidden="1">
      <c r="A106" s="135">
        <v>11853</v>
      </c>
      <c r="B106" s="1706" t="s">
        <v>391</v>
      </c>
      <c r="C106" s="1707"/>
      <c r="D106" s="1707"/>
      <c r="E106" s="1707"/>
      <c r="F106" s="1707"/>
      <c r="G106" s="1707"/>
      <c r="H106" s="1708"/>
      <c r="I106" s="1709">
        <v>900000</v>
      </c>
      <c r="J106" s="1710"/>
      <c r="K106" s="1711"/>
      <c r="L106" s="1712" t="s">
        <v>288</v>
      </c>
      <c r="M106" s="1713"/>
      <c r="N106" s="1714"/>
    </row>
    <row r="107" spans="1:14" ht="15.75" hidden="1">
      <c r="A107" s="135">
        <v>11852</v>
      </c>
      <c r="B107" s="1706" t="s">
        <v>392</v>
      </c>
      <c r="C107" s="1707"/>
      <c r="D107" s="1707"/>
      <c r="E107" s="1707"/>
      <c r="F107" s="1707"/>
      <c r="G107" s="1707"/>
      <c r="H107" s="1708"/>
      <c r="I107" s="1709">
        <v>1400000</v>
      </c>
      <c r="J107" s="1710"/>
      <c r="K107" s="1711"/>
      <c r="L107" s="1712" t="s">
        <v>288</v>
      </c>
      <c r="M107" s="1713"/>
      <c r="N107" s="1714"/>
    </row>
    <row r="108" spans="1:14" ht="15.75" hidden="1">
      <c r="A108" s="135">
        <v>11865</v>
      </c>
      <c r="B108" s="1706" t="s">
        <v>393</v>
      </c>
      <c r="C108" s="1707"/>
      <c r="D108" s="1707"/>
      <c r="E108" s="1707"/>
      <c r="F108" s="1707"/>
      <c r="G108" s="1707"/>
      <c r="H108" s="1708"/>
      <c r="I108" s="1709">
        <v>1500000</v>
      </c>
      <c r="J108" s="1710"/>
      <c r="K108" s="1711"/>
      <c r="L108" s="1712" t="s">
        <v>288</v>
      </c>
      <c r="M108" s="1713"/>
      <c r="N108" s="1714"/>
    </row>
    <row r="109" spans="1:14" ht="15.75" hidden="1">
      <c r="A109" s="135">
        <v>11869</v>
      </c>
      <c r="B109" s="1706" t="s">
        <v>394</v>
      </c>
      <c r="C109" s="1707"/>
      <c r="D109" s="1707"/>
      <c r="E109" s="1707"/>
      <c r="F109" s="1707"/>
      <c r="G109" s="1707"/>
      <c r="H109" s="1708"/>
      <c r="I109" s="1709">
        <v>1200000</v>
      </c>
      <c r="J109" s="1710"/>
      <c r="K109" s="1711"/>
      <c r="L109" s="1712" t="s">
        <v>288</v>
      </c>
      <c r="M109" s="1713"/>
      <c r="N109" s="1714"/>
    </row>
    <row r="110" spans="1:14" ht="15.75" hidden="1">
      <c r="A110" s="135">
        <v>11871</v>
      </c>
      <c r="B110" s="1706" t="s">
        <v>395</v>
      </c>
      <c r="C110" s="1707"/>
      <c r="D110" s="1707"/>
      <c r="E110" s="1707"/>
      <c r="F110" s="1707"/>
      <c r="G110" s="1707"/>
      <c r="H110" s="1708"/>
      <c r="I110" s="1709">
        <v>1400000</v>
      </c>
      <c r="J110" s="1710"/>
      <c r="K110" s="1711"/>
      <c r="L110" s="1712" t="s">
        <v>288</v>
      </c>
      <c r="M110" s="1713"/>
      <c r="N110" s="1714"/>
    </row>
    <row r="111" spans="1:14" ht="15.75" hidden="1">
      <c r="A111" s="135">
        <v>11875</v>
      </c>
      <c r="B111" s="1706" t="s">
        <v>396</v>
      </c>
      <c r="C111" s="1707"/>
      <c r="D111" s="1707"/>
      <c r="E111" s="1707"/>
      <c r="F111" s="1707"/>
      <c r="G111" s="1707"/>
      <c r="H111" s="1708"/>
      <c r="I111" s="1709">
        <v>1450000</v>
      </c>
      <c r="J111" s="1710"/>
      <c r="K111" s="1711"/>
      <c r="L111" s="1712" t="s">
        <v>288</v>
      </c>
      <c r="M111" s="1713"/>
      <c r="N111" s="1714"/>
    </row>
    <row r="112" spans="1:14" ht="15.75" hidden="1">
      <c r="A112" s="135">
        <v>11883</v>
      </c>
      <c r="B112" s="1706" t="s">
        <v>397</v>
      </c>
      <c r="C112" s="1707"/>
      <c r="D112" s="1707"/>
      <c r="E112" s="1707"/>
      <c r="F112" s="1707"/>
      <c r="G112" s="1707"/>
      <c r="H112" s="1708"/>
      <c r="I112" s="1709">
        <v>1300000</v>
      </c>
      <c r="J112" s="1710"/>
      <c r="K112" s="1711"/>
      <c r="L112" s="1712" t="s">
        <v>288</v>
      </c>
      <c r="M112" s="1713"/>
      <c r="N112" s="1714"/>
    </row>
    <row r="113" spans="1:14" ht="15.75" hidden="1">
      <c r="A113" s="135">
        <v>11908</v>
      </c>
      <c r="B113" s="1706" t="s">
        <v>398</v>
      </c>
      <c r="C113" s="1707"/>
      <c r="D113" s="1707"/>
      <c r="E113" s="1707"/>
      <c r="F113" s="1707"/>
      <c r="G113" s="1707"/>
      <c r="H113" s="1708"/>
      <c r="I113" s="1709">
        <v>1000000</v>
      </c>
      <c r="J113" s="1710"/>
      <c r="K113" s="1711"/>
      <c r="L113" s="1712" t="s">
        <v>288</v>
      </c>
      <c r="M113" s="1713"/>
      <c r="N113" s="1714"/>
    </row>
    <row r="114" spans="1:14" ht="15.75" hidden="1">
      <c r="A114" s="135">
        <v>11931</v>
      </c>
      <c r="B114" s="1746" t="s">
        <v>401</v>
      </c>
      <c r="C114" s="1747"/>
      <c r="D114" s="1747"/>
      <c r="E114" s="1747"/>
      <c r="F114" s="1747"/>
      <c r="G114" s="1747"/>
      <c r="H114" s="1748"/>
      <c r="I114" s="1736">
        <v>1300000</v>
      </c>
      <c r="J114" s="1737"/>
      <c r="K114" s="1738"/>
      <c r="L114" s="1715" t="s">
        <v>288</v>
      </c>
      <c r="M114" s="1716"/>
      <c r="N114" s="1717"/>
    </row>
    <row r="115" spans="1:14" ht="15.75" hidden="1">
      <c r="A115" s="135">
        <v>11939</v>
      </c>
      <c r="B115" s="1706" t="s">
        <v>403</v>
      </c>
      <c r="C115" s="1707"/>
      <c r="D115" s="1707"/>
      <c r="E115" s="1707"/>
      <c r="F115" s="1707"/>
      <c r="G115" s="1707"/>
      <c r="H115" s="1708"/>
      <c r="I115" s="1709">
        <v>950000</v>
      </c>
      <c r="J115" s="1710"/>
      <c r="K115" s="1711"/>
      <c r="L115" s="1712" t="s">
        <v>288</v>
      </c>
      <c r="M115" s="1713"/>
      <c r="N115" s="1714"/>
    </row>
    <row r="116" spans="1:14" ht="15.75" hidden="1">
      <c r="A116" s="346">
        <v>11774</v>
      </c>
      <c r="B116" s="1706" t="s">
        <v>413</v>
      </c>
      <c r="C116" s="1707"/>
      <c r="D116" s="1707"/>
      <c r="E116" s="1707"/>
      <c r="F116" s="1707"/>
      <c r="G116" s="1707"/>
      <c r="H116" s="1708"/>
      <c r="I116" s="1709">
        <v>1350000</v>
      </c>
      <c r="J116" s="1710"/>
      <c r="K116" s="1711"/>
      <c r="L116" s="1712" t="s">
        <v>187</v>
      </c>
      <c r="M116" s="1713"/>
      <c r="N116" s="1714"/>
    </row>
    <row r="117" spans="1:14" ht="15.75" hidden="1">
      <c r="A117" s="346">
        <v>11878</v>
      </c>
      <c r="B117" s="1706" t="s">
        <v>416</v>
      </c>
      <c r="C117" s="1707"/>
      <c r="D117" s="1707"/>
      <c r="E117" s="1707"/>
      <c r="F117" s="1707"/>
      <c r="G117" s="1707"/>
      <c r="H117" s="1708"/>
      <c r="I117" s="1709">
        <v>800000</v>
      </c>
      <c r="J117" s="1710"/>
      <c r="K117" s="1711"/>
      <c r="L117" s="1712" t="s">
        <v>187</v>
      </c>
      <c r="M117" s="1713"/>
      <c r="N117" s="1714"/>
    </row>
    <row r="118" spans="1:14" ht="15.75" hidden="1">
      <c r="A118" s="741">
        <v>11749</v>
      </c>
      <c r="B118" s="1706" t="s">
        <v>427</v>
      </c>
      <c r="C118" s="1707"/>
      <c r="D118" s="1707"/>
      <c r="E118" s="1707"/>
      <c r="F118" s="1707"/>
      <c r="G118" s="1707"/>
      <c r="H118" s="1708"/>
      <c r="I118" s="1709">
        <v>1350000</v>
      </c>
      <c r="J118" s="1710"/>
      <c r="K118" s="1711"/>
      <c r="L118" s="1712" t="s">
        <v>404</v>
      </c>
      <c r="M118" s="1713"/>
      <c r="N118" s="1714"/>
    </row>
    <row r="119" spans="1:14" ht="15.75" hidden="1">
      <c r="A119" s="741">
        <v>11808</v>
      </c>
      <c r="B119" s="1706" t="s">
        <v>428</v>
      </c>
      <c r="C119" s="1707"/>
      <c r="D119" s="1707"/>
      <c r="E119" s="1707"/>
      <c r="F119" s="1707"/>
      <c r="G119" s="1707"/>
      <c r="H119" s="1708"/>
      <c r="I119" s="1709">
        <v>1380000</v>
      </c>
      <c r="J119" s="1710"/>
      <c r="K119" s="1711"/>
      <c r="L119" s="1712" t="s">
        <v>404</v>
      </c>
      <c r="M119" s="1713"/>
      <c r="N119" s="1714"/>
    </row>
    <row r="120" spans="1:14" ht="15.75" hidden="1">
      <c r="A120" s="135">
        <v>11787</v>
      </c>
      <c r="B120" s="1706" t="s">
        <v>429</v>
      </c>
      <c r="C120" s="1707"/>
      <c r="D120" s="1707"/>
      <c r="E120" s="1707"/>
      <c r="F120" s="1707"/>
      <c r="G120" s="1707"/>
      <c r="H120" s="1708"/>
      <c r="I120" s="1709">
        <v>1050000</v>
      </c>
      <c r="J120" s="1710"/>
      <c r="K120" s="1711"/>
      <c r="L120" s="1712" t="s">
        <v>404</v>
      </c>
      <c r="M120" s="1713"/>
      <c r="N120" s="1714"/>
    </row>
    <row r="121" spans="1:14" ht="15.75" hidden="1">
      <c r="A121" s="135">
        <v>11849</v>
      </c>
      <c r="B121" s="1706" t="s">
        <v>430</v>
      </c>
      <c r="C121" s="1707"/>
      <c r="D121" s="1707"/>
      <c r="E121" s="1707"/>
      <c r="F121" s="1707"/>
      <c r="G121" s="1707"/>
      <c r="H121" s="1708"/>
      <c r="I121" s="1709">
        <v>950000</v>
      </c>
      <c r="J121" s="1710"/>
      <c r="K121" s="1711"/>
      <c r="L121" s="1712" t="s">
        <v>404</v>
      </c>
      <c r="M121" s="1713"/>
      <c r="N121" s="1714"/>
    </row>
    <row r="122" spans="1:14" ht="15.75" hidden="1">
      <c r="A122" s="135">
        <v>11850</v>
      </c>
      <c r="B122" s="1749" t="s">
        <v>433</v>
      </c>
      <c r="C122" s="1749"/>
      <c r="D122" s="1749"/>
      <c r="E122" s="1749"/>
      <c r="F122" s="1749"/>
      <c r="G122" s="1749"/>
      <c r="H122" s="1749"/>
      <c r="I122" s="1750">
        <v>1300000</v>
      </c>
      <c r="J122" s="1750"/>
      <c r="K122" s="1750"/>
      <c r="L122" s="1751" t="s">
        <v>404</v>
      </c>
      <c r="M122" s="1751"/>
      <c r="N122" s="1751"/>
    </row>
    <row r="123" spans="1:14" ht="15.75" hidden="1">
      <c r="A123" s="135">
        <v>11759</v>
      </c>
      <c r="B123" s="1706" t="s">
        <v>441</v>
      </c>
      <c r="C123" s="1707"/>
      <c r="D123" s="1707"/>
      <c r="E123" s="1707"/>
      <c r="F123" s="1707"/>
      <c r="G123" s="1707"/>
      <c r="H123" s="1708"/>
      <c r="I123" s="1709">
        <v>720000</v>
      </c>
      <c r="J123" s="1710"/>
      <c r="K123" s="1711"/>
      <c r="L123" s="1712" t="s">
        <v>311</v>
      </c>
      <c r="M123" s="1713"/>
      <c r="N123" s="1714"/>
    </row>
    <row r="124" spans="1:14" ht="15.75" hidden="1">
      <c r="A124" s="135">
        <v>11798</v>
      </c>
      <c r="B124" s="1706" t="s">
        <v>442</v>
      </c>
      <c r="C124" s="1707"/>
      <c r="D124" s="1707"/>
      <c r="E124" s="1707"/>
      <c r="F124" s="1707"/>
      <c r="G124" s="1707"/>
      <c r="H124" s="1708"/>
      <c r="I124" s="1709">
        <v>1400000</v>
      </c>
      <c r="J124" s="1710"/>
      <c r="K124" s="1711"/>
      <c r="L124" s="1712" t="s">
        <v>311</v>
      </c>
      <c r="M124" s="1713"/>
      <c r="N124" s="1714"/>
    </row>
    <row r="125" spans="1:14" ht="15.75" hidden="1">
      <c r="A125" s="135">
        <v>11758</v>
      </c>
      <c r="B125" s="1706" t="s">
        <v>443</v>
      </c>
      <c r="C125" s="1707"/>
      <c r="D125" s="1707"/>
      <c r="E125" s="1707"/>
      <c r="F125" s="1707"/>
      <c r="G125" s="1707"/>
      <c r="H125" s="1708"/>
      <c r="I125" s="1709">
        <v>1100000</v>
      </c>
      <c r="J125" s="1710"/>
      <c r="K125" s="1711"/>
      <c r="L125" s="1712" t="s">
        <v>311</v>
      </c>
      <c r="M125" s="1713"/>
      <c r="N125" s="1714"/>
    </row>
    <row r="126" spans="1:14" ht="15.75" hidden="1">
      <c r="A126" s="135">
        <v>11741</v>
      </c>
      <c r="B126" s="1706" t="s">
        <v>444</v>
      </c>
      <c r="C126" s="1707"/>
      <c r="D126" s="1707"/>
      <c r="E126" s="1707"/>
      <c r="F126" s="1707"/>
      <c r="G126" s="1707"/>
      <c r="H126" s="1708"/>
      <c r="I126" s="1709">
        <v>1200000</v>
      </c>
      <c r="J126" s="1710"/>
      <c r="K126" s="1711"/>
      <c r="L126" s="1712" t="s">
        <v>311</v>
      </c>
      <c r="M126" s="1713"/>
      <c r="N126" s="1714"/>
    </row>
    <row r="127" spans="1:14" ht="15.75" hidden="1">
      <c r="A127" s="135">
        <v>11807</v>
      </c>
      <c r="B127" s="1706" t="s">
        <v>445</v>
      </c>
      <c r="C127" s="1707"/>
      <c r="D127" s="1707"/>
      <c r="E127" s="1707"/>
      <c r="F127" s="1707"/>
      <c r="G127" s="1707"/>
      <c r="H127" s="1708"/>
      <c r="I127" s="1709">
        <v>750000</v>
      </c>
      <c r="J127" s="1710"/>
      <c r="K127" s="1711"/>
      <c r="L127" s="1712" t="s">
        <v>311</v>
      </c>
      <c r="M127" s="1713"/>
      <c r="N127" s="1714"/>
    </row>
    <row r="128" spans="1:14" ht="15.75" hidden="1">
      <c r="A128" s="135">
        <v>11796</v>
      </c>
      <c r="B128" s="1755" t="s">
        <v>446</v>
      </c>
      <c r="C128" s="1756"/>
      <c r="D128" s="1756"/>
      <c r="E128" s="1756"/>
      <c r="F128" s="1756"/>
      <c r="G128" s="1756"/>
      <c r="H128" s="1757"/>
      <c r="I128" s="1709">
        <v>1100000</v>
      </c>
      <c r="J128" s="1710"/>
      <c r="K128" s="1711"/>
      <c r="L128" s="1712" t="s">
        <v>311</v>
      </c>
      <c r="M128" s="1713"/>
      <c r="N128" s="1714"/>
    </row>
    <row r="129" spans="1:14" ht="15.75" hidden="1">
      <c r="A129" s="135">
        <v>11793</v>
      </c>
      <c r="B129" s="1706" t="s">
        <v>447</v>
      </c>
      <c r="C129" s="1707"/>
      <c r="D129" s="1707"/>
      <c r="E129" s="1707"/>
      <c r="F129" s="1707"/>
      <c r="G129" s="1707"/>
      <c r="H129" s="1708"/>
      <c r="I129" s="1709">
        <v>1300000</v>
      </c>
      <c r="J129" s="1710"/>
      <c r="K129" s="1711"/>
      <c r="L129" s="1712" t="s">
        <v>311</v>
      </c>
      <c r="M129" s="1713"/>
      <c r="N129" s="1714"/>
    </row>
    <row r="130" spans="1:14" ht="15.75" hidden="1">
      <c r="A130" s="135">
        <v>11866</v>
      </c>
      <c r="B130" s="1706" t="s">
        <v>448</v>
      </c>
      <c r="C130" s="1707"/>
      <c r="D130" s="1707"/>
      <c r="E130" s="1707"/>
      <c r="F130" s="1707"/>
      <c r="G130" s="1707"/>
      <c r="H130" s="1708"/>
      <c r="I130" s="1709">
        <v>680000</v>
      </c>
      <c r="J130" s="1710"/>
      <c r="K130" s="1711"/>
      <c r="L130" s="1712" t="s">
        <v>311</v>
      </c>
      <c r="M130" s="1713"/>
      <c r="N130" s="1714"/>
    </row>
    <row r="131" spans="1:14" ht="15.75" hidden="1">
      <c r="A131" s="135">
        <v>11885</v>
      </c>
      <c r="B131" s="1706" t="s">
        <v>449</v>
      </c>
      <c r="C131" s="1707"/>
      <c r="D131" s="1707"/>
      <c r="E131" s="1707"/>
      <c r="F131" s="1707"/>
      <c r="G131" s="1707"/>
      <c r="H131" s="1708"/>
      <c r="I131" s="1709">
        <v>850000</v>
      </c>
      <c r="J131" s="1710"/>
      <c r="K131" s="1711"/>
      <c r="L131" s="1712" t="s">
        <v>311</v>
      </c>
      <c r="M131" s="1713"/>
      <c r="N131" s="1714"/>
    </row>
    <row r="132" spans="1:14" ht="15.75" hidden="1">
      <c r="A132" s="135">
        <v>11905</v>
      </c>
      <c r="B132" s="1706" t="s">
        <v>450</v>
      </c>
      <c r="C132" s="1707"/>
      <c r="D132" s="1707"/>
      <c r="E132" s="1707"/>
      <c r="F132" s="1707"/>
      <c r="G132" s="1707"/>
      <c r="H132" s="1708"/>
      <c r="I132" s="1709">
        <v>1300000</v>
      </c>
      <c r="J132" s="1710"/>
      <c r="K132" s="1711"/>
      <c r="L132" s="1712" t="s">
        <v>311</v>
      </c>
      <c r="M132" s="1713"/>
      <c r="N132" s="1714"/>
    </row>
    <row r="133" spans="1:14" ht="15.75" hidden="1">
      <c r="A133" s="135">
        <v>11915</v>
      </c>
      <c r="B133" s="1706" t="s">
        <v>451</v>
      </c>
      <c r="C133" s="1707"/>
      <c r="D133" s="1707"/>
      <c r="E133" s="1707"/>
      <c r="F133" s="1707"/>
      <c r="G133" s="1707"/>
      <c r="H133" s="1708"/>
      <c r="I133" s="1709">
        <v>1300000</v>
      </c>
      <c r="J133" s="1710"/>
      <c r="K133" s="1711"/>
      <c r="L133" s="1712" t="s">
        <v>311</v>
      </c>
      <c r="M133" s="1713"/>
      <c r="N133" s="1714"/>
    </row>
    <row r="134" spans="1:14" ht="15.75" hidden="1">
      <c r="A134" s="135">
        <v>11937</v>
      </c>
      <c r="B134" s="1706" t="s">
        <v>452</v>
      </c>
      <c r="C134" s="1707"/>
      <c r="D134" s="1707"/>
      <c r="E134" s="1707"/>
      <c r="F134" s="1707"/>
      <c r="G134" s="1707"/>
      <c r="H134" s="1708"/>
      <c r="I134" s="1709">
        <v>1250000</v>
      </c>
      <c r="J134" s="1710"/>
      <c r="K134" s="1711"/>
      <c r="L134" s="1712" t="s">
        <v>311</v>
      </c>
      <c r="M134" s="1713"/>
      <c r="N134" s="1714"/>
    </row>
    <row r="135" spans="1:14" ht="15.75" hidden="1">
      <c r="A135" s="135">
        <v>11935</v>
      </c>
      <c r="B135" s="1706" t="s">
        <v>4421</v>
      </c>
      <c r="C135" s="1707"/>
      <c r="D135" s="1707"/>
      <c r="E135" s="1707"/>
      <c r="F135" s="1707"/>
      <c r="G135" s="1707"/>
      <c r="H135" s="1708"/>
      <c r="I135" s="1709">
        <v>1200000</v>
      </c>
      <c r="J135" s="1710"/>
      <c r="K135" s="1711"/>
      <c r="L135" s="1712" t="s">
        <v>482</v>
      </c>
      <c r="M135" s="1713"/>
      <c r="N135" s="1714"/>
    </row>
    <row r="136" spans="1:14" ht="18" hidden="1">
      <c r="A136" s="14"/>
      <c r="B136" s="1700" t="s">
        <v>34</v>
      </c>
      <c r="C136" s="1701"/>
      <c r="D136" s="1701"/>
      <c r="E136" s="1701"/>
      <c r="F136" s="1701"/>
      <c r="G136" s="1701"/>
      <c r="H136" s="1702"/>
      <c r="I136" s="1703">
        <f>SUM(I101:I135)</f>
        <v>40630000</v>
      </c>
      <c r="J136" s="1704"/>
      <c r="K136" s="1705"/>
      <c r="L136" s="1725"/>
      <c r="M136" s="1726"/>
      <c r="N136" s="1727"/>
    </row>
    <row r="139" spans="1:14">
      <c r="A139" s="1721" t="s">
        <v>4422</v>
      </c>
      <c r="B139" s="1721"/>
      <c r="C139" s="1721"/>
      <c r="D139" s="1721"/>
      <c r="E139" s="1721"/>
      <c r="F139" s="1721"/>
      <c r="G139" s="1721"/>
      <c r="H139" s="1721"/>
      <c r="I139" s="1721"/>
      <c r="J139" s="1721"/>
      <c r="K139" s="1721"/>
      <c r="L139" s="1721"/>
      <c r="M139" s="1721"/>
      <c r="N139" s="1721"/>
    </row>
    <row r="140" spans="1:14">
      <c r="A140" s="1721"/>
      <c r="B140" s="1721"/>
      <c r="C140" s="1721"/>
      <c r="D140" s="1721"/>
      <c r="E140" s="1721"/>
      <c r="F140" s="1721"/>
      <c r="G140" s="1721"/>
      <c r="H140" s="1721"/>
      <c r="I140" s="1721"/>
      <c r="J140" s="1721"/>
      <c r="K140" s="1721"/>
      <c r="L140" s="1721"/>
      <c r="M140" s="1721"/>
      <c r="N140" s="1721"/>
    </row>
    <row r="142" spans="1:14">
      <c r="A142" s="1718" t="s">
        <v>4423</v>
      </c>
      <c r="B142" s="1718"/>
      <c r="C142" s="1718"/>
      <c r="D142" s="1718"/>
      <c r="E142" s="1718"/>
      <c r="F142" s="1718"/>
      <c r="G142" s="1718"/>
      <c r="H142" s="1718"/>
      <c r="I142" s="1718"/>
      <c r="J142" s="1718"/>
      <c r="K142" s="1718"/>
      <c r="L142" s="1718"/>
      <c r="M142" s="1718"/>
      <c r="N142" s="1718"/>
    </row>
    <row r="143" spans="1:14">
      <c r="A143" s="1718"/>
      <c r="B143" s="1718"/>
      <c r="C143" s="1718"/>
      <c r="D143" s="1718"/>
      <c r="E143" s="1718"/>
      <c r="F143" s="1718"/>
      <c r="G143" s="1718"/>
      <c r="H143" s="1718"/>
      <c r="I143" s="1718"/>
      <c r="J143" s="1718"/>
      <c r="K143" s="1718"/>
      <c r="L143" s="1718"/>
      <c r="M143" s="1718"/>
      <c r="N143" s="1718"/>
    </row>
    <row r="144" spans="1:14">
      <c r="A144" s="615" t="s">
        <v>120</v>
      </c>
      <c r="B144" s="1722" t="s">
        <v>5</v>
      </c>
      <c r="C144" s="1722"/>
      <c r="D144" s="1722"/>
      <c r="E144" s="1722"/>
      <c r="F144" s="1722"/>
      <c r="G144" s="1722"/>
      <c r="H144" s="1722"/>
      <c r="I144" s="1723" t="s">
        <v>4410</v>
      </c>
      <c r="J144" s="1724"/>
      <c r="K144" s="1724"/>
      <c r="L144" s="1722" t="s">
        <v>4411</v>
      </c>
      <c r="M144" s="1722"/>
      <c r="N144" s="1722"/>
    </row>
    <row r="145" spans="1:14" ht="15.75">
      <c r="A145" s="135">
        <v>12138</v>
      </c>
      <c r="B145" s="1706" t="s">
        <v>473</v>
      </c>
      <c r="C145" s="1707"/>
      <c r="D145" s="1707"/>
      <c r="E145" s="1707"/>
      <c r="F145" s="1707"/>
      <c r="G145" s="1707"/>
      <c r="H145" s="1708"/>
      <c r="I145" s="1709">
        <v>850000</v>
      </c>
      <c r="J145" s="1710"/>
      <c r="K145" s="1711"/>
      <c r="L145" s="1728" t="s">
        <v>180</v>
      </c>
      <c r="M145" s="1729"/>
      <c r="N145" s="1730"/>
    </row>
    <row r="146" spans="1:14" ht="15.75">
      <c r="A146" s="346">
        <v>11960</v>
      </c>
      <c r="B146" s="1706" t="s">
        <v>472</v>
      </c>
      <c r="C146" s="1707"/>
      <c r="D146" s="1707"/>
      <c r="E146" s="1707"/>
      <c r="F146" s="1707"/>
      <c r="G146" s="1707"/>
      <c r="H146" s="1708"/>
      <c r="I146" s="1709">
        <v>780000</v>
      </c>
      <c r="J146" s="1710"/>
      <c r="K146" s="1711"/>
      <c r="L146" s="1728" t="s">
        <v>286</v>
      </c>
      <c r="M146" s="1729"/>
      <c r="N146" s="1730"/>
    </row>
    <row r="147" spans="1:14" ht="15.75">
      <c r="A147" s="346">
        <v>11968</v>
      </c>
      <c r="B147" s="1706" t="s">
        <v>474</v>
      </c>
      <c r="C147" s="1707"/>
      <c r="D147" s="1707"/>
      <c r="E147" s="1707"/>
      <c r="F147" s="1707"/>
      <c r="G147" s="1707"/>
      <c r="H147" s="1708"/>
      <c r="I147" s="1709">
        <v>1250000</v>
      </c>
      <c r="J147" s="1710"/>
      <c r="K147" s="1711"/>
      <c r="L147" s="1728" t="s">
        <v>286</v>
      </c>
      <c r="M147" s="1729"/>
      <c r="N147" s="1730"/>
    </row>
    <row r="148" spans="1:14" ht="15.75">
      <c r="A148" s="346">
        <v>11972</v>
      </c>
      <c r="B148" s="1706" t="s">
        <v>476</v>
      </c>
      <c r="C148" s="1707"/>
      <c r="D148" s="1707"/>
      <c r="E148" s="1707"/>
      <c r="F148" s="1707"/>
      <c r="G148" s="1707"/>
      <c r="H148" s="1708"/>
      <c r="I148" s="1709">
        <v>900000</v>
      </c>
      <c r="J148" s="1710"/>
      <c r="K148" s="1711"/>
      <c r="L148" s="1728" t="s">
        <v>286</v>
      </c>
      <c r="M148" s="1729"/>
      <c r="N148" s="1730"/>
    </row>
    <row r="149" spans="1:14" ht="15.75">
      <c r="A149" s="346">
        <v>11984</v>
      </c>
      <c r="B149" s="1706" t="s">
        <v>477</v>
      </c>
      <c r="C149" s="1707"/>
      <c r="D149" s="1707"/>
      <c r="E149" s="1707"/>
      <c r="F149" s="1707"/>
      <c r="G149" s="1707"/>
      <c r="H149" s="1708"/>
      <c r="I149" s="1709">
        <v>900000</v>
      </c>
      <c r="J149" s="1710"/>
      <c r="K149" s="1711"/>
      <c r="L149" s="1728" t="s">
        <v>286</v>
      </c>
      <c r="M149" s="1729"/>
      <c r="N149" s="1730"/>
    </row>
    <row r="150" spans="1:14" ht="15.75">
      <c r="A150" s="346">
        <v>12079</v>
      </c>
      <c r="B150" s="1706" t="s">
        <v>478</v>
      </c>
      <c r="C150" s="1707"/>
      <c r="D150" s="1707"/>
      <c r="E150" s="1707"/>
      <c r="F150" s="1707"/>
      <c r="G150" s="1707"/>
      <c r="H150" s="1708"/>
      <c r="I150" s="1709">
        <v>1200000</v>
      </c>
      <c r="J150" s="1710"/>
      <c r="K150" s="1711"/>
      <c r="L150" s="1728" t="s">
        <v>286</v>
      </c>
      <c r="M150" s="1729"/>
      <c r="N150" s="1730"/>
    </row>
    <row r="151" spans="1:14" ht="15.75">
      <c r="A151" s="346">
        <v>12020</v>
      </c>
      <c r="B151" s="1752" t="s">
        <v>479</v>
      </c>
      <c r="C151" s="1753"/>
      <c r="D151" s="1753"/>
      <c r="E151" s="1753"/>
      <c r="F151" s="1753"/>
      <c r="G151" s="1753"/>
      <c r="H151" s="1754"/>
      <c r="I151" s="1709">
        <v>1100000</v>
      </c>
      <c r="J151" s="1710"/>
      <c r="K151" s="1711"/>
      <c r="L151" s="1728" t="s">
        <v>286</v>
      </c>
      <c r="M151" s="1729"/>
      <c r="N151" s="1730"/>
    </row>
    <row r="152" spans="1:14" ht="15.75">
      <c r="A152" s="701">
        <v>12028</v>
      </c>
      <c r="B152" s="1752" t="s">
        <v>481</v>
      </c>
      <c r="C152" s="1753"/>
      <c r="D152" s="1753"/>
      <c r="E152" s="1753"/>
      <c r="F152" s="1753"/>
      <c r="G152" s="1753"/>
      <c r="H152" s="1754"/>
      <c r="I152" s="1709">
        <v>820000</v>
      </c>
      <c r="J152" s="1710"/>
      <c r="K152" s="1711"/>
      <c r="L152" s="1728" t="s">
        <v>286</v>
      </c>
      <c r="M152" s="1729"/>
      <c r="N152" s="1730"/>
    </row>
    <row r="153" spans="1:14" ht="15.75">
      <c r="A153" s="701">
        <v>12048</v>
      </c>
      <c r="B153" s="1706" t="s">
        <v>483</v>
      </c>
      <c r="C153" s="1707"/>
      <c r="D153" s="1707"/>
      <c r="E153" s="1707"/>
      <c r="F153" s="1707"/>
      <c r="G153" s="1707"/>
      <c r="H153" s="1708"/>
      <c r="I153" s="1709">
        <v>950000</v>
      </c>
      <c r="J153" s="1710"/>
      <c r="K153" s="1711"/>
      <c r="L153" s="1712" t="s">
        <v>286</v>
      </c>
      <c r="M153" s="1713"/>
      <c r="N153" s="1714"/>
    </row>
    <row r="154" spans="1:14" ht="15.75">
      <c r="A154" s="346">
        <v>12087</v>
      </c>
      <c r="B154" s="1731" t="s">
        <v>484</v>
      </c>
      <c r="C154" s="1732"/>
      <c r="D154" s="1732"/>
      <c r="E154" s="1732"/>
      <c r="F154" s="1732"/>
      <c r="G154" s="1732"/>
      <c r="H154" s="1733"/>
      <c r="I154" s="1709">
        <v>900000</v>
      </c>
      <c r="J154" s="1710"/>
      <c r="K154" s="1711"/>
      <c r="L154" s="1712" t="s">
        <v>286</v>
      </c>
      <c r="M154" s="1713"/>
      <c r="N154" s="1714"/>
    </row>
    <row r="155" spans="1:14" ht="15.75">
      <c r="A155" s="346">
        <v>12132</v>
      </c>
      <c r="B155" s="1731" t="s">
        <v>486</v>
      </c>
      <c r="C155" s="1732"/>
      <c r="D155" s="1732"/>
      <c r="E155" s="1732"/>
      <c r="F155" s="1732"/>
      <c r="G155" s="1732"/>
      <c r="H155" s="1733"/>
      <c r="I155" s="1709">
        <v>1250000</v>
      </c>
      <c r="J155" s="1710"/>
      <c r="K155" s="1711"/>
      <c r="L155" s="1712" t="s">
        <v>286</v>
      </c>
      <c r="M155" s="1713"/>
      <c r="N155" s="1714"/>
    </row>
    <row r="156" spans="1:14" ht="15.75">
      <c r="A156" s="346">
        <v>12143</v>
      </c>
      <c r="B156" s="1731" t="s">
        <v>487</v>
      </c>
      <c r="C156" s="1732"/>
      <c r="D156" s="1732"/>
      <c r="E156" s="1732"/>
      <c r="F156" s="1732"/>
      <c r="G156" s="1732"/>
      <c r="H156" s="1733"/>
      <c r="I156" s="1709">
        <v>1700000</v>
      </c>
      <c r="J156" s="1710"/>
      <c r="K156" s="1711"/>
      <c r="L156" s="1712" t="s">
        <v>286</v>
      </c>
      <c r="M156" s="1713"/>
      <c r="N156" s="1714"/>
    </row>
    <row r="157" spans="1:14" ht="15.75">
      <c r="A157" s="362"/>
      <c r="B157" s="1731" t="s">
        <v>488</v>
      </c>
      <c r="C157" s="1732"/>
      <c r="D157" s="1732"/>
      <c r="E157" s="1732"/>
      <c r="F157" s="1732"/>
      <c r="G157" s="1732"/>
      <c r="H157" s="1733"/>
      <c r="I157" s="1709">
        <v>800000</v>
      </c>
      <c r="J157" s="1710"/>
      <c r="K157" s="1711"/>
      <c r="L157" s="1712" t="s">
        <v>286</v>
      </c>
      <c r="M157" s="1713"/>
      <c r="N157" s="1714"/>
    </row>
    <row r="158" spans="1:14" ht="15.75">
      <c r="A158" s="135">
        <v>11963</v>
      </c>
      <c r="B158" s="1731" t="s">
        <v>491</v>
      </c>
      <c r="C158" s="1732"/>
      <c r="D158" s="1732"/>
      <c r="E158" s="1732"/>
      <c r="F158" s="1732"/>
      <c r="G158" s="1732"/>
      <c r="H158" s="1733"/>
      <c r="I158" s="1709">
        <v>900000</v>
      </c>
      <c r="J158" s="1710"/>
      <c r="K158" s="1711"/>
      <c r="L158" s="1712" t="s">
        <v>311</v>
      </c>
      <c r="M158" s="1713"/>
      <c r="N158" s="1714"/>
    </row>
    <row r="159" spans="1:14" ht="15.75">
      <c r="A159" s="741">
        <v>12006</v>
      </c>
      <c r="B159" s="1731" t="s">
        <v>504</v>
      </c>
      <c r="C159" s="1732"/>
      <c r="D159" s="1732"/>
      <c r="E159" s="1732"/>
      <c r="F159" s="1732"/>
      <c r="G159" s="1732"/>
      <c r="H159" s="1733"/>
      <c r="I159" s="1709">
        <v>950000</v>
      </c>
      <c r="J159" s="1710"/>
      <c r="K159" s="1711"/>
      <c r="L159" s="1712" t="s">
        <v>520</v>
      </c>
      <c r="M159" s="1713"/>
      <c r="N159" s="1714"/>
    </row>
    <row r="160" spans="1:14" ht="18">
      <c r="A160" s="14"/>
      <c r="B160" s="1700" t="s">
        <v>34</v>
      </c>
      <c r="C160" s="1701"/>
      <c r="D160" s="1701"/>
      <c r="E160" s="1701"/>
      <c r="F160" s="1701"/>
      <c r="G160" s="1701"/>
      <c r="H160" s="1702"/>
      <c r="I160" s="1703">
        <f>SUM(I145:I159)</f>
        <v>15250000</v>
      </c>
      <c r="J160" s="1734"/>
      <c r="K160" s="1735"/>
      <c r="L160" s="1725"/>
      <c r="M160" s="1726"/>
      <c r="N160" s="1727"/>
    </row>
    <row r="164" spans="1:14">
      <c r="A164" s="1718" t="s">
        <v>4424</v>
      </c>
      <c r="B164" s="1718"/>
      <c r="C164" s="1718"/>
      <c r="D164" s="1718"/>
      <c r="E164" s="1718"/>
      <c r="F164" s="1718"/>
      <c r="G164" s="1718"/>
      <c r="H164" s="1718"/>
      <c r="I164" s="1718"/>
      <c r="J164" s="1718"/>
      <c r="K164" s="1718"/>
      <c r="L164" s="1718"/>
      <c r="M164" s="1718"/>
      <c r="N164" s="1718"/>
    </row>
    <row r="165" spans="1:14">
      <c r="A165" s="1719"/>
      <c r="B165" s="1719"/>
      <c r="C165" s="1719"/>
      <c r="D165" s="1719"/>
      <c r="E165" s="1719"/>
      <c r="F165" s="1719"/>
      <c r="G165" s="1719"/>
      <c r="H165" s="1719"/>
      <c r="I165" s="1719"/>
      <c r="J165" s="1719"/>
      <c r="K165" s="1719"/>
      <c r="L165" s="1719"/>
      <c r="M165" s="1719"/>
      <c r="N165" s="1719"/>
    </row>
    <row r="166" spans="1:14">
      <c r="A166" s="606" t="s">
        <v>120</v>
      </c>
      <c r="B166" s="1720" t="s">
        <v>5</v>
      </c>
      <c r="C166" s="1720"/>
      <c r="D166" s="1720"/>
      <c r="E166" s="1720"/>
      <c r="F166" s="1720"/>
      <c r="G166" s="1720"/>
      <c r="H166" s="1720"/>
      <c r="I166" s="1720" t="s">
        <v>4410</v>
      </c>
      <c r="J166" s="1720"/>
      <c r="K166" s="1720"/>
      <c r="L166" s="1720" t="s">
        <v>4411</v>
      </c>
      <c r="M166" s="1720"/>
      <c r="N166" s="1720"/>
    </row>
    <row r="167" spans="1:14" ht="15.75">
      <c r="A167" s="135">
        <v>11955</v>
      </c>
      <c r="B167" s="1706" t="s">
        <v>471</v>
      </c>
      <c r="C167" s="1707"/>
      <c r="D167" s="1707"/>
      <c r="E167" s="1707"/>
      <c r="F167" s="1707"/>
      <c r="G167" s="1707"/>
      <c r="H167" s="1708"/>
      <c r="I167" s="1709">
        <v>1300000</v>
      </c>
      <c r="J167" s="1710"/>
      <c r="K167" s="1711"/>
      <c r="L167" s="1712" t="s">
        <v>180</v>
      </c>
      <c r="M167" s="1713"/>
      <c r="N167" s="1714"/>
    </row>
    <row r="168" spans="1:14" ht="15.75">
      <c r="A168" s="701">
        <v>12024</v>
      </c>
      <c r="B168" s="1706" t="s">
        <v>480</v>
      </c>
      <c r="C168" s="1707"/>
      <c r="D168" s="1707"/>
      <c r="E168" s="1707"/>
      <c r="F168" s="1707"/>
      <c r="G168" s="1707"/>
      <c r="H168" s="1708"/>
      <c r="I168" s="1709">
        <v>1300000</v>
      </c>
      <c r="J168" s="1710"/>
      <c r="K168" s="1711"/>
      <c r="L168" s="1712" t="s">
        <v>286</v>
      </c>
      <c r="M168" s="1713"/>
      <c r="N168" s="1714"/>
    </row>
    <row r="169" spans="1:14" ht="15.75">
      <c r="A169" s="346">
        <v>12105</v>
      </c>
      <c r="B169" s="1706" t="s">
        <v>475</v>
      </c>
      <c r="C169" s="1707"/>
      <c r="D169" s="1707"/>
      <c r="E169" s="1707"/>
      <c r="F169" s="1707"/>
      <c r="G169" s="1707"/>
      <c r="H169" s="1708"/>
      <c r="I169" s="1709">
        <v>1000000</v>
      </c>
      <c r="J169" s="1710"/>
      <c r="K169" s="1711"/>
      <c r="L169" s="1712" t="s">
        <v>286</v>
      </c>
      <c r="M169" s="1713"/>
      <c r="N169" s="1714"/>
    </row>
    <row r="170" spans="1:14" ht="15.75">
      <c r="A170" s="346">
        <v>12100</v>
      </c>
      <c r="B170" s="1706" t="s">
        <v>485</v>
      </c>
      <c r="C170" s="1707"/>
      <c r="D170" s="1707"/>
      <c r="E170" s="1707"/>
      <c r="F170" s="1707"/>
      <c r="G170" s="1707"/>
      <c r="H170" s="1708"/>
      <c r="I170" s="1709">
        <v>1250000</v>
      </c>
      <c r="J170" s="1710"/>
      <c r="K170" s="1711"/>
      <c r="L170" s="1712" t="s">
        <v>286</v>
      </c>
      <c r="M170" s="1713"/>
      <c r="N170" s="1714"/>
    </row>
    <row r="171" spans="1:14" ht="15.75">
      <c r="A171" s="135">
        <v>11993</v>
      </c>
      <c r="B171" s="1706" t="s">
        <v>489</v>
      </c>
      <c r="C171" s="1707"/>
      <c r="D171" s="1707"/>
      <c r="E171" s="1707"/>
      <c r="F171" s="1707"/>
      <c r="G171" s="1707"/>
      <c r="H171" s="1708"/>
      <c r="I171" s="1709">
        <v>1380000</v>
      </c>
      <c r="J171" s="1710"/>
      <c r="K171" s="1711"/>
      <c r="L171" s="1712" t="s">
        <v>311</v>
      </c>
      <c r="M171" s="1713"/>
      <c r="N171" s="1714"/>
    </row>
    <row r="172" spans="1:14" ht="15.75">
      <c r="A172" s="135">
        <v>11991</v>
      </c>
      <c r="B172" s="1706" t="s">
        <v>492</v>
      </c>
      <c r="C172" s="1707"/>
      <c r="D172" s="1707"/>
      <c r="E172" s="1707"/>
      <c r="F172" s="1707"/>
      <c r="G172" s="1707"/>
      <c r="H172" s="1708"/>
      <c r="I172" s="1709">
        <v>1300000</v>
      </c>
      <c r="J172" s="1710"/>
      <c r="K172" s="1711"/>
      <c r="L172" s="1712" t="s">
        <v>311</v>
      </c>
      <c r="M172" s="1713"/>
      <c r="N172" s="1714"/>
    </row>
    <row r="173" spans="1:14" ht="15.75">
      <c r="A173" s="135">
        <v>12063</v>
      </c>
      <c r="B173" s="1706" t="s">
        <v>493</v>
      </c>
      <c r="C173" s="1707"/>
      <c r="D173" s="1707"/>
      <c r="E173" s="1707"/>
      <c r="F173" s="1707"/>
      <c r="G173" s="1707"/>
      <c r="H173" s="1708"/>
      <c r="I173" s="1709">
        <v>1300000</v>
      </c>
      <c r="J173" s="1710"/>
      <c r="K173" s="1711"/>
      <c r="L173" s="1712" t="s">
        <v>311</v>
      </c>
      <c r="M173" s="1713"/>
      <c r="N173" s="1714"/>
    </row>
    <row r="174" spans="1:14" ht="15.75">
      <c r="A174" s="135">
        <v>12067</v>
      </c>
      <c r="B174" s="1706" t="s">
        <v>494</v>
      </c>
      <c r="C174" s="1707"/>
      <c r="D174" s="1707"/>
      <c r="E174" s="1707"/>
      <c r="F174" s="1707"/>
      <c r="G174" s="1707"/>
      <c r="H174" s="1708"/>
      <c r="I174" s="1709">
        <v>900000</v>
      </c>
      <c r="J174" s="1710"/>
      <c r="K174" s="1711"/>
      <c r="L174" s="1712" t="s">
        <v>311</v>
      </c>
      <c r="M174" s="1713"/>
      <c r="N174" s="1714"/>
    </row>
    <row r="175" spans="1:14" ht="15.75">
      <c r="A175" s="135">
        <v>12109</v>
      </c>
      <c r="B175" s="1706" t="s">
        <v>495</v>
      </c>
      <c r="C175" s="1707"/>
      <c r="D175" s="1707"/>
      <c r="E175" s="1707"/>
      <c r="F175" s="1707"/>
      <c r="G175" s="1707"/>
      <c r="H175" s="1708"/>
      <c r="I175" s="1709">
        <v>800000</v>
      </c>
      <c r="J175" s="1710"/>
      <c r="K175" s="1711"/>
      <c r="L175" s="1712" t="s">
        <v>311</v>
      </c>
      <c r="M175" s="1713"/>
      <c r="N175" s="1714"/>
    </row>
    <row r="176" spans="1:14" ht="15.75">
      <c r="A176" s="135">
        <v>12118</v>
      </c>
      <c r="B176" s="1706" t="s">
        <v>496</v>
      </c>
      <c r="C176" s="1707"/>
      <c r="D176" s="1707"/>
      <c r="E176" s="1707"/>
      <c r="F176" s="1707"/>
      <c r="G176" s="1707"/>
      <c r="H176" s="1708"/>
      <c r="I176" s="1709">
        <v>1000000</v>
      </c>
      <c r="J176" s="1710"/>
      <c r="K176" s="1711"/>
      <c r="L176" s="1712" t="s">
        <v>311</v>
      </c>
      <c r="M176" s="1713"/>
      <c r="N176" s="1714"/>
    </row>
    <row r="177" spans="1:14" ht="15.75">
      <c r="A177" s="135">
        <v>12134</v>
      </c>
      <c r="B177" s="1706" t="s">
        <v>497</v>
      </c>
      <c r="C177" s="1707"/>
      <c r="D177" s="1707"/>
      <c r="E177" s="1707"/>
      <c r="F177" s="1707"/>
      <c r="G177" s="1707"/>
      <c r="H177" s="1708"/>
      <c r="I177" s="1709">
        <v>1250000</v>
      </c>
      <c r="J177" s="1710"/>
      <c r="K177" s="1711"/>
      <c r="L177" s="1712" t="s">
        <v>311</v>
      </c>
      <c r="M177" s="1713"/>
      <c r="N177" s="1714"/>
    </row>
    <row r="178" spans="1:14" ht="15.75">
      <c r="A178" s="135">
        <v>11990</v>
      </c>
      <c r="B178" s="1706" t="s">
        <v>490</v>
      </c>
      <c r="C178" s="1707"/>
      <c r="D178" s="1707"/>
      <c r="E178" s="1707"/>
      <c r="F178" s="1707"/>
      <c r="G178" s="1707"/>
      <c r="H178" s="1708"/>
      <c r="I178" s="1709">
        <v>1100000</v>
      </c>
      <c r="J178" s="1710"/>
      <c r="K178" s="1711"/>
      <c r="L178" s="1712" t="s">
        <v>30</v>
      </c>
      <c r="M178" s="1713"/>
      <c r="N178" s="1714"/>
    </row>
    <row r="179" spans="1:14" ht="15.75">
      <c r="A179" s="741">
        <v>12031</v>
      </c>
      <c r="B179" s="1706" t="s">
        <v>503</v>
      </c>
      <c r="C179" s="1707"/>
      <c r="D179" s="1707"/>
      <c r="E179" s="1707"/>
      <c r="F179" s="1707"/>
      <c r="G179" s="1707"/>
      <c r="H179" s="1708"/>
      <c r="I179" s="1709">
        <v>1300000</v>
      </c>
      <c r="J179" s="1710"/>
      <c r="K179" s="1711"/>
      <c r="L179" s="1712" t="s">
        <v>520</v>
      </c>
      <c r="M179" s="1713"/>
      <c r="N179" s="1714"/>
    </row>
    <row r="180" spans="1:14" ht="15.75">
      <c r="A180" s="741">
        <v>12029</v>
      </c>
      <c r="B180" s="1746" t="s">
        <v>505</v>
      </c>
      <c r="C180" s="1747"/>
      <c r="D180" s="1747"/>
      <c r="E180" s="1747"/>
      <c r="F180" s="1747"/>
      <c r="G180" s="1747"/>
      <c r="H180" s="1748"/>
      <c r="I180" s="1736">
        <v>1200000</v>
      </c>
      <c r="J180" s="1737"/>
      <c r="K180" s="1738"/>
      <c r="L180" s="1715" t="s">
        <v>520</v>
      </c>
      <c r="M180" s="1716"/>
      <c r="N180" s="1717"/>
    </row>
    <row r="181" spans="1:14" ht="15.75">
      <c r="A181" s="741">
        <v>12012</v>
      </c>
      <c r="B181" s="1706" t="s">
        <v>506</v>
      </c>
      <c r="C181" s="1707"/>
      <c r="D181" s="1707"/>
      <c r="E181" s="1707"/>
      <c r="F181" s="1707"/>
      <c r="G181" s="1707"/>
      <c r="H181" s="1708"/>
      <c r="I181" s="1709">
        <v>1400000</v>
      </c>
      <c r="J181" s="1710"/>
      <c r="K181" s="1711"/>
      <c r="L181" s="1712" t="s">
        <v>520</v>
      </c>
      <c r="M181" s="1713"/>
      <c r="N181" s="1714"/>
    </row>
    <row r="182" spans="1:14" ht="15.75">
      <c r="A182" s="741">
        <v>12034</v>
      </c>
      <c r="B182" s="1706" t="s">
        <v>507</v>
      </c>
      <c r="C182" s="1707"/>
      <c r="D182" s="1707"/>
      <c r="E182" s="1707"/>
      <c r="F182" s="1707"/>
      <c r="G182" s="1707"/>
      <c r="H182" s="1708"/>
      <c r="I182" s="1709">
        <v>1200000</v>
      </c>
      <c r="J182" s="1710"/>
      <c r="K182" s="1711"/>
      <c r="L182" s="1712" t="s">
        <v>520</v>
      </c>
      <c r="M182" s="1713"/>
      <c r="N182" s="1714"/>
    </row>
    <row r="183" spans="1:14" ht="15.75">
      <c r="A183" s="741">
        <v>12124</v>
      </c>
      <c r="B183" s="1706" t="s">
        <v>508</v>
      </c>
      <c r="C183" s="1707"/>
      <c r="D183" s="1707"/>
      <c r="E183" s="1707"/>
      <c r="F183" s="1707"/>
      <c r="G183" s="1707"/>
      <c r="H183" s="1708"/>
      <c r="I183" s="1709">
        <v>2500000</v>
      </c>
      <c r="J183" s="1710"/>
      <c r="K183" s="1711"/>
      <c r="L183" s="1712" t="s">
        <v>520</v>
      </c>
      <c r="M183" s="1713"/>
      <c r="N183" s="1714"/>
    </row>
    <row r="184" spans="1:14" ht="15.75">
      <c r="A184" s="741">
        <v>12178</v>
      </c>
      <c r="B184" s="1706" t="s">
        <v>509</v>
      </c>
      <c r="C184" s="1707"/>
      <c r="D184" s="1707"/>
      <c r="E184" s="1707"/>
      <c r="F184" s="1707"/>
      <c r="G184" s="1707"/>
      <c r="H184" s="1708"/>
      <c r="I184" s="1709">
        <v>1300000</v>
      </c>
      <c r="J184" s="1710"/>
      <c r="K184" s="1711"/>
      <c r="L184" s="1712" t="s">
        <v>520</v>
      </c>
      <c r="M184" s="1713"/>
      <c r="N184" s="1714"/>
    </row>
    <row r="185" spans="1:14" ht="18">
      <c r="A185" s="14"/>
      <c r="B185" s="1700" t="s">
        <v>34</v>
      </c>
      <c r="C185" s="1701"/>
      <c r="D185" s="1701"/>
      <c r="E185" s="1701"/>
      <c r="F185" s="1701"/>
      <c r="G185" s="1701"/>
      <c r="H185" s="1702"/>
      <c r="I185" s="1703">
        <f>SUM(I167:I184)</f>
        <v>22780000</v>
      </c>
      <c r="J185" s="1704"/>
      <c r="K185" s="1705"/>
      <c r="L185" s="1725"/>
      <c r="M185" s="1726"/>
      <c r="N185" s="1727"/>
    </row>
    <row r="188" spans="1:14">
      <c r="A188" s="1721" t="s">
        <v>4425</v>
      </c>
      <c r="B188" s="1721"/>
      <c r="C188" s="1721"/>
      <c r="D188" s="1721"/>
      <c r="E188" s="1721"/>
      <c r="F188" s="1721"/>
      <c r="G188" s="1721"/>
      <c r="H188" s="1721"/>
      <c r="I188" s="1721"/>
      <c r="J188" s="1721"/>
      <c r="K188" s="1721"/>
      <c r="L188" s="1721"/>
      <c r="M188" s="1721"/>
      <c r="N188" s="1721"/>
    </row>
    <row r="189" spans="1:14">
      <c r="A189" s="1721"/>
      <c r="B189" s="1721"/>
      <c r="C189" s="1721"/>
      <c r="D189" s="1721"/>
      <c r="E189" s="1721"/>
      <c r="F189" s="1721"/>
      <c r="G189" s="1721"/>
      <c r="H189" s="1721"/>
      <c r="I189" s="1721"/>
      <c r="J189" s="1721"/>
      <c r="K189" s="1721"/>
      <c r="L189" s="1721"/>
      <c r="M189" s="1721"/>
      <c r="N189" s="1721"/>
    </row>
    <row r="191" spans="1:14">
      <c r="A191" s="1718" t="s">
        <v>4426</v>
      </c>
      <c r="B191" s="1718"/>
      <c r="C191" s="1718"/>
      <c r="D191" s="1718"/>
      <c r="E191" s="1718"/>
      <c r="F191" s="1718"/>
      <c r="G191" s="1718"/>
      <c r="H191" s="1718"/>
      <c r="I191" s="1718"/>
      <c r="J191" s="1718"/>
      <c r="K191" s="1718"/>
      <c r="L191" s="1718"/>
      <c r="M191" s="1718"/>
      <c r="N191" s="1718"/>
    </row>
    <row r="192" spans="1:14">
      <c r="A192" s="1718"/>
      <c r="B192" s="1718"/>
      <c r="C192" s="1718"/>
      <c r="D192" s="1718"/>
      <c r="E192" s="1718"/>
      <c r="F192" s="1718"/>
      <c r="G192" s="1718"/>
      <c r="H192" s="1718"/>
      <c r="I192" s="1718"/>
      <c r="J192" s="1718"/>
      <c r="K192" s="1718"/>
      <c r="L192" s="1718"/>
      <c r="M192" s="1718"/>
      <c r="N192" s="1718"/>
    </row>
    <row r="193" spans="1:14">
      <c r="A193" s="615" t="s">
        <v>120</v>
      </c>
      <c r="B193" s="1722" t="s">
        <v>5</v>
      </c>
      <c r="C193" s="1722"/>
      <c r="D193" s="1722"/>
      <c r="E193" s="1722"/>
      <c r="F193" s="1722"/>
      <c r="G193" s="1722"/>
      <c r="H193" s="1722"/>
      <c r="I193" s="1723" t="s">
        <v>4410</v>
      </c>
      <c r="J193" s="1724"/>
      <c r="K193" s="1724"/>
      <c r="L193" s="1722" t="s">
        <v>4411</v>
      </c>
      <c r="M193" s="1722"/>
      <c r="N193" s="1722"/>
    </row>
    <row r="194" spans="1:14" ht="15.75">
      <c r="A194" s="135">
        <v>12203</v>
      </c>
      <c r="B194" s="1706" t="s">
        <v>515</v>
      </c>
      <c r="C194" s="1707"/>
      <c r="D194" s="1707"/>
      <c r="E194" s="1707"/>
      <c r="F194" s="1707"/>
      <c r="G194" s="1707"/>
      <c r="H194" s="1708"/>
      <c r="I194" s="1709">
        <v>1450000</v>
      </c>
      <c r="J194" s="1710"/>
      <c r="K194" s="1711"/>
      <c r="L194" s="1728" t="s">
        <v>180</v>
      </c>
      <c r="M194" s="1729"/>
      <c r="N194" s="1730"/>
    </row>
    <row r="195" spans="1:14" ht="15.75">
      <c r="A195" s="135">
        <v>12217</v>
      </c>
      <c r="B195" s="1706" t="s">
        <v>521</v>
      </c>
      <c r="C195" s="1707"/>
      <c r="D195" s="1707"/>
      <c r="E195" s="1707"/>
      <c r="F195" s="1707"/>
      <c r="G195" s="1707"/>
      <c r="H195" s="1708"/>
      <c r="I195" s="1709">
        <v>800000</v>
      </c>
      <c r="J195" s="1710"/>
      <c r="K195" s="1711"/>
      <c r="L195" s="1728" t="s">
        <v>180</v>
      </c>
      <c r="M195" s="1729"/>
      <c r="N195" s="1730"/>
    </row>
    <row r="196" spans="1:14" ht="15.75">
      <c r="A196" s="135">
        <v>12263</v>
      </c>
      <c r="B196" s="1706" t="s">
        <v>527</v>
      </c>
      <c r="C196" s="1707"/>
      <c r="D196" s="1707"/>
      <c r="E196" s="1707"/>
      <c r="F196" s="1707"/>
      <c r="G196" s="1707"/>
      <c r="H196" s="1708"/>
      <c r="I196" s="1709">
        <v>1250000</v>
      </c>
      <c r="J196" s="1710"/>
      <c r="K196" s="1711"/>
      <c r="L196" s="1728" t="s">
        <v>180</v>
      </c>
      <c r="M196" s="1729"/>
      <c r="N196" s="1730"/>
    </row>
    <row r="197" spans="1:14" ht="15.75">
      <c r="A197" s="135">
        <v>12271</v>
      </c>
      <c r="B197" s="1706" t="s">
        <v>528</v>
      </c>
      <c r="C197" s="1707"/>
      <c r="D197" s="1707"/>
      <c r="E197" s="1707"/>
      <c r="F197" s="1707"/>
      <c r="G197" s="1707"/>
      <c r="H197" s="1708"/>
      <c r="I197" s="1709">
        <v>750000</v>
      </c>
      <c r="J197" s="1710"/>
      <c r="K197" s="1711"/>
      <c r="L197" s="1728" t="s">
        <v>180</v>
      </c>
      <c r="M197" s="1729"/>
      <c r="N197" s="1730"/>
    </row>
    <row r="198" spans="1:14" ht="15.75">
      <c r="A198" s="135">
        <v>12299</v>
      </c>
      <c r="B198" s="1706" t="s">
        <v>529</v>
      </c>
      <c r="C198" s="1707"/>
      <c r="D198" s="1707"/>
      <c r="E198" s="1707"/>
      <c r="F198" s="1707"/>
      <c r="G198" s="1707"/>
      <c r="H198" s="1708"/>
      <c r="I198" s="1709">
        <v>950000</v>
      </c>
      <c r="J198" s="1710"/>
      <c r="K198" s="1711"/>
      <c r="L198" s="1728" t="s">
        <v>180</v>
      </c>
      <c r="M198" s="1729"/>
      <c r="N198" s="1730"/>
    </row>
    <row r="199" spans="1:14" ht="15.75">
      <c r="A199" s="135">
        <v>12356</v>
      </c>
      <c r="B199" s="1706" t="s">
        <v>530</v>
      </c>
      <c r="C199" s="1707"/>
      <c r="D199" s="1707"/>
      <c r="E199" s="1707"/>
      <c r="F199" s="1707"/>
      <c r="G199" s="1707"/>
      <c r="H199" s="1708"/>
      <c r="I199" s="1709">
        <v>950000</v>
      </c>
      <c r="J199" s="1710"/>
      <c r="K199" s="1711"/>
      <c r="L199" s="1728" t="s">
        <v>180</v>
      </c>
      <c r="M199" s="1729"/>
      <c r="N199" s="1730"/>
    </row>
    <row r="200" spans="1:14" ht="15.75">
      <c r="A200" s="135">
        <v>12387</v>
      </c>
      <c r="B200" s="1752" t="s">
        <v>531</v>
      </c>
      <c r="C200" s="1753"/>
      <c r="D200" s="1753"/>
      <c r="E200" s="1753"/>
      <c r="F200" s="1753"/>
      <c r="G200" s="1753"/>
      <c r="H200" s="1754"/>
      <c r="I200" s="1709">
        <v>1100000</v>
      </c>
      <c r="J200" s="1710"/>
      <c r="K200" s="1711"/>
      <c r="L200" s="1728" t="s">
        <v>180</v>
      </c>
      <c r="M200" s="1729"/>
      <c r="N200" s="1730"/>
    </row>
    <row r="201" spans="1:14" ht="15.75">
      <c r="A201" s="135">
        <v>12394</v>
      </c>
      <c r="B201" s="1752" t="s">
        <v>532</v>
      </c>
      <c r="C201" s="1753"/>
      <c r="D201" s="1753"/>
      <c r="E201" s="1753"/>
      <c r="F201" s="1753"/>
      <c r="G201" s="1753"/>
      <c r="H201" s="1754"/>
      <c r="I201" s="1709">
        <v>1000000</v>
      </c>
      <c r="J201" s="1710"/>
      <c r="K201" s="1711"/>
      <c r="L201" s="1728" t="s">
        <v>180</v>
      </c>
      <c r="M201" s="1729"/>
      <c r="N201" s="1730"/>
    </row>
    <row r="202" spans="1:14" ht="15.75">
      <c r="A202" s="346">
        <v>12334</v>
      </c>
      <c r="B202" s="1706" t="s">
        <v>551</v>
      </c>
      <c r="C202" s="1707"/>
      <c r="D202" s="1707"/>
      <c r="E202" s="1707"/>
      <c r="F202" s="1707"/>
      <c r="G202" s="1707"/>
      <c r="H202" s="1708"/>
      <c r="I202" s="1709">
        <v>1450000</v>
      </c>
      <c r="J202" s="1710"/>
      <c r="K202" s="1711"/>
      <c r="L202" s="1712" t="s">
        <v>286</v>
      </c>
      <c r="M202" s="1713"/>
      <c r="N202" s="1714"/>
    </row>
    <row r="203" spans="1:14" ht="15.75">
      <c r="A203" s="346">
        <v>12358</v>
      </c>
      <c r="B203" s="1731" t="s">
        <v>553</v>
      </c>
      <c r="C203" s="1732"/>
      <c r="D203" s="1732"/>
      <c r="E203" s="1732"/>
      <c r="F203" s="1732"/>
      <c r="G203" s="1732"/>
      <c r="H203" s="1733"/>
      <c r="I203" s="1709">
        <v>2100000</v>
      </c>
      <c r="J203" s="1710"/>
      <c r="K203" s="1711"/>
      <c r="L203" s="1712" t="s">
        <v>286</v>
      </c>
      <c r="M203" s="1713"/>
      <c r="N203" s="1714"/>
    </row>
    <row r="204" spans="1:14" ht="15.75">
      <c r="A204" s="741">
        <v>12199</v>
      </c>
      <c r="B204" s="1731" t="s">
        <v>586</v>
      </c>
      <c r="C204" s="1732"/>
      <c r="D204" s="1732"/>
      <c r="E204" s="1732"/>
      <c r="F204" s="1732"/>
      <c r="G204" s="1732"/>
      <c r="H204" s="1733"/>
      <c r="I204" s="1709">
        <v>1350000</v>
      </c>
      <c r="J204" s="1710"/>
      <c r="K204" s="1711"/>
      <c r="L204" s="1712" t="s">
        <v>520</v>
      </c>
      <c r="M204" s="1713"/>
      <c r="N204" s="1714"/>
    </row>
    <row r="205" spans="1:14" ht="15.75">
      <c r="A205" s="741">
        <v>12231</v>
      </c>
      <c r="B205" s="1731" t="s">
        <v>587</v>
      </c>
      <c r="C205" s="1732"/>
      <c r="D205" s="1732"/>
      <c r="E205" s="1732"/>
      <c r="F205" s="1732"/>
      <c r="G205" s="1732"/>
      <c r="H205" s="1733"/>
      <c r="I205" s="1709">
        <v>1400000</v>
      </c>
      <c r="J205" s="1710"/>
      <c r="K205" s="1711"/>
      <c r="L205" s="1712" t="s">
        <v>520</v>
      </c>
      <c r="M205" s="1713"/>
      <c r="N205" s="1714"/>
    </row>
    <row r="206" spans="1:14" ht="15.75">
      <c r="A206" s="741">
        <v>12346</v>
      </c>
      <c r="B206" s="1731" t="s">
        <v>588</v>
      </c>
      <c r="C206" s="1732"/>
      <c r="D206" s="1732"/>
      <c r="E206" s="1732"/>
      <c r="F206" s="1732"/>
      <c r="G206" s="1732"/>
      <c r="H206" s="1733"/>
      <c r="I206" s="1709">
        <v>1750000</v>
      </c>
      <c r="J206" s="1710"/>
      <c r="K206" s="1711"/>
      <c r="L206" s="1712" t="s">
        <v>520</v>
      </c>
      <c r="M206" s="1713"/>
      <c r="N206" s="1714"/>
    </row>
    <row r="207" spans="1:14" ht="15.75">
      <c r="A207" s="741">
        <v>12374</v>
      </c>
      <c r="B207" s="1731" t="s">
        <v>592</v>
      </c>
      <c r="C207" s="1732"/>
      <c r="D207" s="1732"/>
      <c r="E207" s="1732"/>
      <c r="F207" s="1732"/>
      <c r="G207" s="1732"/>
      <c r="H207" s="1733"/>
      <c r="I207" s="1709">
        <v>700000</v>
      </c>
      <c r="J207" s="1710"/>
      <c r="K207" s="1711"/>
      <c r="L207" s="1712" t="s">
        <v>520</v>
      </c>
      <c r="M207" s="1713"/>
      <c r="N207" s="1714"/>
    </row>
    <row r="208" spans="1:14" ht="15.75">
      <c r="A208" s="741">
        <v>12388</v>
      </c>
      <c r="B208" s="1731" t="s">
        <v>518</v>
      </c>
      <c r="C208" s="1732"/>
      <c r="D208" s="1732"/>
      <c r="E208" s="1732"/>
      <c r="F208" s="1732"/>
      <c r="G208" s="1732"/>
      <c r="H208" s="1733"/>
      <c r="I208" s="1709">
        <v>1500000</v>
      </c>
      <c r="J208" s="1710"/>
      <c r="K208" s="1711"/>
      <c r="L208" s="1712" t="s">
        <v>520</v>
      </c>
      <c r="M208" s="1713" t="s">
        <v>520</v>
      </c>
      <c r="N208" s="1714"/>
    </row>
    <row r="209" spans="1:14" ht="18">
      <c r="A209" s="14"/>
      <c r="B209" s="1700" t="s">
        <v>34</v>
      </c>
      <c r="C209" s="1701"/>
      <c r="D209" s="1701"/>
      <c r="E209" s="1701"/>
      <c r="F209" s="1701"/>
      <c r="G209" s="1701"/>
      <c r="H209" s="1702"/>
      <c r="I209" s="1703">
        <f>SUM(I194:I208)</f>
        <v>18500000</v>
      </c>
      <c r="J209" s="1734"/>
      <c r="K209" s="1735"/>
      <c r="L209" s="1725"/>
      <c r="M209" s="1726"/>
      <c r="N209" s="1727"/>
    </row>
    <row r="213" spans="1:14">
      <c r="A213" s="1718" t="s">
        <v>4427</v>
      </c>
      <c r="B213" s="1718"/>
      <c r="C213" s="1718"/>
      <c r="D213" s="1718"/>
      <c r="E213" s="1718"/>
      <c r="F213" s="1718"/>
      <c r="G213" s="1718"/>
      <c r="H213" s="1718"/>
      <c r="I213" s="1718"/>
      <c r="J213" s="1718"/>
      <c r="K213" s="1718"/>
      <c r="L213" s="1718"/>
      <c r="M213" s="1718"/>
      <c r="N213" s="1718"/>
    </row>
    <row r="214" spans="1:14">
      <c r="A214" s="1719"/>
      <c r="B214" s="1719"/>
      <c r="C214" s="1719"/>
      <c r="D214" s="1719"/>
      <c r="E214" s="1719"/>
      <c r="F214" s="1719"/>
      <c r="G214" s="1719"/>
      <c r="H214" s="1719"/>
      <c r="I214" s="1719"/>
      <c r="J214" s="1719"/>
      <c r="K214" s="1719"/>
      <c r="L214" s="1719"/>
      <c r="M214" s="1719"/>
      <c r="N214" s="1719"/>
    </row>
    <row r="215" spans="1:14">
      <c r="A215" s="606" t="s">
        <v>120</v>
      </c>
      <c r="B215" s="1720" t="s">
        <v>5</v>
      </c>
      <c r="C215" s="1720"/>
      <c r="D215" s="1720"/>
      <c r="E215" s="1720"/>
      <c r="F215" s="1720"/>
      <c r="G215" s="1720"/>
      <c r="H215" s="1720"/>
      <c r="I215" s="1720" t="s">
        <v>4410</v>
      </c>
      <c r="J215" s="1720"/>
      <c r="K215" s="1720"/>
      <c r="L215" s="1720" t="s">
        <v>4411</v>
      </c>
      <c r="M215" s="1720"/>
      <c r="N215" s="1720"/>
    </row>
    <row r="216" spans="1:14" ht="15.75">
      <c r="A216" s="135">
        <v>12209</v>
      </c>
      <c r="B216" s="1706" t="s">
        <v>517</v>
      </c>
      <c r="C216" s="1707"/>
      <c r="D216" s="1707"/>
      <c r="E216" s="1707"/>
      <c r="F216" s="1707"/>
      <c r="G216" s="1707"/>
      <c r="H216" s="1708"/>
      <c r="I216" s="1709">
        <v>1300000</v>
      </c>
      <c r="J216" s="1710"/>
      <c r="K216" s="1711"/>
      <c r="L216" s="1728" t="s">
        <v>180</v>
      </c>
      <c r="M216" s="1729"/>
      <c r="N216" s="1730"/>
    </row>
    <row r="217" spans="1:14" ht="15.75">
      <c r="A217" s="135">
        <v>12223</v>
      </c>
      <c r="B217" s="1706" t="s">
        <v>519</v>
      </c>
      <c r="C217" s="1707"/>
      <c r="D217" s="1707"/>
      <c r="E217" s="1707"/>
      <c r="F217" s="1707"/>
      <c r="G217" s="1707"/>
      <c r="H217" s="1708"/>
      <c r="I217" s="1709">
        <v>1300000</v>
      </c>
      <c r="J217" s="1710"/>
      <c r="K217" s="1711"/>
      <c r="L217" s="1712" t="s">
        <v>180</v>
      </c>
      <c r="M217" s="1713"/>
      <c r="N217" s="1714"/>
    </row>
    <row r="218" spans="1:14" ht="15.75">
      <c r="A218" s="135">
        <v>12235</v>
      </c>
      <c r="B218" s="1706" t="s">
        <v>522</v>
      </c>
      <c r="C218" s="1707"/>
      <c r="D218" s="1707"/>
      <c r="E218" s="1707"/>
      <c r="F218" s="1707"/>
      <c r="G218" s="1707"/>
      <c r="H218" s="1708"/>
      <c r="I218" s="1709">
        <v>1400000</v>
      </c>
      <c r="J218" s="1710"/>
      <c r="K218" s="1711"/>
      <c r="L218" s="1712" t="s">
        <v>180</v>
      </c>
      <c r="M218" s="1713"/>
      <c r="N218" s="1714"/>
    </row>
    <row r="219" spans="1:14" ht="15.75">
      <c r="A219" s="135">
        <v>12245</v>
      </c>
      <c r="B219" s="1706" t="s">
        <v>523</v>
      </c>
      <c r="C219" s="1707"/>
      <c r="D219" s="1707"/>
      <c r="E219" s="1707"/>
      <c r="F219" s="1707"/>
      <c r="G219" s="1707"/>
      <c r="H219" s="1708"/>
      <c r="I219" s="1709">
        <v>1250000</v>
      </c>
      <c r="J219" s="1710"/>
      <c r="K219" s="1711"/>
      <c r="L219" s="1712" t="s">
        <v>180</v>
      </c>
      <c r="M219" s="1713"/>
      <c r="N219" s="1714"/>
    </row>
    <row r="220" spans="1:14" ht="15.75">
      <c r="A220" s="135" t="s">
        <v>4428</v>
      </c>
      <c r="B220" s="1706" t="s">
        <v>526</v>
      </c>
      <c r="C220" s="1707"/>
      <c r="D220" s="1707"/>
      <c r="E220" s="1707"/>
      <c r="F220" s="1707"/>
      <c r="G220" s="1707"/>
      <c r="H220" s="1708"/>
      <c r="I220" s="1709">
        <v>1600000</v>
      </c>
      <c r="J220" s="1710"/>
      <c r="K220" s="1711"/>
      <c r="L220" s="1712" t="s">
        <v>180</v>
      </c>
      <c r="M220" s="1713"/>
      <c r="N220" s="1714"/>
    </row>
    <row r="221" spans="1:14" ht="15.75">
      <c r="A221" s="135">
        <v>12410</v>
      </c>
      <c r="B221" s="1706" t="s">
        <v>533</v>
      </c>
      <c r="C221" s="1707"/>
      <c r="D221" s="1707"/>
      <c r="E221" s="1707"/>
      <c r="F221" s="1707"/>
      <c r="G221" s="1707"/>
      <c r="H221" s="1708"/>
      <c r="I221" s="1709">
        <v>1350000</v>
      </c>
      <c r="J221" s="1710"/>
      <c r="K221" s="1711"/>
      <c r="L221" s="1712" t="s">
        <v>180</v>
      </c>
      <c r="M221" s="1713"/>
      <c r="N221" s="1714"/>
    </row>
    <row r="222" spans="1:14" ht="15.75">
      <c r="A222" s="135">
        <v>12415</v>
      </c>
      <c r="B222" s="1706" t="s">
        <v>534</v>
      </c>
      <c r="C222" s="1707"/>
      <c r="D222" s="1707"/>
      <c r="E222" s="1707"/>
      <c r="F222" s="1707"/>
      <c r="G222" s="1707"/>
      <c r="H222" s="1708"/>
      <c r="I222" s="1709">
        <v>850000</v>
      </c>
      <c r="J222" s="1710"/>
      <c r="K222" s="1711"/>
      <c r="L222" s="1712" t="s">
        <v>180</v>
      </c>
      <c r="M222" s="1713"/>
      <c r="N222" s="1714"/>
    </row>
    <row r="223" spans="1:14" ht="15.75">
      <c r="A223" s="346">
        <v>12238</v>
      </c>
      <c r="B223" s="1706" t="s">
        <v>544</v>
      </c>
      <c r="C223" s="1707"/>
      <c r="D223" s="1707"/>
      <c r="E223" s="1707"/>
      <c r="F223" s="1707"/>
      <c r="G223" s="1707"/>
      <c r="H223" s="1708"/>
      <c r="I223" s="1709">
        <v>1300000</v>
      </c>
      <c r="J223" s="1710"/>
      <c r="K223" s="1711"/>
      <c r="L223" s="1712" t="s">
        <v>286</v>
      </c>
      <c r="M223" s="1713"/>
      <c r="N223" s="1714"/>
    </row>
    <row r="224" spans="1:14" ht="15.75">
      <c r="A224" s="346">
        <v>12279</v>
      </c>
      <c r="B224" s="1706" t="s">
        <v>545</v>
      </c>
      <c r="C224" s="1707"/>
      <c r="D224" s="1707"/>
      <c r="E224" s="1707"/>
      <c r="F224" s="1707"/>
      <c r="G224" s="1707"/>
      <c r="H224" s="1708"/>
      <c r="I224" s="1709">
        <v>1700000</v>
      </c>
      <c r="J224" s="1710"/>
      <c r="K224" s="1711"/>
      <c r="L224" s="1712" t="s">
        <v>286</v>
      </c>
      <c r="M224" s="1713"/>
      <c r="N224" s="1714"/>
    </row>
    <row r="225" spans="1:14" ht="15.75">
      <c r="A225" s="346">
        <v>12295</v>
      </c>
      <c r="B225" s="1706" t="s">
        <v>547</v>
      </c>
      <c r="C225" s="1707"/>
      <c r="D225" s="1707"/>
      <c r="E225" s="1707"/>
      <c r="F225" s="1707"/>
      <c r="G225" s="1707"/>
      <c r="H225" s="1708"/>
      <c r="I225" s="1709">
        <v>950000</v>
      </c>
      <c r="J225" s="1710"/>
      <c r="K225" s="1711"/>
      <c r="L225" s="1712" t="s">
        <v>286</v>
      </c>
      <c r="M225" s="1713"/>
      <c r="N225" s="1714"/>
    </row>
    <row r="226" spans="1:14" ht="15.75">
      <c r="A226" s="346">
        <v>12324</v>
      </c>
      <c r="B226" s="1706" t="s">
        <v>549</v>
      </c>
      <c r="C226" s="1707"/>
      <c r="D226" s="1707"/>
      <c r="E226" s="1707"/>
      <c r="F226" s="1707"/>
      <c r="G226" s="1707"/>
      <c r="H226" s="1708"/>
      <c r="I226" s="1709">
        <v>1400000</v>
      </c>
      <c r="J226" s="1710"/>
      <c r="K226" s="1711"/>
      <c r="L226" s="1712" t="s">
        <v>286</v>
      </c>
      <c r="M226" s="1713"/>
      <c r="N226" s="1714"/>
    </row>
    <row r="227" spans="1:14" ht="15.75">
      <c r="A227" s="346">
        <v>12335</v>
      </c>
      <c r="B227" s="1706" t="s">
        <v>516</v>
      </c>
      <c r="C227" s="1707"/>
      <c r="D227" s="1707"/>
      <c r="E227" s="1707"/>
      <c r="F227" s="1707"/>
      <c r="G227" s="1707"/>
      <c r="H227" s="1708"/>
      <c r="I227" s="1709">
        <v>1500000</v>
      </c>
      <c r="J227" s="1710"/>
      <c r="K227" s="1711"/>
      <c r="L227" s="1712" t="s">
        <v>286</v>
      </c>
      <c r="M227" s="1713"/>
      <c r="N227" s="1714"/>
    </row>
    <row r="228" spans="1:14" ht="15.75">
      <c r="A228" s="219"/>
      <c r="B228" s="1706" t="s">
        <v>554</v>
      </c>
      <c r="C228" s="1707"/>
      <c r="D228" s="1707"/>
      <c r="E228" s="1707"/>
      <c r="F228" s="1707"/>
      <c r="G228" s="1707"/>
      <c r="H228" s="1708"/>
      <c r="I228" s="1709">
        <v>1070000</v>
      </c>
      <c r="J228" s="1710"/>
      <c r="K228" s="1711"/>
      <c r="L228" s="1712" t="s">
        <v>286</v>
      </c>
      <c r="M228" s="1713"/>
      <c r="N228" s="1714"/>
    </row>
    <row r="229" spans="1:14" ht="15.75">
      <c r="A229" s="135">
        <v>12197</v>
      </c>
      <c r="B229" s="1746" t="s">
        <v>558</v>
      </c>
      <c r="C229" s="1747"/>
      <c r="D229" s="1747"/>
      <c r="E229" s="1747"/>
      <c r="F229" s="1747"/>
      <c r="G229" s="1747"/>
      <c r="H229" s="1748"/>
      <c r="I229" s="1736">
        <v>900000</v>
      </c>
      <c r="J229" s="1737"/>
      <c r="K229" s="1738"/>
      <c r="L229" s="1715" t="s">
        <v>311</v>
      </c>
      <c r="M229" s="1716"/>
      <c r="N229" s="1717"/>
    </row>
    <row r="230" spans="1:14" ht="15.75">
      <c r="A230" s="135">
        <v>12200</v>
      </c>
      <c r="B230" s="1706" t="s">
        <v>559</v>
      </c>
      <c r="C230" s="1707"/>
      <c r="D230" s="1707"/>
      <c r="E230" s="1707"/>
      <c r="F230" s="1707"/>
      <c r="G230" s="1707"/>
      <c r="H230" s="1708"/>
      <c r="I230" s="1709">
        <v>1300000</v>
      </c>
      <c r="J230" s="1710"/>
      <c r="K230" s="1711"/>
      <c r="L230" s="1712" t="s">
        <v>311</v>
      </c>
      <c r="M230" s="1713"/>
      <c r="N230" s="1714"/>
    </row>
    <row r="231" spans="1:14" ht="15.75">
      <c r="A231" s="135">
        <v>12179</v>
      </c>
      <c r="B231" s="1706" t="s">
        <v>560</v>
      </c>
      <c r="C231" s="1707"/>
      <c r="D231" s="1707"/>
      <c r="E231" s="1707"/>
      <c r="F231" s="1707"/>
      <c r="G231" s="1707"/>
      <c r="H231" s="1708"/>
      <c r="I231" s="1709">
        <v>1350000</v>
      </c>
      <c r="J231" s="1710"/>
      <c r="K231" s="1711"/>
      <c r="L231" s="1712" t="s">
        <v>311</v>
      </c>
      <c r="M231" s="1713"/>
      <c r="N231" s="1714"/>
    </row>
    <row r="232" spans="1:14" ht="15.75">
      <c r="A232" s="135">
        <v>12222</v>
      </c>
      <c r="B232" s="1706" t="s">
        <v>561</v>
      </c>
      <c r="C232" s="1707"/>
      <c r="D232" s="1707"/>
      <c r="E232" s="1707"/>
      <c r="F232" s="1707"/>
      <c r="G232" s="1707"/>
      <c r="H232" s="1708"/>
      <c r="I232" s="1709">
        <v>750000</v>
      </c>
      <c r="J232" s="1710"/>
      <c r="K232" s="1711"/>
      <c r="L232" s="1712" t="s">
        <v>311</v>
      </c>
      <c r="M232" s="1713"/>
      <c r="N232" s="1714"/>
    </row>
    <row r="233" spans="1:14" ht="15.75">
      <c r="A233" s="135">
        <v>12225</v>
      </c>
      <c r="B233" s="1706" t="s">
        <v>562</v>
      </c>
      <c r="C233" s="1707"/>
      <c r="D233" s="1707"/>
      <c r="E233" s="1707"/>
      <c r="F233" s="1707"/>
      <c r="G233" s="1707"/>
      <c r="H233" s="1708"/>
      <c r="I233" s="1709">
        <v>1350000</v>
      </c>
      <c r="J233" s="1710"/>
      <c r="K233" s="1711"/>
      <c r="L233" s="1712" t="s">
        <v>311</v>
      </c>
      <c r="M233" s="1713" t="s">
        <v>4429</v>
      </c>
      <c r="N233" s="1714"/>
    </row>
    <row r="234" spans="1:14" ht="15.75">
      <c r="A234" s="135">
        <v>12227</v>
      </c>
      <c r="B234" s="1706" t="s">
        <v>546</v>
      </c>
      <c r="C234" s="1707" t="s">
        <v>546</v>
      </c>
      <c r="D234" s="1707" t="s">
        <v>546</v>
      </c>
      <c r="E234" s="1707" t="s">
        <v>546</v>
      </c>
      <c r="F234" s="1707" t="s">
        <v>546</v>
      </c>
      <c r="G234" s="1707" t="s">
        <v>546</v>
      </c>
      <c r="H234" s="1708" t="s">
        <v>546</v>
      </c>
      <c r="I234" s="1709">
        <v>1280000</v>
      </c>
      <c r="J234" s="1710"/>
      <c r="K234" s="1711"/>
      <c r="L234" s="1712" t="s">
        <v>311</v>
      </c>
      <c r="M234" s="1713" t="s">
        <v>4429</v>
      </c>
      <c r="N234" s="1714"/>
    </row>
    <row r="235" spans="1:14" ht="15.75">
      <c r="A235" s="135">
        <v>12232</v>
      </c>
      <c r="B235" s="1706" t="s">
        <v>563</v>
      </c>
      <c r="C235" s="1707" t="s">
        <v>563</v>
      </c>
      <c r="D235" s="1707" t="s">
        <v>563</v>
      </c>
      <c r="E235" s="1707" t="s">
        <v>563</v>
      </c>
      <c r="F235" s="1707" t="s">
        <v>563</v>
      </c>
      <c r="G235" s="1707" t="s">
        <v>563</v>
      </c>
      <c r="H235" s="1708" t="s">
        <v>563</v>
      </c>
      <c r="I235" s="1709">
        <v>750000</v>
      </c>
      <c r="J235" s="1710"/>
      <c r="K235" s="1711"/>
      <c r="L235" s="1712" t="s">
        <v>311</v>
      </c>
      <c r="M235" s="1713" t="s">
        <v>4429</v>
      </c>
      <c r="N235" s="1714"/>
    </row>
    <row r="236" spans="1:14" ht="15.75">
      <c r="A236" s="135">
        <v>12248</v>
      </c>
      <c r="B236" s="1706" t="s">
        <v>564</v>
      </c>
      <c r="C236" s="1707" t="s">
        <v>564</v>
      </c>
      <c r="D236" s="1707" t="s">
        <v>564</v>
      </c>
      <c r="E236" s="1707" t="s">
        <v>564</v>
      </c>
      <c r="F236" s="1707" t="s">
        <v>564</v>
      </c>
      <c r="G236" s="1707" t="s">
        <v>564</v>
      </c>
      <c r="H236" s="1708" t="s">
        <v>564</v>
      </c>
      <c r="I236" s="1709">
        <v>1100000</v>
      </c>
      <c r="J236" s="1710"/>
      <c r="K236" s="1711"/>
      <c r="L236" s="1712" t="s">
        <v>311</v>
      </c>
      <c r="M236" s="1713" t="s">
        <v>4429</v>
      </c>
      <c r="N236" s="1714"/>
    </row>
    <row r="237" spans="1:14" ht="15.75">
      <c r="A237" s="135">
        <v>12255</v>
      </c>
      <c r="B237" s="1706" t="s">
        <v>565</v>
      </c>
      <c r="C237" s="1707" t="s">
        <v>565</v>
      </c>
      <c r="D237" s="1707" t="s">
        <v>565</v>
      </c>
      <c r="E237" s="1707" t="s">
        <v>565</v>
      </c>
      <c r="F237" s="1707" t="s">
        <v>565</v>
      </c>
      <c r="G237" s="1707" t="s">
        <v>565</v>
      </c>
      <c r="H237" s="1708" t="s">
        <v>565</v>
      </c>
      <c r="I237" s="1709">
        <v>1400000</v>
      </c>
      <c r="J237" s="1710"/>
      <c r="K237" s="1711"/>
      <c r="L237" s="1712" t="s">
        <v>311</v>
      </c>
      <c r="M237" s="1713" t="s">
        <v>4429</v>
      </c>
      <c r="N237" s="1714"/>
    </row>
    <row r="238" spans="1:14" ht="15.75">
      <c r="A238" s="135">
        <v>12254</v>
      </c>
      <c r="B238" s="1706" t="s">
        <v>566</v>
      </c>
      <c r="C238" s="1707" t="s">
        <v>566</v>
      </c>
      <c r="D238" s="1707" t="s">
        <v>566</v>
      </c>
      <c r="E238" s="1707" t="s">
        <v>566</v>
      </c>
      <c r="F238" s="1707" t="s">
        <v>566</v>
      </c>
      <c r="G238" s="1707" t="s">
        <v>566</v>
      </c>
      <c r="H238" s="1708" t="s">
        <v>566</v>
      </c>
      <c r="I238" s="1709">
        <v>1350000</v>
      </c>
      <c r="J238" s="1710"/>
      <c r="K238" s="1711"/>
      <c r="L238" s="1712" t="s">
        <v>311</v>
      </c>
      <c r="M238" s="1713" t="s">
        <v>4429</v>
      </c>
      <c r="N238" s="1714"/>
    </row>
    <row r="239" spans="1:14" ht="15.75">
      <c r="A239" s="135">
        <v>12257</v>
      </c>
      <c r="B239" s="1706" t="s">
        <v>567</v>
      </c>
      <c r="C239" s="1707" t="s">
        <v>567</v>
      </c>
      <c r="D239" s="1707" t="s">
        <v>567</v>
      </c>
      <c r="E239" s="1707" t="s">
        <v>567</v>
      </c>
      <c r="F239" s="1707" t="s">
        <v>567</v>
      </c>
      <c r="G239" s="1707" t="s">
        <v>567</v>
      </c>
      <c r="H239" s="1708" t="s">
        <v>567</v>
      </c>
      <c r="I239" s="1709">
        <v>1250000</v>
      </c>
      <c r="J239" s="1710"/>
      <c r="K239" s="1711"/>
      <c r="L239" s="1712" t="s">
        <v>311</v>
      </c>
      <c r="M239" s="1713" t="s">
        <v>4429</v>
      </c>
      <c r="N239" s="1714"/>
    </row>
    <row r="240" spans="1:14" ht="15.75">
      <c r="A240" s="135">
        <v>12259</v>
      </c>
      <c r="B240" s="1706" t="s">
        <v>568</v>
      </c>
      <c r="C240" s="1707" t="s">
        <v>568</v>
      </c>
      <c r="D240" s="1707" t="s">
        <v>568</v>
      </c>
      <c r="E240" s="1707" t="s">
        <v>568</v>
      </c>
      <c r="F240" s="1707" t="s">
        <v>568</v>
      </c>
      <c r="G240" s="1707" t="s">
        <v>568</v>
      </c>
      <c r="H240" s="1708" t="s">
        <v>568</v>
      </c>
      <c r="I240" s="1709">
        <v>1350000</v>
      </c>
      <c r="J240" s="1710"/>
      <c r="K240" s="1711"/>
      <c r="L240" s="1712" t="s">
        <v>311</v>
      </c>
      <c r="M240" s="1713" t="s">
        <v>4429</v>
      </c>
      <c r="N240" s="1714"/>
    </row>
    <row r="241" spans="1:14" ht="15.75">
      <c r="A241" s="135">
        <v>12260</v>
      </c>
      <c r="B241" s="1706" t="s">
        <v>569</v>
      </c>
      <c r="C241" s="1707" t="s">
        <v>569</v>
      </c>
      <c r="D241" s="1707" t="s">
        <v>569</v>
      </c>
      <c r="E241" s="1707" t="s">
        <v>569</v>
      </c>
      <c r="F241" s="1707" t="s">
        <v>569</v>
      </c>
      <c r="G241" s="1707" t="s">
        <v>569</v>
      </c>
      <c r="H241" s="1708" t="s">
        <v>569</v>
      </c>
      <c r="I241" s="1709">
        <v>1400000</v>
      </c>
      <c r="J241" s="1710"/>
      <c r="K241" s="1711"/>
      <c r="L241" s="1712" t="s">
        <v>311</v>
      </c>
      <c r="M241" s="1713" t="s">
        <v>4429</v>
      </c>
      <c r="N241" s="1714"/>
    </row>
    <row r="242" spans="1:14" ht="15.75">
      <c r="A242" s="135">
        <v>12261</v>
      </c>
      <c r="B242" s="1706" t="s">
        <v>570</v>
      </c>
      <c r="C242" s="1707" t="s">
        <v>570</v>
      </c>
      <c r="D242" s="1707" t="s">
        <v>570</v>
      </c>
      <c r="E242" s="1707" t="s">
        <v>570</v>
      </c>
      <c r="F242" s="1707" t="s">
        <v>570</v>
      </c>
      <c r="G242" s="1707" t="s">
        <v>570</v>
      </c>
      <c r="H242" s="1708" t="s">
        <v>570</v>
      </c>
      <c r="I242" s="789">
        <v>900000</v>
      </c>
      <c r="J242" s="790"/>
      <c r="K242" s="791"/>
      <c r="L242" s="1712" t="s">
        <v>311</v>
      </c>
      <c r="M242" s="1713" t="s">
        <v>4429</v>
      </c>
      <c r="N242" s="1714"/>
    </row>
    <row r="243" spans="1:14" ht="15.75">
      <c r="A243" s="135">
        <v>12278</v>
      </c>
      <c r="B243" s="1706" t="s">
        <v>548</v>
      </c>
      <c r="C243" s="1707" t="s">
        <v>548</v>
      </c>
      <c r="D243" s="1707" t="s">
        <v>548</v>
      </c>
      <c r="E243" s="1707" t="s">
        <v>548</v>
      </c>
      <c r="F243" s="1707" t="s">
        <v>548</v>
      </c>
      <c r="G243" s="1707" t="s">
        <v>548</v>
      </c>
      <c r="H243" s="1708" t="s">
        <v>548</v>
      </c>
      <c r="I243" s="1709">
        <v>1350000</v>
      </c>
      <c r="J243" s="1710"/>
      <c r="K243" s="1711"/>
      <c r="L243" s="1712" t="s">
        <v>311</v>
      </c>
      <c r="M243" s="1713" t="s">
        <v>4429</v>
      </c>
      <c r="N243" s="1714"/>
    </row>
    <row r="244" spans="1:14" ht="15.75">
      <c r="A244" s="135">
        <v>12307</v>
      </c>
      <c r="B244" s="1706" t="s">
        <v>550</v>
      </c>
      <c r="C244" s="1707" t="s">
        <v>550</v>
      </c>
      <c r="D244" s="1707" t="s">
        <v>550</v>
      </c>
      <c r="E244" s="1707" t="s">
        <v>550</v>
      </c>
      <c r="F244" s="1707" t="s">
        <v>550</v>
      </c>
      <c r="G244" s="1707" t="s">
        <v>550</v>
      </c>
      <c r="H244" s="1708" t="s">
        <v>550</v>
      </c>
      <c r="I244" s="1709">
        <v>1550000</v>
      </c>
      <c r="J244" s="1710">
        <v>1550000</v>
      </c>
      <c r="K244" s="1711">
        <v>1550000</v>
      </c>
      <c r="L244" s="1712" t="s">
        <v>311</v>
      </c>
      <c r="M244" s="1713" t="s">
        <v>4429</v>
      </c>
      <c r="N244" s="1714"/>
    </row>
    <row r="245" spans="1:14" ht="15.75">
      <c r="A245" s="135">
        <v>12345</v>
      </c>
      <c r="B245" s="1706" t="s">
        <v>571</v>
      </c>
      <c r="C245" s="1707" t="s">
        <v>571</v>
      </c>
      <c r="D245" s="1707" t="s">
        <v>571</v>
      </c>
      <c r="E245" s="1707" t="s">
        <v>571</v>
      </c>
      <c r="F245" s="1707" t="s">
        <v>571</v>
      </c>
      <c r="G245" s="1707" t="s">
        <v>571</v>
      </c>
      <c r="H245" s="1708" t="s">
        <v>571</v>
      </c>
      <c r="I245" s="1709">
        <v>1350000</v>
      </c>
      <c r="J245" s="1710">
        <v>1350000</v>
      </c>
      <c r="K245" s="1711">
        <v>1350000</v>
      </c>
      <c r="L245" s="1712" t="s">
        <v>311</v>
      </c>
      <c r="M245" s="1713" t="s">
        <v>4429</v>
      </c>
      <c r="N245" s="1714"/>
    </row>
    <row r="246" spans="1:14" ht="15.75">
      <c r="A246" s="135">
        <v>12344</v>
      </c>
      <c r="B246" s="1706" t="s">
        <v>572</v>
      </c>
      <c r="C246" s="1707" t="s">
        <v>572</v>
      </c>
      <c r="D246" s="1707" t="s">
        <v>572</v>
      </c>
      <c r="E246" s="1707" t="s">
        <v>572</v>
      </c>
      <c r="F246" s="1707" t="s">
        <v>572</v>
      </c>
      <c r="G246" s="1707" t="s">
        <v>572</v>
      </c>
      <c r="H246" s="1708" t="s">
        <v>572</v>
      </c>
      <c r="I246" s="1709">
        <v>1550000</v>
      </c>
      <c r="J246" s="1710">
        <v>1550000</v>
      </c>
      <c r="K246" s="1711">
        <v>1550000</v>
      </c>
      <c r="L246" s="1712" t="s">
        <v>311</v>
      </c>
      <c r="M246" s="1713" t="s">
        <v>4429</v>
      </c>
      <c r="N246" s="1714"/>
    </row>
    <row r="247" spans="1:14" ht="15.75">
      <c r="A247" s="741">
        <v>12357</v>
      </c>
      <c r="B247" s="1706" t="s">
        <v>573</v>
      </c>
      <c r="C247" s="1707" t="s">
        <v>573</v>
      </c>
      <c r="D247" s="1707" t="s">
        <v>573</v>
      </c>
      <c r="E247" s="1707" t="s">
        <v>573</v>
      </c>
      <c r="F247" s="1707" t="s">
        <v>573</v>
      </c>
      <c r="G247" s="1707" t="s">
        <v>573</v>
      </c>
      <c r="H247" s="1708" t="s">
        <v>573</v>
      </c>
      <c r="I247" s="1709">
        <v>750000</v>
      </c>
      <c r="J247" s="1710">
        <v>750000</v>
      </c>
      <c r="K247" s="1711">
        <v>750000</v>
      </c>
      <c r="L247" s="1712" t="s">
        <v>311</v>
      </c>
      <c r="M247" s="1713" t="s">
        <v>4429</v>
      </c>
      <c r="N247" s="1714"/>
    </row>
    <row r="248" spans="1:14" ht="15.75">
      <c r="A248" s="741">
        <v>12404</v>
      </c>
      <c r="B248" s="1706" t="s">
        <v>574</v>
      </c>
      <c r="C248" s="1707" t="s">
        <v>574</v>
      </c>
      <c r="D248" s="1707" t="s">
        <v>574</v>
      </c>
      <c r="E248" s="1707" t="s">
        <v>574</v>
      </c>
      <c r="F248" s="1707" t="s">
        <v>574</v>
      </c>
      <c r="G248" s="1707" t="s">
        <v>574</v>
      </c>
      <c r="H248" s="1708" t="s">
        <v>574</v>
      </c>
      <c r="I248" s="1709">
        <v>1400000</v>
      </c>
      <c r="J248" s="1710">
        <v>1400000</v>
      </c>
      <c r="K248" s="1711">
        <v>1400000</v>
      </c>
      <c r="L248" s="1712" t="s">
        <v>311</v>
      </c>
      <c r="M248" s="1713" t="s">
        <v>4429</v>
      </c>
      <c r="N248" s="1714"/>
    </row>
    <row r="249" spans="1:14" ht="15.75">
      <c r="A249" s="741">
        <v>12384</v>
      </c>
      <c r="B249" s="1706" t="s">
        <v>575</v>
      </c>
      <c r="C249" s="1707" t="s">
        <v>575</v>
      </c>
      <c r="D249" s="1707" t="s">
        <v>575</v>
      </c>
      <c r="E249" s="1707" t="s">
        <v>575</v>
      </c>
      <c r="F249" s="1707" t="s">
        <v>575</v>
      </c>
      <c r="G249" s="1707" t="s">
        <v>575</v>
      </c>
      <c r="H249" s="1708" t="s">
        <v>575</v>
      </c>
      <c r="I249" s="1709">
        <v>700000</v>
      </c>
      <c r="J249" s="1710">
        <v>700000</v>
      </c>
      <c r="K249" s="1711">
        <v>700000</v>
      </c>
      <c r="L249" s="1712" t="s">
        <v>311</v>
      </c>
      <c r="M249" s="1713" t="s">
        <v>4429</v>
      </c>
      <c r="N249" s="1714"/>
    </row>
    <row r="250" spans="1:14" ht="15.75">
      <c r="A250" s="135">
        <v>12411</v>
      </c>
      <c r="B250" s="1706" t="s">
        <v>576</v>
      </c>
      <c r="C250" s="1707" t="s">
        <v>576</v>
      </c>
      <c r="D250" s="1707" t="s">
        <v>576</v>
      </c>
      <c r="E250" s="1707" t="s">
        <v>576</v>
      </c>
      <c r="F250" s="1707" t="s">
        <v>576</v>
      </c>
      <c r="G250" s="1707" t="s">
        <v>576</v>
      </c>
      <c r="H250" s="1708" t="s">
        <v>576</v>
      </c>
      <c r="I250" s="1709">
        <v>900000</v>
      </c>
      <c r="J250" s="1710">
        <v>900000</v>
      </c>
      <c r="K250" s="1711">
        <v>900000</v>
      </c>
      <c r="L250" s="1712" t="s">
        <v>311</v>
      </c>
      <c r="M250" s="1713" t="s">
        <v>4429</v>
      </c>
      <c r="N250" s="1714"/>
    </row>
    <row r="251" spans="1:14" ht="15.75">
      <c r="A251" s="741">
        <v>12368</v>
      </c>
      <c r="B251" s="1706" t="s">
        <v>589</v>
      </c>
      <c r="C251" s="1707"/>
      <c r="D251" s="1707"/>
      <c r="E251" s="1707"/>
      <c r="F251" s="1707"/>
      <c r="G251" s="1707"/>
      <c r="H251" s="1708"/>
      <c r="I251" s="1709">
        <v>1300000</v>
      </c>
      <c r="J251" s="1710"/>
      <c r="K251" s="1711"/>
      <c r="L251" s="1712" t="s">
        <v>520</v>
      </c>
      <c r="M251" s="1713" t="s">
        <v>4430</v>
      </c>
      <c r="N251" s="1714"/>
    </row>
    <row r="252" spans="1:14" ht="15.75">
      <c r="A252" s="677">
        <v>12408</v>
      </c>
      <c r="B252" s="1706" t="s">
        <v>594</v>
      </c>
      <c r="C252" s="1707"/>
      <c r="D252" s="1707"/>
      <c r="E252" s="1707"/>
      <c r="F252" s="1707"/>
      <c r="G252" s="1707"/>
      <c r="H252" s="1708"/>
      <c r="I252" s="1709">
        <v>2200000</v>
      </c>
      <c r="J252" s="1710"/>
      <c r="K252" s="1711"/>
      <c r="L252" s="1712" t="s">
        <v>520</v>
      </c>
      <c r="M252" s="1713"/>
      <c r="N252" s="1714"/>
    </row>
    <row r="253" spans="1:14" ht="18">
      <c r="A253" s="14"/>
      <c r="B253" s="1700" t="s">
        <v>34</v>
      </c>
      <c r="C253" s="1701"/>
      <c r="D253" s="1701"/>
      <c r="E253" s="1701"/>
      <c r="F253" s="1701"/>
      <c r="G253" s="1701"/>
      <c r="H253" s="1702"/>
      <c r="I253" s="1703">
        <f>SUM(I216:I252)</f>
        <v>46450000</v>
      </c>
      <c r="J253" s="1704"/>
      <c r="K253" s="1705"/>
      <c r="L253" s="1725"/>
      <c r="M253" s="1726"/>
      <c r="N253" s="1727"/>
    </row>
    <row r="256" spans="1:14">
      <c r="A256" s="1721" t="s">
        <v>4431</v>
      </c>
      <c r="B256" s="1721"/>
      <c r="C256" s="1721"/>
      <c r="D256" s="1721"/>
      <c r="E256" s="1721"/>
      <c r="F256" s="1721"/>
      <c r="G256" s="1721"/>
      <c r="H256" s="1721"/>
      <c r="I256" s="1721"/>
      <c r="J256" s="1721"/>
      <c r="K256" s="1721"/>
      <c r="L256" s="1721"/>
      <c r="M256" s="1721"/>
      <c r="N256" s="1721"/>
    </row>
    <row r="257" spans="1:14">
      <c r="A257" s="1721"/>
      <c r="B257" s="1721"/>
      <c r="C257" s="1721"/>
      <c r="D257" s="1721"/>
      <c r="E257" s="1721"/>
      <c r="F257" s="1721"/>
      <c r="G257" s="1721"/>
      <c r="H257" s="1721"/>
      <c r="I257" s="1721"/>
      <c r="J257" s="1721"/>
      <c r="K257" s="1721"/>
      <c r="L257" s="1721"/>
      <c r="M257" s="1721"/>
      <c r="N257" s="1721"/>
    </row>
    <row r="259" spans="1:14">
      <c r="A259" s="1718" t="s">
        <v>4432</v>
      </c>
      <c r="B259" s="1718"/>
      <c r="C259" s="1718"/>
      <c r="D259" s="1718"/>
      <c r="E259" s="1718"/>
      <c r="F259" s="1718"/>
      <c r="G259" s="1718"/>
      <c r="H259" s="1718"/>
      <c r="I259" s="1718"/>
      <c r="J259" s="1718"/>
      <c r="K259" s="1718"/>
      <c r="L259" s="1718"/>
      <c r="M259" s="1718"/>
      <c r="N259" s="1718"/>
    </row>
    <row r="260" spans="1:14">
      <c r="A260" s="1718"/>
      <c r="B260" s="1718"/>
      <c r="C260" s="1718"/>
      <c r="D260" s="1718"/>
      <c r="E260" s="1718"/>
      <c r="F260" s="1718"/>
      <c r="G260" s="1718"/>
      <c r="H260" s="1718"/>
      <c r="I260" s="1718"/>
      <c r="J260" s="1718"/>
      <c r="K260" s="1718"/>
      <c r="L260" s="1718"/>
      <c r="M260" s="1718"/>
      <c r="N260" s="1718"/>
    </row>
    <row r="261" spans="1:14">
      <c r="A261" s="615" t="s">
        <v>120</v>
      </c>
      <c r="B261" s="1722" t="s">
        <v>5</v>
      </c>
      <c r="C261" s="1722"/>
      <c r="D261" s="1722"/>
      <c r="E261" s="1722"/>
      <c r="F261" s="1722"/>
      <c r="G261" s="1722"/>
      <c r="H261" s="1722"/>
      <c r="I261" s="1723" t="s">
        <v>4410</v>
      </c>
      <c r="J261" s="1724"/>
      <c r="K261" s="1724"/>
      <c r="L261" s="1722" t="s">
        <v>4411</v>
      </c>
      <c r="M261" s="1722"/>
      <c r="N261" s="1722"/>
    </row>
    <row r="262" spans="1:14" ht="15.75">
      <c r="A262" s="135">
        <v>12441</v>
      </c>
      <c r="B262" s="1706" t="s">
        <v>1594</v>
      </c>
      <c r="C262" s="1707"/>
      <c r="D262" s="1707"/>
      <c r="E262" s="1707"/>
      <c r="F262" s="1707"/>
      <c r="G262" s="1707"/>
      <c r="H262" s="1708"/>
      <c r="I262" s="1709">
        <v>1400000</v>
      </c>
      <c r="J262" s="1710"/>
      <c r="K262" s="1711"/>
      <c r="L262" s="1728" t="s">
        <v>180</v>
      </c>
      <c r="M262" s="1729"/>
      <c r="N262" s="1730"/>
    </row>
    <row r="263" spans="1:14" ht="15.75">
      <c r="A263" s="135">
        <v>12442</v>
      </c>
      <c r="B263" s="1706" t="s">
        <v>604</v>
      </c>
      <c r="C263" s="1707"/>
      <c r="D263" s="1707"/>
      <c r="E263" s="1707"/>
      <c r="F263" s="1707"/>
      <c r="G263" s="1707"/>
      <c r="H263" s="1708"/>
      <c r="I263" s="1709">
        <v>1400000</v>
      </c>
      <c r="J263" s="1710"/>
      <c r="K263" s="1711"/>
      <c r="L263" s="1728" t="s">
        <v>180</v>
      </c>
      <c r="M263" s="1729"/>
      <c r="N263" s="1730"/>
    </row>
    <row r="264" spans="1:14" ht="15.75">
      <c r="A264" s="135">
        <v>12443</v>
      </c>
      <c r="B264" s="1706" t="s">
        <v>606</v>
      </c>
      <c r="C264" s="1707"/>
      <c r="D264" s="1707"/>
      <c r="E264" s="1707"/>
      <c r="F264" s="1707"/>
      <c r="G264" s="1707"/>
      <c r="H264" s="1708"/>
      <c r="I264" s="1709">
        <v>1000000</v>
      </c>
      <c r="J264" s="1710"/>
      <c r="K264" s="1711"/>
      <c r="L264" s="1728" t="s">
        <v>180</v>
      </c>
      <c r="M264" s="1729"/>
      <c r="N264" s="1730"/>
    </row>
    <row r="265" spans="1:14" ht="15.75">
      <c r="A265" s="135">
        <v>12463</v>
      </c>
      <c r="B265" s="1706" t="s">
        <v>607</v>
      </c>
      <c r="C265" s="1707" t="s">
        <v>607</v>
      </c>
      <c r="D265" s="1707" t="s">
        <v>607</v>
      </c>
      <c r="E265" s="1707" t="s">
        <v>607</v>
      </c>
      <c r="F265" s="1707" t="s">
        <v>607</v>
      </c>
      <c r="G265" s="1707" t="s">
        <v>607</v>
      </c>
      <c r="H265" s="1708" t="s">
        <v>607</v>
      </c>
      <c r="I265" s="1709">
        <v>900000</v>
      </c>
      <c r="J265" s="1710"/>
      <c r="K265" s="1711"/>
      <c r="L265" s="1728" t="s">
        <v>180</v>
      </c>
      <c r="M265" s="1729"/>
      <c r="N265" s="1730"/>
    </row>
    <row r="266" spans="1:14" ht="15.75">
      <c r="A266" s="135">
        <v>12453</v>
      </c>
      <c r="B266" s="1706" t="s">
        <v>608</v>
      </c>
      <c r="C266" s="1707" t="s">
        <v>608</v>
      </c>
      <c r="D266" s="1707" t="s">
        <v>608</v>
      </c>
      <c r="E266" s="1707" t="s">
        <v>608</v>
      </c>
      <c r="F266" s="1707" t="s">
        <v>608</v>
      </c>
      <c r="G266" s="1707" t="s">
        <v>608</v>
      </c>
      <c r="H266" s="1708" t="s">
        <v>608</v>
      </c>
      <c r="I266" s="1709">
        <v>900000</v>
      </c>
      <c r="J266" s="1710"/>
      <c r="K266" s="1711"/>
      <c r="L266" s="1728" t="s">
        <v>180</v>
      </c>
      <c r="M266" s="1729"/>
      <c r="N266" s="1730"/>
    </row>
    <row r="267" spans="1:14" ht="15.75">
      <c r="A267" s="135">
        <v>12507</v>
      </c>
      <c r="B267" s="1706" t="s">
        <v>610</v>
      </c>
      <c r="C267" s="1707"/>
      <c r="D267" s="1707"/>
      <c r="E267" s="1707"/>
      <c r="F267" s="1707"/>
      <c r="G267" s="1707"/>
      <c r="H267" s="1708"/>
      <c r="I267" s="1709">
        <v>1300000</v>
      </c>
      <c r="J267" s="1710"/>
      <c r="K267" s="1711"/>
      <c r="L267" s="1728" t="s">
        <v>180</v>
      </c>
      <c r="M267" s="1729"/>
      <c r="N267" s="1730"/>
    </row>
    <row r="268" spans="1:14" ht="15.75">
      <c r="A268" s="135">
        <v>12603</v>
      </c>
      <c r="B268" s="1706" t="s">
        <v>615</v>
      </c>
      <c r="C268" s="1707" t="s">
        <v>615</v>
      </c>
      <c r="D268" s="1707" t="s">
        <v>615</v>
      </c>
      <c r="E268" s="1707" t="s">
        <v>615</v>
      </c>
      <c r="F268" s="1707" t="s">
        <v>615</v>
      </c>
      <c r="G268" s="1707" t="s">
        <v>615</v>
      </c>
      <c r="H268" s="1708" t="s">
        <v>615</v>
      </c>
      <c r="I268" s="1709">
        <v>1200000</v>
      </c>
      <c r="J268" s="1710"/>
      <c r="K268" s="1711"/>
      <c r="L268" s="1728" t="s">
        <v>180</v>
      </c>
      <c r="M268" s="1729"/>
      <c r="N268" s="1730"/>
    </row>
    <row r="269" spans="1:14" ht="15.75">
      <c r="A269" s="135">
        <v>12653</v>
      </c>
      <c r="B269" s="1706" t="s">
        <v>616</v>
      </c>
      <c r="C269" s="1707" t="s">
        <v>616</v>
      </c>
      <c r="D269" s="1707" t="s">
        <v>616</v>
      </c>
      <c r="E269" s="1707" t="s">
        <v>616</v>
      </c>
      <c r="F269" s="1707" t="s">
        <v>616</v>
      </c>
      <c r="G269" s="1707" t="s">
        <v>616</v>
      </c>
      <c r="H269" s="1708" t="s">
        <v>616</v>
      </c>
      <c r="I269" s="1709">
        <v>1250000</v>
      </c>
      <c r="J269" s="1710"/>
      <c r="K269" s="1711"/>
      <c r="L269" s="1728" t="s">
        <v>180</v>
      </c>
      <c r="M269" s="1729"/>
      <c r="N269" s="1730"/>
    </row>
    <row r="270" spans="1:14" ht="15.75">
      <c r="A270" s="135">
        <v>12612</v>
      </c>
      <c r="B270" s="1706" t="s">
        <v>648</v>
      </c>
      <c r="C270" s="1707"/>
      <c r="D270" s="1707"/>
      <c r="E270" s="1707"/>
      <c r="F270" s="1707"/>
      <c r="G270" s="1707"/>
      <c r="H270" s="1708"/>
      <c r="I270" s="1709">
        <v>870000</v>
      </c>
      <c r="J270" s="1710"/>
      <c r="K270" s="1711"/>
      <c r="L270" s="1712" t="s">
        <v>311</v>
      </c>
      <c r="M270" s="1713"/>
      <c r="N270" s="1714"/>
    </row>
    <row r="271" spans="1:14" ht="15.75">
      <c r="A271" s="741">
        <v>12499</v>
      </c>
      <c r="B271" s="1706" t="s">
        <v>662</v>
      </c>
      <c r="C271" s="1707" t="s">
        <v>662</v>
      </c>
      <c r="D271" s="1707" t="s">
        <v>662</v>
      </c>
      <c r="E271" s="1707" t="s">
        <v>662</v>
      </c>
      <c r="F271" s="1707" t="s">
        <v>662</v>
      </c>
      <c r="G271" s="1707" t="s">
        <v>662</v>
      </c>
      <c r="H271" s="1708" t="s">
        <v>662</v>
      </c>
      <c r="I271" s="1709">
        <v>1000000</v>
      </c>
      <c r="J271" s="1710"/>
      <c r="K271" s="1711"/>
      <c r="L271" s="1712" t="s">
        <v>520</v>
      </c>
      <c r="M271" s="1713"/>
      <c r="N271" s="1714"/>
    </row>
    <row r="272" spans="1:14" ht="15.75">
      <c r="A272" s="741">
        <v>12550</v>
      </c>
      <c r="B272" s="1706" t="s">
        <v>603</v>
      </c>
      <c r="C272" s="1707" t="s">
        <v>603</v>
      </c>
      <c r="D272" s="1707" t="s">
        <v>603</v>
      </c>
      <c r="E272" s="1707" t="s">
        <v>603</v>
      </c>
      <c r="F272" s="1707" t="s">
        <v>603</v>
      </c>
      <c r="G272" s="1707" t="s">
        <v>603</v>
      </c>
      <c r="H272" s="1708" t="s">
        <v>603</v>
      </c>
      <c r="I272" s="1709">
        <v>1400000</v>
      </c>
      <c r="J272" s="1710"/>
      <c r="K272" s="1711"/>
      <c r="L272" s="1712" t="s">
        <v>520</v>
      </c>
      <c r="M272" s="1713"/>
      <c r="N272" s="1714"/>
    </row>
    <row r="273" spans="1:14" ht="15.75">
      <c r="A273" s="135">
        <v>12675</v>
      </c>
      <c r="B273" s="1731" t="s">
        <v>664</v>
      </c>
      <c r="C273" s="1732"/>
      <c r="D273" s="1732"/>
      <c r="E273" s="1732"/>
      <c r="F273" s="1732"/>
      <c r="G273" s="1732"/>
      <c r="H273" s="1733"/>
      <c r="I273" s="1709">
        <v>870000</v>
      </c>
      <c r="J273" s="1710"/>
      <c r="K273" s="1711"/>
      <c r="L273" s="1712" t="s">
        <v>520</v>
      </c>
      <c r="M273" s="1713"/>
      <c r="N273" s="1714"/>
    </row>
    <row r="274" spans="1:14" ht="15.75">
      <c r="A274" s="741"/>
      <c r="B274" s="1731"/>
      <c r="C274" s="1732"/>
      <c r="D274" s="1732"/>
      <c r="E274" s="1732"/>
      <c r="F274" s="1732"/>
      <c r="G274" s="1732"/>
      <c r="H274" s="1733"/>
      <c r="I274" s="1709"/>
      <c r="J274" s="1710"/>
      <c r="K274" s="1711"/>
      <c r="L274" s="1712"/>
      <c r="M274" s="1713"/>
      <c r="N274" s="1714"/>
    </row>
    <row r="275" spans="1:14" ht="18">
      <c r="A275" s="14"/>
      <c r="B275" s="1700" t="s">
        <v>34</v>
      </c>
      <c r="C275" s="1701"/>
      <c r="D275" s="1701"/>
      <c r="E275" s="1701"/>
      <c r="F275" s="1701"/>
      <c r="G275" s="1701"/>
      <c r="H275" s="1702"/>
      <c r="I275" s="1703">
        <f>SUM(I262:I274)</f>
        <v>13490000</v>
      </c>
      <c r="J275" s="1734"/>
      <c r="K275" s="1735"/>
      <c r="L275" s="1725"/>
      <c r="M275" s="1726"/>
      <c r="N275" s="1727"/>
    </row>
    <row r="279" spans="1:14">
      <c r="A279" s="1718" t="s">
        <v>4433</v>
      </c>
      <c r="B279" s="1718"/>
      <c r="C279" s="1718"/>
      <c r="D279" s="1718"/>
      <c r="E279" s="1718"/>
      <c r="F279" s="1718"/>
      <c r="G279" s="1718"/>
      <c r="H279" s="1718"/>
      <c r="I279" s="1718"/>
      <c r="J279" s="1718"/>
      <c r="K279" s="1718"/>
      <c r="L279" s="1718"/>
      <c r="M279" s="1718"/>
      <c r="N279" s="1718"/>
    </row>
    <row r="280" spans="1:14">
      <c r="A280" s="1719"/>
      <c r="B280" s="1719"/>
      <c r="C280" s="1719"/>
      <c r="D280" s="1719"/>
      <c r="E280" s="1719"/>
      <c r="F280" s="1719"/>
      <c r="G280" s="1719"/>
      <c r="H280" s="1719"/>
      <c r="I280" s="1719"/>
      <c r="J280" s="1719"/>
      <c r="K280" s="1719"/>
      <c r="L280" s="1719"/>
      <c r="M280" s="1719"/>
      <c r="N280" s="1719"/>
    </row>
    <row r="281" spans="1:14">
      <c r="A281" s="606" t="s">
        <v>120</v>
      </c>
      <c r="B281" s="1720" t="s">
        <v>5</v>
      </c>
      <c r="C281" s="1720"/>
      <c r="D281" s="1720"/>
      <c r="E281" s="1720"/>
      <c r="F281" s="1720"/>
      <c r="G281" s="1720"/>
      <c r="H281" s="1720"/>
      <c r="I281" s="1720" t="s">
        <v>4410</v>
      </c>
      <c r="J281" s="1720"/>
      <c r="K281" s="1720"/>
      <c r="L281" s="1720" t="s">
        <v>4411</v>
      </c>
      <c r="M281" s="1720"/>
      <c r="N281" s="1720"/>
    </row>
    <row r="282" spans="1:14" ht="15.75">
      <c r="A282" s="135">
        <v>12440</v>
      </c>
      <c r="B282" s="1706" t="s">
        <v>600</v>
      </c>
      <c r="C282" s="1707"/>
      <c r="D282" s="1707"/>
      <c r="E282" s="1707"/>
      <c r="F282" s="1707"/>
      <c r="G282" s="1707"/>
      <c r="H282" s="1708"/>
      <c r="I282" s="1709">
        <v>800000</v>
      </c>
      <c r="J282" s="1710"/>
      <c r="K282" s="1711"/>
      <c r="L282" s="1728" t="s">
        <v>180</v>
      </c>
      <c r="M282" s="1729"/>
      <c r="N282" s="1730"/>
    </row>
    <row r="283" spans="1:14" ht="15.75">
      <c r="A283" s="135">
        <v>12477</v>
      </c>
      <c r="B283" s="1706" t="s">
        <v>609</v>
      </c>
      <c r="C283" s="1707"/>
      <c r="D283" s="1707"/>
      <c r="E283" s="1707"/>
      <c r="F283" s="1707"/>
      <c r="G283" s="1707"/>
      <c r="H283" s="1708"/>
      <c r="I283" s="1709">
        <v>1600000</v>
      </c>
      <c r="J283" s="1710"/>
      <c r="K283" s="1711"/>
      <c r="L283" s="1712" t="s">
        <v>180</v>
      </c>
      <c r="M283" s="1713"/>
      <c r="N283" s="1714"/>
    </row>
    <row r="284" spans="1:14" ht="15.75">
      <c r="A284" s="135">
        <v>12523</v>
      </c>
      <c r="B284" s="1706" t="s">
        <v>611</v>
      </c>
      <c r="C284" s="1707"/>
      <c r="D284" s="1707"/>
      <c r="E284" s="1707"/>
      <c r="F284" s="1707"/>
      <c r="G284" s="1707"/>
      <c r="H284" s="1708"/>
      <c r="I284" s="1709">
        <v>850000</v>
      </c>
      <c r="J284" s="1710"/>
      <c r="K284" s="1711"/>
      <c r="L284" s="1712" t="s">
        <v>180</v>
      </c>
      <c r="M284" s="1713"/>
      <c r="N284" s="1714"/>
    </row>
    <row r="285" spans="1:14" ht="15.75">
      <c r="A285" s="135">
        <v>12537</v>
      </c>
      <c r="B285" s="1706" t="s">
        <v>612</v>
      </c>
      <c r="C285" s="1707"/>
      <c r="D285" s="1707"/>
      <c r="E285" s="1707"/>
      <c r="F285" s="1707"/>
      <c r="G285" s="1707"/>
      <c r="H285" s="1708"/>
      <c r="I285" s="1709">
        <v>1500000</v>
      </c>
      <c r="J285" s="1710"/>
      <c r="K285" s="1711"/>
      <c r="L285" s="1712" t="s">
        <v>180</v>
      </c>
      <c r="M285" s="1713"/>
      <c r="N285" s="1714"/>
    </row>
    <row r="286" spans="1:14" ht="15.75">
      <c r="A286" s="135">
        <v>12563</v>
      </c>
      <c r="B286" s="1706" t="s">
        <v>613</v>
      </c>
      <c r="C286" s="1707"/>
      <c r="D286" s="1707"/>
      <c r="E286" s="1707"/>
      <c r="F286" s="1707"/>
      <c r="G286" s="1707"/>
      <c r="H286" s="1708"/>
      <c r="I286" s="1709">
        <v>1550000</v>
      </c>
      <c r="J286" s="1710"/>
      <c r="K286" s="1711"/>
      <c r="L286" s="1712" t="s">
        <v>180</v>
      </c>
      <c r="M286" s="1713"/>
      <c r="N286" s="1714"/>
    </row>
    <row r="287" spans="1:14" ht="15.75">
      <c r="A287" s="135">
        <v>12564</v>
      </c>
      <c r="B287" s="1706" t="s">
        <v>614</v>
      </c>
      <c r="C287" s="1707"/>
      <c r="D287" s="1707"/>
      <c r="E287" s="1707"/>
      <c r="F287" s="1707"/>
      <c r="G287" s="1707"/>
      <c r="H287" s="1708"/>
      <c r="I287" s="1709">
        <v>1400000</v>
      </c>
      <c r="J287" s="1710"/>
      <c r="K287" s="1711"/>
      <c r="L287" s="1712" t="s">
        <v>180</v>
      </c>
      <c r="M287" s="1713"/>
      <c r="N287" s="1714"/>
    </row>
    <row r="288" spans="1:14" ht="15.75">
      <c r="A288" s="346">
        <v>12466</v>
      </c>
      <c r="B288" s="1706" t="s">
        <v>630</v>
      </c>
      <c r="C288" s="1707" t="s">
        <v>630</v>
      </c>
      <c r="D288" s="1707" t="s">
        <v>630</v>
      </c>
      <c r="E288" s="1707" t="s">
        <v>630</v>
      </c>
      <c r="F288" s="1707" t="s">
        <v>630</v>
      </c>
      <c r="G288" s="1707" t="s">
        <v>630</v>
      </c>
      <c r="H288" s="1708" t="s">
        <v>630</v>
      </c>
      <c r="I288" s="1709">
        <v>1400000</v>
      </c>
      <c r="J288" s="1710"/>
      <c r="K288" s="1711"/>
      <c r="L288" s="1712" t="s">
        <v>286</v>
      </c>
      <c r="M288" s="1713"/>
      <c r="N288" s="1714"/>
    </row>
    <row r="289" spans="1:14" ht="15.75">
      <c r="A289" s="346">
        <v>12470</v>
      </c>
      <c r="B289" s="1706" t="s">
        <v>631</v>
      </c>
      <c r="C289" s="1707" t="s">
        <v>631</v>
      </c>
      <c r="D289" s="1707" t="s">
        <v>631</v>
      </c>
      <c r="E289" s="1707" t="s">
        <v>631</v>
      </c>
      <c r="F289" s="1707" t="s">
        <v>631</v>
      </c>
      <c r="G289" s="1707" t="s">
        <v>631</v>
      </c>
      <c r="H289" s="1708" t="s">
        <v>631</v>
      </c>
      <c r="I289" s="1709">
        <v>1400000</v>
      </c>
      <c r="J289" s="1710"/>
      <c r="K289" s="1711"/>
      <c r="L289" s="1712" t="s">
        <v>286</v>
      </c>
      <c r="M289" s="1713"/>
      <c r="N289" s="1714"/>
    </row>
    <row r="290" spans="1:14" ht="15.75">
      <c r="A290" s="346">
        <v>12535</v>
      </c>
      <c r="B290" s="1706" t="s">
        <v>633</v>
      </c>
      <c r="C290" s="1707" t="s">
        <v>633</v>
      </c>
      <c r="D290" s="1707" t="s">
        <v>633</v>
      </c>
      <c r="E290" s="1707" t="s">
        <v>633</v>
      </c>
      <c r="F290" s="1707" t="s">
        <v>633</v>
      </c>
      <c r="G290" s="1707" t="s">
        <v>633</v>
      </c>
      <c r="H290" s="1708" t="s">
        <v>633</v>
      </c>
      <c r="I290" s="1709">
        <v>1250000</v>
      </c>
      <c r="J290" s="1710"/>
      <c r="K290" s="1711"/>
      <c r="L290" s="1712" t="s">
        <v>286</v>
      </c>
      <c r="M290" s="1713"/>
      <c r="N290" s="1714"/>
    </row>
    <row r="291" spans="1:14" ht="15.75">
      <c r="A291" s="346">
        <v>12551</v>
      </c>
      <c r="B291" s="1706" t="s">
        <v>634</v>
      </c>
      <c r="C291" s="1707" t="s">
        <v>634</v>
      </c>
      <c r="D291" s="1707" t="s">
        <v>634</v>
      </c>
      <c r="E291" s="1707" t="s">
        <v>634</v>
      </c>
      <c r="F291" s="1707" t="s">
        <v>634</v>
      </c>
      <c r="G291" s="1707" t="s">
        <v>634</v>
      </c>
      <c r="H291" s="1708" t="s">
        <v>634</v>
      </c>
      <c r="I291" s="1709">
        <v>800000</v>
      </c>
      <c r="J291" s="1710"/>
      <c r="K291" s="1711"/>
      <c r="L291" s="1712" t="s">
        <v>286</v>
      </c>
      <c r="M291" s="1713"/>
      <c r="N291" s="1714"/>
    </row>
    <row r="292" spans="1:14" ht="15.75">
      <c r="A292" s="346">
        <v>12596</v>
      </c>
      <c r="B292" s="1706" t="s">
        <v>635</v>
      </c>
      <c r="C292" s="1707" t="s">
        <v>635</v>
      </c>
      <c r="D292" s="1707" t="s">
        <v>635</v>
      </c>
      <c r="E292" s="1707" t="s">
        <v>635</v>
      </c>
      <c r="F292" s="1707" t="s">
        <v>635</v>
      </c>
      <c r="G292" s="1707" t="s">
        <v>635</v>
      </c>
      <c r="H292" s="1708" t="s">
        <v>635</v>
      </c>
      <c r="I292" s="1709">
        <v>1400000</v>
      </c>
      <c r="J292" s="1710"/>
      <c r="K292" s="1711"/>
      <c r="L292" s="1712" t="s">
        <v>286</v>
      </c>
      <c r="M292" s="1713"/>
      <c r="N292" s="1714"/>
    </row>
    <row r="293" spans="1:14" ht="15.75">
      <c r="A293" s="346">
        <v>12591</v>
      </c>
      <c r="B293" s="1706" t="s">
        <v>636</v>
      </c>
      <c r="C293" s="1707" t="s">
        <v>636</v>
      </c>
      <c r="D293" s="1707" t="s">
        <v>636</v>
      </c>
      <c r="E293" s="1707" t="s">
        <v>636</v>
      </c>
      <c r="F293" s="1707" t="s">
        <v>636</v>
      </c>
      <c r="G293" s="1707" t="s">
        <v>636</v>
      </c>
      <c r="H293" s="1708" t="s">
        <v>636</v>
      </c>
      <c r="I293" s="1709">
        <v>1550000</v>
      </c>
      <c r="J293" s="1710"/>
      <c r="K293" s="1711"/>
      <c r="L293" s="1712" t="s">
        <v>286</v>
      </c>
      <c r="M293" s="1713"/>
      <c r="N293" s="1714"/>
    </row>
    <row r="294" spans="1:14" ht="15.75">
      <c r="A294" s="346">
        <v>12658</v>
      </c>
      <c r="B294" s="1706" t="s">
        <v>637</v>
      </c>
      <c r="C294" s="1707" t="s">
        <v>637</v>
      </c>
      <c r="D294" s="1707" t="s">
        <v>637</v>
      </c>
      <c r="E294" s="1707" t="s">
        <v>637</v>
      </c>
      <c r="F294" s="1707" t="s">
        <v>637</v>
      </c>
      <c r="G294" s="1707" t="s">
        <v>637</v>
      </c>
      <c r="H294" s="1708" t="s">
        <v>637</v>
      </c>
      <c r="I294" s="1709">
        <v>700000</v>
      </c>
      <c r="J294" s="1710"/>
      <c r="K294" s="1711"/>
      <c r="L294" s="1712" t="s">
        <v>286</v>
      </c>
      <c r="M294" s="1713"/>
      <c r="N294" s="1714"/>
    </row>
    <row r="295" spans="1:14" ht="15.75">
      <c r="A295" s="135">
        <v>12493</v>
      </c>
      <c r="B295" s="1706" t="s">
        <v>641</v>
      </c>
      <c r="C295" s="1707" t="s">
        <v>641</v>
      </c>
      <c r="D295" s="1707" t="s">
        <v>641</v>
      </c>
      <c r="E295" s="1707" t="s">
        <v>641</v>
      </c>
      <c r="F295" s="1707" t="s">
        <v>641</v>
      </c>
      <c r="G295" s="1707" t="s">
        <v>641</v>
      </c>
      <c r="H295" s="1708" t="s">
        <v>641</v>
      </c>
      <c r="I295" s="1736">
        <v>1100000</v>
      </c>
      <c r="J295" s="1737"/>
      <c r="K295" s="1738"/>
      <c r="L295" s="1715" t="s">
        <v>311</v>
      </c>
      <c r="M295" s="1716"/>
      <c r="N295" s="1717"/>
    </row>
    <row r="296" spans="1:14" ht="15.75">
      <c r="A296" s="135">
        <v>12500</v>
      </c>
      <c r="B296" s="1706" t="s">
        <v>643</v>
      </c>
      <c r="C296" s="1707" t="s">
        <v>643</v>
      </c>
      <c r="D296" s="1707" t="s">
        <v>643</v>
      </c>
      <c r="E296" s="1707" t="s">
        <v>643</v>
      </c>
      <c r="F296" s="1707" t="s">
        <v>643</v>
      </c>
      <c r="G296" s="1707" t="s">
        <v>643</v>
      </c>
      <c r="H296" s="1708" t="s">
        <v>643</v>
      </c>
      <c r="I296" s="1709">
        <v>700000</v>
      </c>
      <c r="J296" s="1710"/>
      <c r="K296" s="1711"/>
      <c r="L296" s="1712" t="s">
        <v>311</v>
      </c>
      <c r="M296" s="1713"/>
      <c r="N296" s="1714"/>
    </row>
    <row r="297" spans="1:14" ht="15.75">
      <c r="A297" s="135">
        <v>12522</v>
      </c>
      <c r="B297" s="1706" t="s">
        <v>644</v>
      </c>
      <c r="C297" s="1707" t="s">
        <v>644</v>
      </c>
      <c r="D297" s="1707" t="s">
        <v>644</v>
      </c>
      <c r="E297" s="1707" t="s">
        <v>644</v>
      </c>
      <c r="F297" s="1707" t="s">
        <v>644</v>
      </c>
      <c r="G297" s="1707" t="s">
        <v>644</v>
      </c>
      <c r="H297" s="1708" t="s">
        <v>644</v>
      </c>
      <c r="I297" s="1709">
        <v>1300000</v>
      </c>
      <c r="J297" s="1710"/>
      <c r="K297" s="1711"/>
      <c r="L297" s="1712" t="s">
        <v>311</v>
      </c>
      <c r="M297" s="1713"/>
      <c r="N297" s="1714"/>
    </row>
    <row r="298" spans="1:14" ht="15.75">
      <c r="A298" s="135">
        <v>12528</v>
      </c>
      <c r="B298" s="1706" t="s">
        <v>645</v>
      </c>
      <c r="C298" s="1707" t="s">
        <v>645</v>
      </c>
      <c r="D298" s="1707" t="s">
        <v>645</v>
      </c>
      <c r="E298" s="1707" t="s">
        <v>645</v>
      </c>
      <c r="F298" s="1707" t="s">
        <v>645</v>
      </c>
      <c r="G298" s="1707" t="s">
        <v>645</v>
      </c>
      <c r="H298" s="1708" t="s">
        <v>645</v>
      </c>
      <c r="I298" s="1709">
        <v>1300000</v>
      </c>
      <c r="J298" s="1710"/>
      <c r="K298" s="1711"/>
      <c r="L298" s="1712" t="s">
        <v>311</v>
      </c>
      <c r="M298" s="1713"/>
      <c r="N298" s="1714"/>
    </row>
    <row r="299" spans="1:14" ht="15.75">
      <c r="A299" s="135">
        <v>12531</v>
      </c>
      <c r="B299" s="1706" t="s">
        <v>646</v>
      </c>
      <c r="C299" s="1707" t="s">
        <v>646</v>
      </c>
      <c r="D299" s="1707" t="s">
        <v>646</v>
      </c>
      <c r="E299" s="1707" t="s">
        <v>646</v>
      </c>
      <c r="F299" s="1707" t="s">
        <v>646</v>
      </c>
      <c r="G299" s="1707" t="s">
        <v>646</v>
      </c>
      <c r="H299" s="1708" t="s">
        <v>646</v>
      </c>
      <c r="I299" s="1709">
        <v>1350000</v>
      </c>
      <c r="J299" s="1710"/>
      <c r="K299" s="1711"/>
      <c r="L299" s="1712" t="s">
        <v>311</v>
      </c>
      <c r="M299" s="1713"/>
      <c r="N299" s="1714"/>
    </row>
    <row r="300" spans="1:14" ht="15.75">
      <c r="A300" s="135">
        <v>12554</v>
      </c>
      <c r="B300" s="1706" t="s">
        <v>647</v>
      </c>
      <c r="C300" s="1707" t="s">
        <v>647</v>
      </c>
      <c r="D300" s="1707" t="s">
        <v>647</v>
      </c>
      <c r="E300" s="1707" t="s">
        <v>647</v>
      </c>
      <c r="F300" s="1707" t="s">
        <v>647</v>
      </c>
      <c r="G300" s="1707" t="s">
        <v>647</v>
      </c>
      <c r="H300" s="1708" t="s">
        <v>647</v>
      </c>
      <c r="I300" s="1709">
        <v>1350000</v>
      </c>
      <c r="J300" s="1710"/>
      <c r="K300" s="1711"/>
      <c r="L300" s="1712" t="s">
        <v>311</v>
      </c>
      <c r="M300" s="1713"/>
      <c r="N300" s="1714"/>
    </row>
    <row r="301" spans="1:14" ht="15.75">
      <c r="A301" s="135">
        <v>12647</v>
      </c>
      <c r="B301" s="1706" t="s">
        <v>649</v>
      </c>
      <c r="C301" s="1707" t="s">
        <v>649</v>
      </c>
      <c r="D301" s="1707" t="s">
        <v>649</v>
      </c>
      <c r="E301" s="1707" t="s">
        <v>649</v>
      </c>
      <c r="F301" s="1707" t="s">
        <v>649</v>
      </c>
      <c r="G301" s="1707" t="s">
        <v>649</v>
      </c>
      <c r="H301" s="1708" t="s">
        <v>649</v>
      </c>
      <c r="I301" s="1709">
        <v>1100000</v>
      </c>
      <c r="J301" s="1710"/>
      <c r="K301" s="1711"/>
      <c r="L301" s="1712" t="s">
        <v>311</v>
      </c>
      <c r="M301" s="1713"/>
      <c r="N301" s="1714"/>
    </row>
    <row r="302" spans="1:14" ht="15.75">
      <c r="A302" s="135">
        <v>12667</v>
      </c>
      <c r="B302" s="1706" t="s">
        <v>650</v>
      </c>
      <c r="C302" s="1707" t="s">
        <v>650</v>
      </c>
      <c r="D302" s="1707" t="s">
        <v>650</v>
      </c>
      <c r="E302" s="1707" t="s">
        <v>650</v>
      </c>
      <c r="F302" s="1707" t="s">
        <v>650</v>
      </c>
      <c r="G302" s="1707" t="s">
        <v>650</v>
      </c>
      <c r="H302" s="1708" t="s">
        <v>650</v>
      </c>
      <c r="I302" s="1709">
        <v>1000000</v>
      </c>
      <c r="J302" s="1710"/>
      <c r="K302" s="1711"/>
      <c r="L302" s="1712" t="s">
        <v>311</v>
      </c>
      <c r="M302" s="1713"/>
      <c r="N302" s="1714"/>
    </row>
    <row r="303" spans="1:14" ht="15.75">
      <c r="A303" s="741">
        <v>12448</v>
      </c>
      <c r="B303" s="1706" t="s">
        <v>601</v>
      </c>
      <c r="C303" s="1707"/>
      <c r="D303" s="1707"/>
      <c r="E303" s="1707"/>
      <c r="F303" s="1707"/>
      <c r="G303" s="1707"/>
      <c r="H303" s="1708"/>
      <c r="I303" s="1709">
        <v>1400000</v>
      </c>
      <c r="J303" s="1710"/>
      <c r="K303" s="1711"/>
      <c r="L303" s="1712" t="s">
        <v>520</v>
      </c>
      <c r="M303" s="1713"/>
      <c r="N303" s="1714"/>
    </row>
    <row r="304" spans="1:14" ht="15.75">
      <c r="A304" s="741">
        <v>12625</v>
      </c>
      <c r="B304" s="1706" t="s">
        <v>663</v>
      </c>
      <c r="C304" s="1707"/>
      <c r="D304" s="1707"/>
      <c r="E304" s="1707"/>
      <c r="F304" s="1707"/>
      <c r="G304" s="1707"/>
      <c r="H304" s="1708"/>
      <c r="I304" s="1709">
        <v>1450000</v>
      </c>
      <c r="J304" s="1710"/>
      <c r="K304" s="1711"/>
      <c r="L304" s="1712" t="s">
        <v>520</v>
      </c>
      <c r="M304" s="1713"/>
      <c r="N304" s="1714"/>
    </row>
    <row r="305" spans="1:14" ht="15.75">
      <c r="A305" s="135"/>
      <c r="B305" s="1706"/>
      <c r="C305" s="1707"/>
      <c r="D305" s="1707"/>
      <c r="E305" s="1707"/>
      <c r="F305" s="1707"/>
      <c r="G305" s="1707"/>
      <c r="H305" s="1708"/>
      <c r="I305" s="1709"/>
      <c r="J305" s="1710"/>
      <c r="K305" s="1711"/>
      <c r="L305" s="1712"/>
      <c r="M305" s="1713"/>
      <c r="N305" s="1714"/>
    </row>
    <row r="306" spans="1:14" ht="18">
      <c r="A306" s="14"/>
      <c r="B306" s="1700" t="s">
        <v>34</v>
      </c>
      <c r="C306" s="1701"/>
      <c r="D306" s="1701"/>
      <c r="E306" s="1701"/>
      <c r="F306" s="1701"/>
      <c r="G306" s="1701"/>
      <c r="H306" s="1702"/>
      <c r="I306" s="1703">
        <f>SUM(I282:I305)</f>
        <v>28250000</v>
      </c>
      <c r="J306" s="1704"/>
      <c r="K306" s="1705"/>
      <c r="L306" s="1725"/>
      <c r="M306" s="1726"/>
      <c r="N306" s="1727"/>
    </row>
    <row r="309" spans="1:14">
      <c r="A309" s="1721" t="s">
        <v>4434</v>
      </c>
      <c r="B309" s="1721"/>
      <c r="C309" s="1721"/>
      <c r="D309" s="1721"/>
      <c r="E309" s="1721"/>
      <c r="F309" s="1721"/>
      <c r="G309" s="1721"/>
      <c r="H309" s="1721"/>
      <c r="I309" s="1721"/>
      <c r="J309" s="1721"/>
      <c r="K309" s="1721"/>
      <c r="L309" s="1721"/>
      <c r="M309" s="1721"/>
      <c r="N309" s="1721"/>
    </row>
    <row r="310" spans="1:14">
      <c r="A310" s="1721"/>
      <c r="B310" s="1721"/>
      <c r="C310" s="1721"/>
      <c r="D310" s="1721"/>
      <c r="E310" s="1721"/>
      <c r="F310" s="1721"/>
      <c r="G310" s="1721"/>
      <c r="H310" s="1721"/>
      <c r="I310" s="1721"/>
      <c r="J310" s="1721"/>
      <c r="K310" s="1721"/>
      <c r="L310" s="1721"/>
      <c r="M310" s="1721"/>
      <c r="N310" s="1721"/>
    </row>
    <row r="312" spans="1:14">
      <c r="A312" s="1718" t="s">
        <v>4435</v>
      </c>
      <c r="B312" s="1718"/>
      <c r="C312" s="1718"/>
      <c r="D312" s="1718"/>
      <c r="E312" s="1718"/>
      <c r="F312" s="1718"/>
      <c r="G312" s="1718"/>
      <c r="H312" s="1718"/>
      <c r="I312" s="1718"/>
      <c r="J312" s="1718"/>
      <c r="K312" s="1718"/>
      <c r="L312" s="1718"/>
      <c r="M312" s="1718"/>
      <c r="N312" s="1718"/>
    </row>
    <row r="313" spans="1:14">
      <c r="A313" s="1718"/>
      <c r="B313" s="1718"/>
      <c r="C313" s="1718"/>
      <c r="D313" s="1718"/>
      <c r="E313" s="1718"/>
      <c r="F313" s="1718"/>
      <c r="G313" s="1718"/>
      <c r="H313" s="1718"/>
      <c r="I313" s="1718"/>
      <c r="J313" s="1718"/>
      <c r="K313" s="1718"/>
      <c r="L313" s="1718"/>
      <c r="M313" s="1718"/>
      <c r="N313" s="1718"/>
    </row>
    <row r="314" spans="1:14">
      <c r="A314" s="615" t="s">
        <v>120</v>
      </c>
      <c r="B314" s="1722" t="s">
        <v>5</v>
      </c>
      <c r="C314" s="1722"/>
      <c r="D314" s="1722"/>
      <c r="E314" s="1722"/>
      <c r="F314" s="1722"/>
      <c r="G314" s="1722"/>
      <c r="H314" s="1722"/>
      <c r="I314" s="1723" t="s">
        <v>4410</v>
      </c>
      <c r="J314" s="1724"/>
      <c r="K314" s="1724"/>
      <c r="L314" s="1722" t="s">
        <v>4411</v>
      </c>
      <c r="M314" s="1722"/>
      <c r="N314" s="1722"/>
    </row>
    <row r="315" spans="1:14" ht="15.75">
      <c r="A315" s="135">
        <v>12746</v>
      </c>
      <c r="B315" s="1706" t="s">
        <v>676</v>
      </c>
      <c r="C315" s="1707" t="s">
        <v>676</v>
      </c>
      <c r="D315" s="1707" t="s">
        <v>676</v>
      </c>
      <c r="E315" s="1707" t="s">
        <v>676</v>
      </c>
      <c r="F315" s="1707" t="s">
        <v>676</v>
      </c>
      <c r="G315" s="1707" t="s">
        <v>676</v>
      </c>
      <c r="H315" s="1708" t="s">
        <v>676</v>
      </c>
      <c r="I315" s="1709">
        <v>1450000</v>
      </c>
      <c r="J315" s="1710"/>
      <c r="K315" s="1711"/>
      <c r="L315" s="1728" t="s">
        <v>180</v>
      </c>
      <c r="M315" s="1729"/>
      <c r="N315" s="1730"/>
    </row>
    <row r="316" spans="1:14" ht="15.75">
      <c r="A316" s="135">
        <v>12745</v>
      </c>
      <c r="B316" s="1706" t="s">
        <v>677</v>
      </c>
      <c r="C316" s="1707" t="s">
        <v>677</v>
      </c>
      <c r="D316" s="1707" t="s">
        <v>677</v>
      </c>
      <c r="E316" s="1707" t="s">
        <v>677</v>
      </c>
      <c r="F316" s="1707" t="s">
        <v>677</v>
      </c>
      <c r="G316" s="1707" t="s">
        <v>677</v>
      </c>
      <c r="H316" s="1708" t="s">
        <v>677</v>
      </c>
      <c r="I316" s="1709">
        <v>1100000</v>
      </c>
      <c r="J316" s="1710"/>
      <c r="K316" s="1711"/>
      <c r="L316" s="1728" t="s">
        <v>180</v>
      </c>
      <c r="M316" s="1729"/>
      <c r="N316" s="1730"/>
    </row>
    <row r="317" spans="1:14" ht="15.75">
      <c r="A317" s="135">
        <v>12785</v>
      </c>
      <c r="B317" s="1706" t="s">
        <v>679</v>
      </c>
      <c r="C317" s="1707" t="s">
        <v>679</v>
      </c>
      <c r="D317" s="1707" t="s">
        <v>679</v>
      </c>
      <c r="E317" s="1707" t="s">
        <v>679</v>
      </c>
      <c r="F317" s="1707" t="s">
        <v>679</v>
      </c>
      <c r="G317" s="1707" t="s">
        <v>679</v>
      </c>
      <c r="H317" s="1708" t="s">
        <v>679</v>
      </c>
      <c r="I317" s="1709">
        <v>750000</v>
      </c>
      <c r="J317" s="1710"/>
      <c r="K317" s="1711"/>
      <c r="L317" s="1728" t="s">
        <v>180</v>
      </c>
      <c r="M317" s="1729"/>
      <c r="N317" s="1730"/>
    </row>
    <row r="318" spans="1:14" ht="15.75">
      <c r="A318" s="135">
        <v>12797</v>
      </c>
      <c r="B318" s="1706" t="s">
        <v>680</v>
      </c>
      <c r="C318" s="1707" t="s">
        <v>680</v>
      </c>
      <c r="D318" s="1707" t="s">
        <v>680</v>
      </c>
      <c r="E318" s="1707" t="s">
        <v>680</v>
      </c>
      <c r="F318" s="1707" t="s">
        <v>680</v>
      </c>
      <c r="G318" s="1707" t="s">
        <v>680</v>
      </c>
      <c r="H318" s="1708" t="s">
        <v>680</v>
      </c>
      <c r="I318" s="1709">
        <v>1550000</v>
      </c>
      <c r="J318" s="1710"/>
      <c r="K318" s="1711"/>
      <c r="L318" s="1728" t="s">
        <v>180</v>
      </c>
      <c r="M318" s="1729"/>
      <c r="N318" s="1730"/>
    </row>
    <row r="319" spans="1:14" ht="15.75">
      <c r="A319" s="135">
        <v>12809</v>
      </c>
      <c r="B319" s="1706" t="s">
        <v>681</v>
      </c>
      <c r="C319" s="1707"/>
      <c r="D319" s="1707"/>
      <c r="E319" s="1707"/>
      <c r="F319" s="1707"/>
      <c r="G319" s="1707"/>
      <c r="H319" s="1708"/>
      <c r="I319" s="1709">
        <v>900000</v>
      </c>
      <c r="J319" s="1710"/>
      <c r="K319" s="1711"/>
      <c r="L319" s="1728" t="s">
        <v>180</v>
      </c>
      <c r="M319" s="1729"/>
      <c r="N319" s="1730"/>
    </row>
    <row r="320" spans="1:14" ht="15.75">
      <c r="A320" s="135">
        <v>12861</v>
      </c>
      <c r="B320" s="1706" t="s">
        <v>686</v>
      </c>
      <c r="C320" s="1707"/>
      <c r="D320" s="1707"/>
      <c r="E320" s="1707"/>
      <c r="F320" s="1707"/>
      <c r="G320" s="1707"/>
      <c r="H320" s="1708"/>
      <c r="I320" s="1709">
        <v>1200000</v>
      </c>
      <c r="J320" s="1710"/>
      <c r="K320" s="1711"/>
      <c r="L320" s="1728" t="s">
        <v>180</v>
      </c>
      <c r="M320" s="1729"/>
      <c r="N320" s="1730"/>
    </row>
    <row r="321" spans="1:14" ht="15.75">
      <c r="A321" s="135">
        <v>12865</v>
      </c>
      <c r="B321" s="1706" t="s">
        <v>688</v>
      </c>
      <c r="C321" s="1707"/>
      <c r="D321" s="1707"/>
      <c r="E321" s="1707"/>
      <c r="F321" s="1707"/>
      <c r="G321" s="1707"/>
      <c r="H321" s="1708"/>
      <c r="I321" s="1709">
        <v>1450000</v>
      </c>
      <c r="J321" s="1710"/>
      <c r="K321" s="1711"/>
      <c r="L321" s="1728" t="s">
        <v>180</v>
      </c>
      <c r="M321" s="1729"/>
      <c r="N321" s="1730"/>
    </row>
    <row r="322" spans="1:14" ht="15.75">
      <c r="A322" s="135">
        <v>12731</v>
      </c>
      <c r="B322" s="1731" t="s">
        <v>698</v>
      </c>
      <c r="C322" s="1732" t="s">
        <v>698</v>
      </c>
      <c r="D322" s="1732" t="s">
        <v>698</v>
      </c>
      <c r="E322" s="1732" t="s">
        <v>698</v>
      </c>
      <c r="F322" s="1732" t="s">
        <v>698</v>
      </c>
      <c r="G322" s="1732" t="s">
        <v>698</v>
      </c>
      <c r="H322" s="1733" t="s">
        <v>698</v>
      </c>
      <c r="I322" s="1709">
        <v>1550000</v>
      </c>
      <c r="J322" s="1710">
        <v>1550000</v>
      </c>
      <c r="K322" s="1711">
        <v>1550000</v>
      </c>
      <c r="L322" s="1728" t="s">
        <v>286</v>
      </c>
      <c r="M322" s="1729"/>
      <c r="N322" s="1730"/>
    </row>
    <row r="323" spans="1:14" ht="15.75">
      <c r="A323" s="135">
        <v>12801</v>
      </c>
      <c r="B323" s="1731" t="s">
        <v>699</v>
      </c>
      <c r="C323" s="1732" t="s">
        <v>699</v>
      </c>
      <c r="D323" s="1732" t="s">
        <v>699</v>
      </c>
      <c r="E323" s="1732" t="s">
        <v>699</v>
      </c>
      <c r="F323" s="1732" t="s">
        <v>699</v>
      </c>
      <c r="G323" s="1732" t="s">
        <v>699</v>
      </c>
      <c r="H323" s="1733" t="s">
        <v>699</v>
      </c>
      <c r="I323" s="1709">
        <v>1380000</v>
      </c>
      <c r="J323" s="1710">
        <v>1380000</v>
      </c>
      <c r="K323" s="1711">
        <v>1380000</v>
      </c>
      <c r="L323" s="1712" t="s">
        <v>286</v>
      </c>
      <c r="M323" s="1713"/>
      <c r="N323" s="1714"/>
    </row>
    <row r="324" spans="1:14" ht="15.75">
      <c r="A324" s="135">
        <v>12815</v>
      </c>
      <c r="B324" s="1731" t="s">
        <v>700</v>
      </c>
      <c r="C324" s="1732" t="s">
        <v>700</v>
      </c>
      <c r="D324" s="1732" t="s">
        <v>700</v>
      </c>
      <c r="E324" s="1732" t="s">
        <v>700</v>
      </c>
      <c r="F324" s="1732" t="s">
        <v>700</v>
      </c>
      <c r="G324" s="1732" t="s">
        <v>700</v>
      </c>
      <c r="H324" s="1733" t="s">
        <v>700</v>
      </c>
      <c r="I324" s="1709">
        <v>1300000</v>
      </c>
      <c r="J324" s="1710">
        <v>1300000</v>
      </c>
      <c r="K324" s="1711">
        <v>1300000</v>
      </c>
      <c r="L324" s="1712" t="s">
        <v>286</v>
      </c>
      <c r="M324" s="1713"/>
      <c r="N324" s="1714"/>
    </row>
    <row r="325" spans="1:14" ht="15.75">
      <c r="A325" s="135">
        <v>12858</v>
      </c>
      <c r="B325" s="1731" t="s">
        <v>675</v>
      </c>
      <c r="C325" s="1732" t="s">
        <v>675</v>
      </c>
      <c r="D325" s="1732" t="s">
        <v>675</v>
      </c>
      <c r="E325" s="1732" t="s">
        <v>675</v>
      </c>
      <c r="F325" s="1732" t="s">
        <v>675</v>
      </c>
      <c r="G325" s="1732" t="s">
        <v>675</v>
      </c>
      <c r="H325" s="1733" t="s">
        <v>675</v>
      </c>
      <c r="I325" s="1709">
        <v>1200000</v>
      </c>
      <c r="J325" s="1710">
        <v>1200000</v>
      </c>
      <c r="K325" s="1711">
        <v>1200000</v>
      </c>
      <c r="L325" s="1712" t="s">
        <v>286</v>
      </c>
      <c r="M325" s="1713"/>
      <c r="N325" s="1714"/>
    </row>
    <row r="326" spans="1:14" ht="15.75">
      <c r="A326" s="135">
        <v>12736</v>
      </c>
      <c r="B326" s="1731" t="s">
        <v>712</v>
      </c>
      <c r="C326" s="1732"/>
      <c r="D326" s="1732"/>
      <c r="E326" s="1732"/>
      <c r="F326" s="1732"/>
      <c r="G326" s="1732"/>
      <c r="H326" s="1733"/>
      <c r="I326" s="1709">
        <v>1250000</v>
      </c>
      <c r="J326" s="1710"/>
      <c r="K326" s="1711"/>
      <c r="L326" s="1712" t="s">
        <v>520</v>
      </c>
      <c r="M326" s="1713" t="s">
        <v>520</v>
      </c>
      <c r="N326" s="1714"/>
    </row>
    <row r="327" spans="1:14" ht="15.75">
      <c r="A327" s="135">
        <v>12816</v>
      </c>
      <c r="B327" s="1731" t="s">
        <v>714</v>
      </c>
      <c r="C327" s="1732" t="s">
        <v>714</v>
      </c>
      <c r="D327" s="1732" t="s">
        <v>714</v>
      </c>
      <c r="E327" s="1732" t="s">
        <v>714</v>
      </c>
      <c r="F327" s="1732" t="s">
        <v>714</v>
      </c>
      <c r="G327" s="1732" t="s">
        <v>714</v>
      </c>
      <c r="H327" s="1733" t="s">
        <v>714</v>
      </c>
      <c r="I327" s="1709">
        <v>1250000</v>
      </c>
      <c r="J327" s="1710"/>
      <c r="K327" s="1711"/>
      <c r="L327" s="1712" t="s">
        <v>520</v>
      </c>
      <c r="M327" s="1713"/>
      <c r="N327" s="1714"/>
    </row>
    <row r="328" spans="1:14" ht="15.75">
      <c r="A328" s="135">
        <v>12841</v>
      </c>
      <c r="B328" s="1731" t="s">
        <v>715</v>
      </c>
      <c r="C328" s="1732" t="s">
        <v>715</v>
      </c>
      <c r="D328" s="1732" t="s">
        <v>715</v>
      </c>
      <c r="E328" s="1732" t="s">
        <v>715</v>
      </c>
      <c r="F328" s="1732" t="s">
        <v>715</v>
      </c>
      <c r="G328" s="1732" t="s">
        <v>715</v>
      </c>
      <c r="H328" s="1733" t="s">
        <v>715</v>
      </c>
      <c r="I328" s="1709">
        <v>1000000</v>
      </c>
      <c r="J328" s="1710"/>
      <c r="K328" s="1711"/>
      <c r="L328" s="1712" t="s">
        <v>520</v>
      </c>
      <c r="M328" s="1713"/>
      <c r="N328" s="1714"/>
    </row>
    <row r="329" spans="1:14" ht="15.75">
      <c r="A329" s="741"/>
      <c r="B329" s="1731"/>
      <c r="C329" s="1732"/>
      <c r="D329" s="1732"/>
      <c r="E329" s="1732"/>
      <c r="F329" s="1732"/>
      <c r="G329" s="1732"/>
      <c r="H329" s="1733"/>
      <c r="I329" s="1709"/>
      <c r="J329" s="1710"/>
      <c r="K329" s="1711"/>
      <c r="L329" s="1712"/>
      <c r="M329" s="1713"/>
      <c r="N329" s="1714"/>
    </row>
    <row r="330" spans="1:14" ht="18">
      <c r="A330" s="14"/>
      <c r="B330" s="1700" t="s">
        <v>34</v>
      </c>
      <c r="C330" s="1701"/>
      <c r="D330" s="1701"/>
      <c r="E330" s="1701"/>
      <c r="F330" s="1701"/>
      <c r="G330" s="1701"/>
      <c r="H330" s="1702"/>
      <c r="I330" s="1703">
        <v>17330000</v>
      </c>
      <c r="J330" s="1734"/>
      <c r="K330" s="1735"/>
      <c r="L330" s="1725"/>
      <c r="M330" s="1726"/>
      <c r="N330" s="1727"/>
    </row>
    <row r="334" spans="1:14">
      <c r="A334" s="1718" t="s">
        <v>4436</v>
      </c>
      <c r="B334" s="1718"/>
      <c r="C334" s="1718"/>
      <c r="D334" s="1718"/>
      <c r="E334" s="1718"/>
      <c r="F334" s="1718"/>
      <c r="G334" s="1718"/>
      <c r="H334" s="1718"/>
      <c r="I334" s="1718"/>
      <c r="J334" s="1718"/>
      <c r="K334" s="1718"/>
      <c r="L334" s="1718"/>
      <c r="M334" s="1718"/>
      <c r="N334" s="1718"/>
    </row>
    <row r="335" spans="1:14">
      <c r="A335" s="1719"/>
      <c r="B335" s="1719"/>
      <c r="C335" s="1719"/>
      <c r="D335" s="1719"/>
      <c r="E335" s="1719"/>
      <c r="F335" s="1719"/>
      <c r="G335" s="1719"/>
      <c r="H335" s="1719"/>
      <c r="I335" s="1719"/>
      <c r="J335" s="1719"/>
      <c r="K335" s="1719"/>
      <c r="L335" s="1719"/>
      <c r="M335" s="1719"/>
      <c r="N335" s="1719"/>
    </row>
    <row r="336" spans="1:14">
      <c r="A336" s="606" t="s">
        <v>120</v>
      </c>
      <c r="B336" s="1720" t="s">
        <v>5</v>
      </c>
      <c r="C336" s="1720"/>
      <c r="D336" s="1720"/>
      <c r="E336" s="1720"/>
      <c r="F336" s="1720"/>
      <c r="G336" s="1720"/>
      <c r="H336" s="1720"/>
      <c r="I336" s="1720" t="s">
        <v>4410</v>
      </c>
      <c r="J336" s="1720"/>
      <c r="K336" s="1720"/>
      <c r="L336" s="1720" t="s">
        <v>4411</v>
      </c>
      <c r="M336" s="1720"/>
      <c r="N336" s="1720"/>
    </row>
    <row r="337" spans="1:14" ht="15.75">
      <c r="A337" s="135">
        <v>12699</v>
      </c>
      <c r="B337" s="1706" t="s">
        <v>672</v>
      </c>
      <c r="C337" s="1707" t="s">
        <v>672</v>
      </c>
      <c r="D337" s="1707" t="s">
        <v>672</v>
      </c>
      <c r="E337" s="1707" t="s">
        <v>672</v>
      </c>
      <c r="F337" s="1707" t="s">
        <v>672</v>
      </c>
      <c r="G337" s="1707" t="s">
        <v>672</v>
      </c>
      <c r="H337" s="1708" t="s">
        <v>672</v>
      </c>
      <c r="I337" s="1709">
        <v>1500000</v>
      </c>
      <c r="J337" s="1710"/>
      <c r="K337" s="1711"/>
      <c r="L337" s="1728" t="s">
        <v>180</v>
      </c>
      <c r="M337" s="1729"/>
      <c r="N337" s="1730"/>
    </row>
    <row r="338" spans="1:14" ht="15.75">
      <c r="A338" s="135">
        <v>12710</v>
      </c>
      <c r="B338" s="1706" t="s">
        <v>674</v>
      </c>
      <c r="C338" s="1707" t="s">
        <v>674</v>
      </c>
      <c r="D338" s="1707" t="s">
        <v>674</v>
      </c>
      <c r="E338" s="1707" t="s">
        <v>674</v>
      </c>
      <c r="F338" s="1707" t="s">
        <v>674</v>
      </c>
      <c r="G338" s="1707" t="s">
        <v>674</v>
      </c>
      <c r="H338" s="1708" t="s">
        <v>674</v>
      </c>
      <c r="I338" s="1709">
        <v>1250000</v>
      </c>
      <c r="J338" s="1710"/>
      <c r="K338" s="1711"/>
      <c r="L338" s="1712" t="s">
        <v>180</v>
      </c>
      <c r="M338" s="1713"/>
      <c r="N338" s="1714"/>
    </row>
    <row r="339" spans="1:14" ht="15.75">
      <c r="A339" s="135">
        <v>12774</v>
      </c>
      <c r="B339" s="1706" t="s">
        <v>678</v>
      </c>
      <c r="C339" s="1707"/>
      <c r="D339" s="1707"/>
      <c r="E339" s="1707"/>
      <c r="F339" s="1707"/>
      <c r="G339" s="1707"/>
      <c r="H339" s="1708"/>
      <c r="I339" s="1709">
        <v>1400000</v>
      </c>
      <c r="J339" s="1710"/>
      <c r="K339" s="1711"/>
      <c r="L339" s="1712" t="s">
        <v>180</v>
      </c>
      <c r="M339" s="1713"/>
      <c r="N339" s="1714"/>
    </row>
    <row r="340" spans="1:14" ht="15.75">
      <c r="A340" s="135">
        <v>12828</v>
      </c>
      <c r="B340" s="1706" t="s">
        <v>682</v>
      </c>
      <c r="C340" s="1707"/>
      <c r="D340" s="1707"/>
      <c r="E340" s="1707"/>
      <c r="F340" s="1707"/>
      <c r="G340" s="1707"/>
      <c r="H340" s="1708"/>
      <c r="I340" s="1709">
        <v>1400000</v>
      </c>
      <c r="J340" s="1710"/>
      <c r="K340" s="1711"/>
      <c r="L340" s="1712" t="s">
        <v>180</v>
      </c>
      <c r="M340" s="1713"/>
      <c r="N340" s="1714"/>
    </row>
    <row r="341" spans="1:14" ht="15.75">
      <c r="A341" s="135">
        <v>12854</v>
      </c>
      <c r="B341" s="1706" t="s">
        <v>683</v>
      </c>
      <c r="C341" s="1707" t="s">
        <v>683</v>
      </c>
      <c r="D341" s="1707" t="s">
        <v>683</v>
      </c>
      <c r="E341" s="1707" t="s">
        <v>683</v>
      </c>
      <c r="F341" s="1707" t="s">
        <v>683</v>
      </c>
      <c r="G341" s="1707" t="s">
        <v>683</v>
      </c>
      <c r="H341" s="1708" t="s">
        <v>683</v>
      </c>
      <c r="I341" s="1709">
        <v>1650000</v>
      </c>
      <c r="J341" s="1710"/>
      <c r="K341" s="1711"/>
      <c r="L341" s="1712" t="s">
        <v>180</v>
      </c>
      <c r="M341" s="1713"/>
      <c r="N341" s="1714"/>
    </row>
    <row r="342" spans="1:14" ht="15.75">
      <c r="A342" s="135">
        <v>12859</v>
      </c>
      <c r="B342" s="1706" t="s">
        <v>684</v>
      </c>
      <c r="C342" s="1707" t="s">
        <v>684</v>
      </c>
      <c r="D342" s="1707" t="s">
        <v>684</v>
      </c>
      <c r="E342" s="1707" t="s">
        <v>684</v>
      </c>
      <c r="F342" s="1707" t="s">
        <v>684</v>
      </c>
      <c r="G342" s="1707" t="s">
        <v>684</v>
      </c>
      <c r="H342" s="1708" t="s">
        <v>684</v>
      </c>
      <c r="I342" s="1709">
        <v>1500000</v>
      </c>
      <c r="J342" s="1710"/>
      <c r="K342" s="1711"/>
      <c r="L342" s="1712" t="s">
        <v>180</v>
      </c>
      <c r="M342" s="1713"/>
      <c r="N342" s="1714"/>
    </row>
    <row r="343" spans="1:14" ht="15.75">
      <c r="A343" s="135">
        <v>12862</v>
      </c>
      <c r="B343" s="1706" t="s">
        <v>685</v>
      </c>
      <c r="C343" s="1707"/>
      <c r="D343" s="1707"/>
      <c r="E343" s="1707"/>
      <c r="F343" s="1707"/>
      <c r="G343" s="1707"/>
      <c r="H343" s="1708"/>
      <c r="I343" s="1709">
        <v>750000</v>
      </c>
      <c r="J343" s="1710"/>
      <c r="K343" s="1711"/>
      <c r="L343" s="1712" t="s">
        <v>180</v>
      </c>
      <c r="M343" s="1713"/>
      <c r="N343" s="1714"/>
    </row>
    <row r="344" spans="1:14" ht="15.75">
      <c r="A344" s="135">
        <v>12848</v>
      </c>
      <c r="B344" s="1706" t="s">
        <v>687</v>
      </c>
      <c r="C344" s="1707"/>
      <c r="D344" s="1707"/>
      <c r="E344" s="1707"/>
      <c r="F344" s="1707"/>
      <c r="G344" s="1707"/>
      <c r="H344" s="1708"/>
      <c r="I344" s="1709">
        <v>1150000</v>
      </c>
      <c r="J344" s="1710"/>
      <c r="K344" s="1711"/>
      <c r="L344" s="1712" t="s">
        <v>180</v>
      </c>
      <c r="M344" s="1713"/>
      <c r="N344" s="1714"/>
    </row>
    <row r="345" spans="1:14" ht="15.75">
      <c r="A345" s="135">
        <v>12871</v>
      </c>
      <c r="B345" s="1706" t="s">
        <v>689</v>
      </c>
      <c r="C345" s="1707"/>
      <c r="D345" s="1707"/>
      <c r="E345" s="1707"/>
      <c r="F345" s="1707"/>
      <c r="G345" s="1707"/>
      <c r="H345" s="1708"/>
      <c r="I345" s="1709">
        <v>1000000</v>
      </c>
      <c r="J345" s="1710"/>
      <c r="K345" s="1711"/>
      <c r="L345" s="1712" t="s">
        <v>180</v>
      </c>
      <c r="M345" s="1713"/>
      <c r="N345" s="1714"/>
    </row>
    <row r="346" spans="1:14" ht="15.75">
      <c r="A346" s="135">
        <v>12864</v>
      </c>
      <c r="B346" s="1706" t="s">
        <v>4437</v>
      </c>
      <c r="C346" s="1707"/>
      <c r="D346" s="1707"/>
      <c r="E346" s="1707"/>
      <c r="F346" s="1707"/>
      <c r="G346" s="1707"/>
      <c r="H346" s="1708"/>
      <c r="I346" s="1709">
        <v>1350000</v>
      </c>
      <c r="J346" s="1710"/>
      <c r="K346" s="1711"/>
      <c r="L346" s="1712" t="s">
        <v>286</v>
      </c>
      <c r="M346" s="1713"/>
      <c r="N346" s="1714"/>
    </row>
    <row r="347" spans="1:14" ht="15.75">
      <c r="A347" s="135">
        <v>12678</v>
      </c>
      <c r="B347" s="1706" t="s">
        <v>707</v>
      </c>
      <c r="C347" s="1707" t="s">
        <v>707</v>
      </c>
      <c r="D347" s="1707" t="s">
        <v>707</v>
      </c>
      <c r="E347" s="1707" t="s">
        <v>707</v>
      </c>
      <c r="F347" s="1707" t="s">
        <v>707</v>
      </c>
      <c r="G347" s="1707" t="s">
        <v>707</v>
      </c>
      <c r="H347" s="1708" t="s">
        <v>707</v>
      </c>
      <c r="I347" s="1709">
        <v>1400000</v>
      </c>
      <c r="J347" s="1710">
        <v>1400000</v>
      </c>
      <c r="K347" s="1711">
        <v>1400000</v>
      </c>
      <c r="L347" s="1712" t="s">
        <v>311</v>
      </c>
      <c r="M347" s="1713"/>
      <c r="N347" s="1714"/>
    </row>
    <row r="348" spans="1:14" ht="15.75">
      <c r="A348" s="135">
        <v>12702</v>
      </c>
      <c r="B348" s="1706" t="s">
        <v>708</v>
      </c>
      <c r="C348" s="1707" t="s">
        <v>708</v>
      </c>
      <c r="D348" s="1707" t="s">
        <v>708</v>
      </c>
      <c r="E348" s="1707" t="s">
        <v>708</v>
      </c>
      <c r="F348" s="1707" t="s">
        <v>708</v>
      </c>
      <c r="G348" s="1707" t="s">
        <v>708</v>
      </c>
      <c r="H348" s="1708" t="s">
        <v>708</v>
      </c>
      <c r="I348" s="1709">
        <v>1350000</v>
      </c>
      <c r="J348" s="1710">
        <v>1350000</v>
      </c>
      <c r="K348" s="1711">
        <v>1350000</v>
      </c>
      <c r="L348" s="1712" t="s">
        <v>311</v>
      </c>
      <c r="M348" s="1713"/>
      <c r="N348" s="1714"/>
    </row>
    <row r="349" spans="1:14" ht="15.75">
      <c r="A349" s="135">
        <v>12714</v>
      </c>
      <c r="B349" s="1706" t="s">
        <v>709</v>
      </c>
      <c r="C349" s="1707" t="s">
        <v>709</v>
      </c>
      <c r="D349" s="1707" t="s">
        <v>709</v>
      </c>
      <c r="E349" s="1707" t="s">
        <v>709</v>
      </c>
      <c r="F349" s="1707" t="s">
        <v>709</v>
      </c>
      <c r="G349" s="1707" t="s">
        <v>709</v>
      </c>
      <c r="H349" s="1708" t="s">
        <v>709</v>
      </c>
      <c r="I349" s="1709">
        <v>1350000</v>
      </c>
      <c r="J349" s="1710">
        <v>1350000</v>
      </c>
      <c r="K349" s="1711">
        <v>1350000</v>
      </c>
      <c r="L349" s="1712" t="s">
        <v>311</v>
      </c>
      <c r="M349" s="1713"/>
      <c r="N349" s="1714"/>
    </row>
    <row r="350" spans="1:14" ht="15.75">
      <c r="A350" s="135">
        <v>12751</v>
      </c>
      <c r="B350" s="1706" t="s">
        <v>710</v>
      </c>
      <c r="C350" s="1707" t="s">
        <v>710</v>
      </c>
      <c r="D350" s="1707" t="s">
        <v>710</v>
      </c>
      <c r="E350" s="1707" t="s">
        <v>710</v>
      </c>
      <c r="F350" s="1707" t="s">
        <v>710</v>
      </c>
      <c r="G350" s="1707" t="s">
        <v>710</v>
      </c>
      <c r="H350" s="1708" t="s">
        <v>710</v>
      </c>
      <c r="I350" s="1709">
        <v>1400000</v>
      </c>
      <c r="J350" s="1710">
        <v>1400000</v>
      </c>
      <c r="K350" s="1711">
        <v>1400000</v>
      </c>
      <c r="L350" s="1715" t="s">
        <v>311</v>
      </c>
      <c r="M350" s="1716"/>
      <c r="N350" s="1717"/>
    </row>
    <row r="351" spans="1:14" ht="15.75">
      <c r="A351" s="135">
        <v>12780</v>
      </c>
      <c r="B351" s="1706" t="s">
        <v>713</v>
      </c>
      <c r="C351" s="1707"/>
      <c r="D351" s="1707"/>
      <c r="E351" s="1707"/>
      <c r="F351" s="1707"/>
      <c r="G351" s="1707"/>
      <c r="H351" s="1708"/>
      <c r="I351" s="1709">
        <v>1400000</v>
      </c>
      <c r="J351" s="1710"/>
      <c r="K351" s="1711"/>
      <c r="L351" s="1712" t="s">
        <v>520</v>
      </c>
      <c r="M351" s="1713"/>
      <c r="N351" s="1714"/>
    </row>
    <row r="352" spans="1:14" ht="15.75">
      <c r="A352" s="135">
        <v>12857</v>
      </c>
      <c r="B352" s="1706" t="s">
        <v>716</v>
      </c>
      <c r="C352" s="1707"/>
      <c r="D352" s="1707"/>
      <c r="E352" s="1707"/>
      <c r="F352" s="1707"/>
      <c r="G352" s="1707"/>
      <c r="H352" s="1708"/>
      <c r="I352" s="1709">
        <v>1350000</v>
      </c>
      <c r="J352" s="1710"/>
      <c r="K352" s="1711"/>
      <c r="L352" s="1712" t="s">
        <v>520</v>
      </c>
      <c r="M352" s="1713"/>
      <c r="N352" s="1714"/>
    </row>
    <row r="353" spans="1:14" ht="15.75">
      <c r="A353" s="135">
        <v>12885</v>
      </c>
      <c r="B353" s="1706" t="s">
        <v>722</v>
      </c>
      <c r="C353" s="1707"/>
      <c r="D353" s="1707"/>
      <c r="E353" s="1707"/>
      <c r="F353" s="1707"/>
      <c r="G353" s="1707"/>
      <c r="H353" s="1708"/>
      <c r="I353" s="1709">
        <v>1100000</v>
      </c>
      <c r="J353" s="1710"/>
      <c r="K353" s="1711"/>
      <c r="L353" s="1712" t="s">
        <v>30</v>
      </c>
      <c r="M353" s="1713"/>
      <c r="N353" s="1714"/>
    </row>
    <row r="354" spans="1:14" ht="15.75">
      <c r="A354" s="135"/>
      <c r="B354" s="1706"/>
      <c r="C354" s="1707"/>
      <c r="D354" s="1707"/>
      <c r="E354" s="1707"/>
      <c r="F354" s="1707"/>
      <c r="G354" s="1707"/>
      <c r="H354" s="1708"/>
      <c r="I354" s="1709"/>
      <c r="J354" s="1710"/>
      <c r="K354" s="1711"/>
      <c r="L354" s="1712"/>
      <c r="M354" s="1713"/>
      <c r="N354" s="1714"/>
    </row>
    <row r="355" spans="1:14" ht="18">
      <c r="A355" s="14"/>
      <c r="B355" s="1700" t="s">
        <v>34</v>
      </c>
      <c r="C355" s="1701"/>
      <c r="D355" s="1701"/>
      <c r="E355" s="1701"/>
      <c r="F355" s="1701"/>
      <c r="G355" s="1701"/>
      <c r="H355" s="1702"/>
      <c r="I355" s="1703">
        <v>22300000</v>
      </c>
      <c r="J355" s="1704"/>
      <c r="K355" s="1705"/>
      <c r="L355" s="1725"/>
      <c r="M355" s="1726"/>
      <c r="N355" s="1727"/>
    </row>
    <row r="356" spans="1:14">
      <c r="L356" s="84"/>
      <c r="M356" s="84"/>
      <c r="N356" s="84"/>
    </row>
    <row r="357" spans="1:14">
      <c r="A357" s="1721" t="s">
        <v>4438</v>
      </c>
      <c r="B357" s="1721"/>
      <c r="C357" s="1721"/>
      <c r="D357" s="1721"/>
      <c r="E357" s="1721"/>
      <c r="F357" s="1721"/>
      <c r="G357" s="1721"/>
      <c r="H357" s="1721"/>
      <c r="I357" s="1721"/>
      <c r="J357" s="1721"/>
      <c r="K357" s="1721"/>
      <c r="L357" s="1721"/>
      <c r="M357" s="1721"/>
      <c r="N357" s="1721"/>
    </row>
    <row r="358" spans="1:14">
      <c r="A358" s="1721"/>
      <c r="B358" s="1721"/>
      <c r="C358" s="1721"/>
      <c r="D358" s="1721"/>
      <c r="E358" s="1721"/>
      <c r="F358" s="1721"/>
      <c r="G358" s="1721"/>
      <c r="H358" s="1721"/>
      <c r="I358" s="1721"/>
      <c r="J358" s="1721"/>
      <c r="K358" s="1721"/>
      <c r="L358" s="1721"/>
      <c r="M358" s="1721"/>
      <c r="N358" s="1721"/>
    </row>
    <row r="360" spans="1:14">
      <c r="A360" s="1718" t="s">
        <v>4439</v>
      </c>
      <c r="B360" s="1718"/>
      <c r="C360" s="1718"/>
      <c r="D360" s="1718"/>
      <c r="E360" s="1718"/>
      <c r="F360" s="1718"/>
      <c r="G360" s="1718"/>
      <c r="H360" s="1718"/>
      <c r="I360" s="1718"/>
      <c r="J360" s="1718"/>
      <c r="K360" s="1718"/>
      <c r="L360" s="1718"/>
      <c r="M360" s="1718"/>
      <c r="N360" s="1718"/>
    </row>
    <row r="361" spans="1:14">
      <c r="A361" s="1718"/>
      <c r="B361" s="1718"/>
      <c r="C361" s="1718"/>
      <c r="D361" s="1718"/>
      <c r="E361" s="1718"/>
      <c r="F361" s="1718"/>
      <c r="G361" s="1718"/>
      <c r="H361" s="1718"/>
      <c r="I361" s="1718"/>
      <c r="J361" s="1718"/>
      <c r="K361" s="1718"/>
      <c r="L361" s="1718"/>
      <c r="M361" s="1718"/>
      <c r="N361" s="1718"/>
    </row>
    <row r="362" spans="1:14">
      <c r="A362" s="615" t="s">
        <v>120</v>
      </c>
      <c r="B362" s="1722" t="s">
        <v>5</v>
      </c>
      <c r="C362" s="1722"/>
      <c r="D362" s="1722"/>
      <c r="E362" s="1722"/>
      <c r="F362" s="1722"/>
      <c r="G362" s="1722"/>
      <c r="H362" s="1722"/>
      <c r="I362" s="1723" t="s">
        <v>4410</v>
      </c>
      <c r="J362" s="1724"/>
      <c r="K362" s="1724"/>
      <c r="L362" s="1722" t="s">
        <v>4411</v>
      </c>
      <c r="M362" s="1722"/>
      <c r="N362" s="1722"/>
    </row>
    <row r="363" spans="1:14" ht="15.75">
      <c r="A363" s="701">
        <v>12926</v>
      </c>
      <c r="B363" s="1706" t="s">
        <v>728</v>
      </c>
      <c r="C363" s="1707"/>
      <c r="D363" s="1707"/>
      <c r="E363" s="1707"/>
      <c r="F363" s="1707"/>
      <c r="G363" s="1707"/>
      <c r="H363" s="1708"/>
      <c r="I363" s="1709">
        <v>1150000</v>
      </c>
      <c r="J363" s="1710"/>
      <c r="K363" s="1711"/>
      <c r="L363" s="1712" t="s">
        <v>180</v>
      </c>
      <c r="M363" s="1713"/>
      <c r="N363" s="1714"/>
    </row>
    <row r="364" spans="1:14" ht="15.75">
      <c r="A364" s="135">
        <v>12951</v>
      </c>
      <c r="B364" s="1706" t="s">
        <v>731</v>
      </c>
      <c r="C364" s="1707"/>
      <c r="D364" s="1707"/>
      <c r="E364" s="1707"/>
      <c r="F364" s="1707"/>
      <c r="G364" s="1707"/>
      <c r="H364" s="1708"/>
      <c r="I364" s="1709">
        <v>1500000</v>
      </c>
      <c r="J364" s="1710"/>
      <c r="K364" s="1711"/>
      <c r="L364" s="1712" t="s">
        <v>180</v>
      </c>
      <c r="M364" s="1713"/>
      <c r="N364" s="1714"/>
    </row>
    <row r="365" spans="1:14" ht="15.75">
      <c r="A365" s="701">
        <v>12931</v>
      </c>
      <c r="B365" s="1706" t="s">
        <v>732</v>
      </c>
      <c r="C365" s="1707"/>
      <c r="D365" s="1707"/>
      <c r="E365" s="1707"/>
      <c r="F365" s="1707"/>
      <c r="G365" s="1707"/>
      <c r="H365" s="1708"/>
      <c r="I365" s="1709">
        <v>800000</v>
      </c>
      <c r="J365" s="1710"/>
      <c r="K365" s="1711"/>
      <c r="L365" s="1712" t="s">
        <v>180</v>
      </c>
      <c r="M365" s="1713"/>
      <c r="N365" s="1714"/>
    </row>
    <row r="366" spans="1:14" ht="15.75">
      <c r="A366" s="701">
        <v>12946</v>
      </c>
      <c r="B366" s="1706" t="s">
        <v>733</v>
      </c>
      <c r="C366" s="1707"/>
      <c r="D366" s="1707"/>
      <c r="E366" s="1707"/>
      <c r="F366" s="1707"/>
      <c r="G366" s="1707"/>
      <c r="H366" s="1708"/>
      <c r="I366" s="1709">
        <v>1300000</v>
      </c>
      <c r="J366" s="1710"/>
      <c r="K366" s="1711"/>
      <c r="L366" s="1712" t="s">
        <v>180</v>
      </c>
      <c r="M366" s="1713"/>
      <c r="N366" s="1714"/>
    </row>
    <row r="367" spans="1:14" ht="15.75">
      <c r="A367" s="135">
        <v>13037</v>
      </c>
      <c r="B367" s="1706" t="s">
        <v>739</v>
      </c>
      <c r="C367" s="1707"/>
      <c r="D367" s="1707"/>
      <c r="E367" s="1707"/>
      <c r="F367" s="1707"/>
      <c r="G367" s="1707"/>
      <c r="H367" s="1708"/>
      <c r="I367" s="1709">
        <v>1300000</v>
      </c>
      <c r="J367" s="1710"/>
      <c r="K367" s="1711"/>
      <c r="L367" s="1712" t="s">
        <v>180</v>
      </c>
      <c r="M367" s="1713"/>
      <c r="N367" s="1714"/>
    </row>
    <row r="368" spans="1:14" ht="15.75">
      <c r="A368" s="135">
        <v>13045</v>
      </c>
      <c r="B368" s="1706" t="s">
        <v>742</v>
      </c>
      <c r="C368" s="1707"/>
      <c r="D368" s="1707"/>
      <c r="E368" s="1707"/>
      <c r="F368" s="1707"/>
      <c r="G368" s="1707"/>
      <c r="H368" s="1708"/>
      <c r="I368" s="1709">
        <v>1650000</v>
      </c>
      <c r="J368" s="1710"/>
      <c r="K368" s="1711"/>
      <c r="L368" s="1712" t="s">
        <v>180</v>
      </c>
      <c r="M368" s="1713"/>
      <c r="N368" s="1714"/>
    </row>
    <row r="369" spans="1:14" ht="15.75">
      <c r="A369" s="135">
        <v>13113</v>
      </c>
      <c r="B369" s="1706" t="s">
        <v>744</v>
      </c>
      <c r="C369" s="1707"/>
      <c r="D369" s="1707"/>
      <c r="E369" s="1707"/>
      <c r="F369" s="1707"/>
      <c r="G369" s="1707"/>
      <c r="H369" s="1708"/>
      <c r="I369" s="1709">
        <v>1000000</v>
      </c>
      <c r="J369" s="1710"/>
      <c r="K369" s="1711"/>
      <c r="L369" s="1712" t="s">
        <v>180</v>
      </c>
      <c r="M369" s="1713"/>
      <c r="N369" s="1714"/>
    </row>
    <row r="370" spans="1:14" ht="15.75">
      <c r="A370" s="701">
        <v>12917</v>
      </c>
      <c r="B370" s="1706" t="s">
        <v>755</v>
      </c>
      <c r="C370" s="1707"/>
      <c r="D370" s="1707"/>
      <c r="E370" s="1707"/>
      <c r="F370" s="1707"/>
      <c r="G370" s="1707"/>
      <c r="H370" s="1708"/>
      <c r="I370" s="1709">
        <v>1300000</v>
      </c>
      <c r="J370" s="1710"/>
      <c r="K370" s="1711"/>
      <c r="L370" s="1715" t="s">
        <v>286</v>
      </c>
      <c r="M370" s="1716"/>
      <c r="N370" s="1717"/>
    </row>
    <row r="371" spans="1:14" ht="15.75">
      <c r="A371" s="135">
        <v>12947</v>
      </c>
      <c r="B371" s="1706" t="s">
        <v>756</v>
      </c>
      <c r="C371" s="1707"/>
      <c r="D371" s="1707"/>
      <c r="E371" s="1707"/>
      <c r="F371" s="1707"/>
      <c r="G371" s="1707"/>
      <c r="H371" s="1708"/>
      <c r="I371" s="1709">
        <v>1700000</v>
      </c>
      <c r="J371" s="1710"/>
      <c r="K371" s="1711"/>
      <c r="L371" s="1715" t="s">
        <v>286</v>
      </c>
      <c r="M371" s="1716"/>
      <c r="N371" s="1717"/>
    </row>
    <row r="372" spans="1:14" ht="15.75">
      <c r="A372" s="135">
        <v>13081</v>
      </c>
      <c r="B372" s="1706" t="s">
        <v>759</v>
      </c>
      <c r="C372" s="1707"/>
      <c r="D372" s="1707"/>
      <c r="E372" s="1707"/>
      <c r="F372" s="1707"/>
      <c r="G372" s="1707"/>
      <c r="H372" s="1708"/>
      <c r="I372" s="1709">
        <v>1300000</v>
      </c>
      <c r="J372" s="1710"/>
      <c r="K372" s="1711"/>
      <c r="L372" s="1715" t="s">
        <v>286</v>
      </c>
      <c r="M372" s="1716"/>
      <c r="N372" s="1717"/>
    </row>
    <row r="373" spans="1:14" ht="15.75">
      <c r="A373" s="135">
        <v>13122</v>
      </c>
      <c r="B373" s="1706" t="s">
        <v>759</v>
      </c>
      <c r="C373" s="1707"/>
      <c r="D373" s="1707"/>
      <c r="E373" s="1707"/>
      <c r="F373" s="1707"/>
      <c r="G373" s="1707"/>
      <c r="H373" s="1708"/>
      <c r="I373" s="1709">
        <v>1500000</v>
      </c>
      <c r="J373" s="1710"/>
      <c r="K373" s="1711"/>
      <c r="L373" s="1715" t="s">
        <v>286</v>
      </c>
      <c r="M373" s="1716"/>
      <c r="N373" s="1717"/>
    </row>
    <row r="374" spans="1:14" ht="15.75">
      <c r="A374" s="135">
        <v>13114</v>
      </c>
      <c r="B374" s="1706" t="s">
        <v>729</v>
      </c>
      <c r="C374" s="1707"/>
      <c r="D374" s="1707"/>
      <c r="E374" s="1707"/>
      <c r="F374" s="1707"/>
      <c r="G374" s="1707"/>
      <c r="H374" s="1708"/>
      <c r="I374" s="1709">
        <v>1100000</v>
      </c>
      <c r="J374" s="1710"/>
      <c r="K374" s="1711"/>
      <c r="L374" s="1712" t="s">
        <v>311</v>
      </c>
      <c r="M374" s="1713"/>
      <c r="N374" s="1714"/>
    </row>
    <row r="375" spans="1:14" ht="15.75">
      <c r="A375" s="135">
        <v>12905</v>
      </c>
      <c r="B375" s="1706" t="s">
        <v>727</v>
      </c>
      <c r="C375" s="1707"/>
      <c r="D375" s="1707"/>
      <c r="E375" s="1707"/>
      <c r="F375" s="1707"/>
      <c r="G375" s="1707"/>
      <c r="H375" s="1708"/>
      <c r="I375" s="1709">
        <v>1400000</v>
      </c>
      <c r="J375" s="1710"/>
      <c r="K375" s="1711"/>
      <c r="L375" s="1712" t="s">
        <v>520</v>
      </c>
      <c r="M375" s="1713"/>
      <c r="N375" s="1714"/>
    </row>
    <row r="376" spans="1:14" ht="15.75">
      <c r="A376" s="135">
        <v>13107</v>
      </c>
      <c r="B376" s="1706" t="s">
        <v>789</v>
      </c>
      <c r="C376" s="1707"/>
      <c r="D376" s="1707"/>
      <c r="E376" s="1707"/>
      <c r="F376" s="1707"/>
      <c r="G376" s="1707"/>
      <c r="H376" s="1708"/>
      <c r="I376" s="1709">
        <v>1750000</v>
      </c>
      <c r="J376" s="1710"/>
      <c r="K376" s="1711"/>
      <c r="L376" s="1712" t="s">
        <v>520</v>
      </c>
      <c r="M376" s="1713"/>
      <c r="N376" s="1714"/>
    </row>
    <row r="377" spans="1:14" ht="15.75">
      <c r="A377" s="135"/>
      <c r="B377" s="1706"/>
      <c r="C377" s="1707"/>
      <c r="D377" s="1707"/>
      <c r="E377" s="1707"/>
      <c r="F377" s="1707"/>
      <c r="G377" s="1707"/>
      <c r="H377" s="1708"/>
      <c r="I377" s="1709"/>
      <c r="J377" s="1710"/>
      <c r="K377" s="1711"/>
      <c r="L377" s="1712"/>
      <c r="M377" s="1713"/>
      <c r="N377" s="1714"/>
    </row>
    <row r="378" spans="1:14" ht="18">
      <c r="B378" s="1700" t="s">
        <v>34</v>
      </c>
      <c r="C378" s="1701"/>
      <c r="D378" s="1701"/>
      <c r="E378" s="1701"/>
      <c r="F378" s="1701"/>
      <c r="G378" s="1701"/>
      <c r="H378" s="1702"/>
      <c r="I378" s="1703">
        <f>SUM(I363:K377)</f>
        <v>18750000</v>
      </c>
      <c r="J378" s="1704"/>
      <c r="K378" s="1705"/>
    </row>
    <row r="381" spans="1:14">
      <c r="A381" s="1718" t="s">
        <v>4440</v>
      </c>
      <c r="B381" s="1718"/>
      <c r="C381" s="1718"/>
      <c r="D381" s="1718"/>
      <c r="E381" s="1718"/>
      <c r="F381" s="1718"/>
      <c r="G381" s="1718"/>
      <c r="H381" s="1718"/>
      <c r="I381" s="1718"/>
      <c r="J381" s="1718"/>
      <c r="K381" s="1718"/>
      <c r="L381" s="1718"/>
      <c r="M381" s="1718"/>
      <c r="N381" s="1718"/>
    </row>
    <row r="382" spans="1:14">
      <c r="A382" s="1719"/>
      <c r="B382" s="1719"/>
      <c r="C382" s="1719"/>
      <c r="D382" s="1719"/>
      <c r="E382" s="1719"/>
      <c r="F382" s="1719"/>
      <c r="G382" s="1719"/>
      <c r="H382" s="1719"/>
      <c r="I382" s="1719"/>
      <c r="J382" s="1719"/>
      <c r="K382" s="1719"/>
      <c r="L382" s="1719"/>
      <c r="M382" s="1719"/>
      <c r="N382" s="1719"/>
    </row>
    <row r="383" spans="1:14">
      <c r="A383" s="606" t="s">
        <v>120</v>
      </c>
      <c r="B383" s="1720" t="s">
        <v>5</v>
      </c>
      <c r="C383" s="1720"/>
      <c r="D383" s="1720"/>
      <c r="E383" s="1720"/>
      <c r="F383" s="1720"/>
      <c r="G383" s="1720"/>
      <c r="H383" s="1720"/>
      <c r="I383" s="1720" t="s">
        <v>4410</v>
      </c>
      <c r="J383" s="1720"/>
      <c r="K383" s="1720"/>
      <c r="L383" s="1720" t="s">
        <v>4411</v>
      </c>
      <c r="M383" s="1720"/>
      <c r="N383" s="1720"/>
    </row>
    <row r="384" spans="1:14" ht="15.75">
      <c r="A384" s="135" t="s">
        <v>725</v>
      </c>
      <c r="B384" s="1706" t="s">
        <v>726</v>
      </c>
      <c r="C384" s="1707"/>
      <c r="D384" s="1707"/>
      <c r="E384" s="1707"/>
      <c r="F384" s="1707"/>
      <c r="G384" s="1707"/>
      <c r="H384" s="1708"/>
      <c r="I384" s="1709">
        <v>1250000</v>
      </c>
      <c r="J384" s="1710"/>
      <c r="K384" s="1711"/>
      <c r="L384" s="1715" t="s">
        <v>180</v>
      </c>
      <c r="M384" s="1716"/>
      <c r="N384" s="1717"/>
    </row>
    <row r="385" spans="1:14" ht="15.75">
      <c r="A385" s="701">
        <v>12927</v>
      </c>
      <c r="B385" s="1706" t="s">
        <v>730</v>
      </c>
      <c r="C385" s="1707"/>
      <c r="D385" s="1707"/>
      <c r="E385" s="1707"/>
      <c r="F385" s="1707"/>
      <c r="G385" s="1707"/>
      <c r="H385" s="1708"/>
      <c r="I385" s="1709">
        <v>1150000</v>
      </c>
      <c r="J385" s="1710"/>
      <c r="K385" s="1711"/>
      <c r="L385" s="1715" t="s">
        <v>180</v>
      </c>
      <c r="M385" s="1716"/>
      <c r="N385" s="1717"/>
    </row>
    <row r="386" spans="1:14" ht="15.75">
      <c r="A386" s="701">
        <v>12959</v>
      </c>
      <c r="B386" s="1706" t="s">
        <v>734</v>
      </c>
      <c r="C386" s="1707"/>
      <c r="D386" s="1707"/>
      <c r="E386" s="1707"/>
      <c r="F386" s="1707"/>
      <c r="G386" s="1707"/>
      <c r="H386" s="1708"/>
      <c r="I386" s="1709">
        <v>1650000</v>
      </c>
      <c r="J386" s="1710"/>
      <c r="K386" s="1711"/>
      <c r="L386" s="1715" t="s">
        <v>180</v>
      </c>
      <c r="M386" s="1716"/>
      <c r="N386" s="1717"/>
    </row>
    <row r="387" spans="1:14" ht="15.75">
      <c r="A387" s="135">
        <v>13000</v>
      </c>
      <c r="B387" s="1706" t="s">
        <v>735</v>
      </c>
      <c r="C387" s="1707"/>
      <c r="D387" s="1707"/>
      <c r="E387" s="1707"/>
      <c r="F387" s="1707"/>
      <c r="G387" s="1707"/>
      <c r="H387" s="1708"/>
      <c r="I387" s="1709">
        <v>2700000</v>
      </c>
      <c r="J387" s="1710"/>
      <c r="K387" s="1711"/>
      <c r="L387" s="1715" t="s">
        <v>180</v>
      </c>
      <c r="M387" s="1716"/>
      <c r="N387" s="1717"/>
    </row>
    <row r="388" spans="1:14" ht="15.75">
      <c r="A388" s="135">
        <v>13003</v>
      </c>
      <c r="B388" s="1706" t="s">
        <v>736</v>
      </c>
      <c r="C388" s="1707"/>
      <c r="D388" s="1707"/>
      <c r="E388" s="1707"/>
      <c r="F388" s="1707"/>
      <c r="G388" s="1707"/>
      <c r="H388" s="1708"/>
      <c r="I388" s="1709">
        <v>1200000</v>
      </c>
      <c r="J388" s="1710"/>
      <c r="K388" s="1711"/>
      <c r="L388" s="1715" t="s">
        <v>180</v>
      </c>
      <c r="M388" s="1716"/>
      <c r="N388" s="1717"/>
    </row>
    <row r="389" spans="1:14" ht="15.75">
      <c r="A389" s="135">
        <v>13006</v>
      </c>
      <c r="B389" s="1706" t="s">
        <v>737</v>
      </c>
      <c r="C389" s="1707"/>
      <c r="D389" s="1707"/>
      <c r="E389" s="1707"/>
      <c r="F389" s="1707"/>
      <c r="G389" s="1707"/>
      <c r="H389" s="1708"/>
      <c r="I389" s="1709">
        <v>1400000</v>
      </c>
      <c r="J389" s="1710"/>
      <c r="K389" s="1711"/>
      <c r="L389" s="1715" t="s">
        <v>180</v>
      </c>
      <c r="M389" s="1716"/>
      <c r="N389" s="1717"/>
    </row>
    <row r="390" spans="1:14" ht="15.75">
      <c r="A390" s="135">
        <v>13011</v>
      </c>
      <c r="B390" s="1706" t="s">
        <v>738</v>
      </c>
      <c r="C390" s="1707"/>
      <c r="D390" s="1707"/>
      <c r="E390" s="1707"/>
      <c r="F390" s="1707"/>
      <c r="G390" s="1707"/>
      <c r="H390" s="1708"/>
      <c r="I390" s="1709">
        <v>1400000</v>
      </c>
      <c r="J390" s="1710"/>
      <c r="K390" s="1711"/>
      <c r="L390" s="1715" t="s">
        <v>180</v>
      </c>
      <c r="M390" s="1716"/>
      <c r="N390" s="1717"/>
    </row>
    <row r="391" spans="1:14" ht="15.75">
      <c r="A391" s="135">
        <v>13052</v>
      </c>
      <c r="B391" s="1706" t="s">
        <v>740</v>
      </c>
      <c r="C391" s="1707"/>
      <c r="D391" s="1707"/>
      <c r="E391" s="1707"/>
      <c r="F391" s="1707"/>
      <c r="G391" s="1707"/>
      <c r="H391" s="1708"/>
      <c r="I391" s="1709">
        <v>1450000</v>
      </c>
      <c r="J391" s="1710"/>
      <c r="K391" s="1711"/>
      <c r="L391" s="1715" t="s">
        <v>180</v>
      </c>
      <c r="M391" s="1716"/>
      <c r="N391" s="1717"/>
    </row>
    <row r="392" spans="1:14" ht="15.75">
      <c r="A392" s="135">
        <v>13091</v>
      </c>
      <c r="B392" s="1706" t="s">
        <v>743</v>
      </c>
      <c r="C392" s="1707"/>
      <c r="D392" s="1707"/>
      <c r="E392" s="1707"/>
      <c r="F392" s="1707"/>
      <c r="G392" s="1707"/>
      <c r="H392" s="1708"/>
      <c r="I392" s="1709">
        <v>1600000</v>
      </c>
      <c r="J392" s="1710"/>
      <c r="K392" s="1711"/>
      <c r="L392" s="1715" t="s">
        <v>180</v>
      </c>
      <c r="M392" s="1716"/>
      <c r="N392" s="1717"/>
    </row>
    <row r="393" spans="1:14" ht="15.75">
      <c r="A393" s="701">
        <v>12903</v>
      </c>
      <c r="B393" s="1706" t="s">
        <v>752</v>
      </c>
      <c r="C393" s="1707"/>
      <c r="D393" s="1707"/>
      <c r="E393" s="1707"/>
      <c r="F393" s="1707"/>
      <c r="G393" s="1707"/>
      <c r="H393" s="1708"/>
      <c r="I393" s="1709">
        <v>1250000</v>
      </c>
      <c r="J393" s="1710"/>
      <c r="K393" s="1711"/>
      <c r="L393" s="1715" t="s">
        <v>286</v>
      </c>
      <c r="M393" s="1716"/>
      <c r="N393" s="1717"/>
    </row>
    <row r="394" spans="1:14" ht="15.75">
      <c r="A394" s="135">
        <v>12919</v>
      </c>
      <c r="B394" s="1706" t="s">
        <v>754</v>
      </c>
      <c r="C394" s="1707"/>
      <c r="D394" s="1707"/>
      <c r="E394" s="1707"/>
      <c r="F394" s="1707"/>
      <c r="G394" s="1707"/>
      <c r="H394" s="1708"/>
      <c r="I394" s="1709">
        <v>1400000</v>
      </c>
      <c r="J394" s="1710"/>
      <c r="K394" s="1711"/>
      <c r="L394" s="1715" t="s">
        <v>286</v>
      </c>
      <c r="M394" s="1716"/>
      <c r="N394" s="1717"/>
    </row>
    <row r="395" spans="1:14" ht="15.75">
      <c r="A395" s="701">
        <v>13040</v>
      </c>
      <c r="B395" s="1706" t="s">
        <v>758</v>
      </c>
      <c r="C395" s="1707"/>
      <c r="D395" s="1707"/>
      <c r="E395" s="1707"/>
      <c r="F395" s="1707"/>
      <c r="G395" s="1707"/>
      <c r="H395" s="1708"/>
      <c r="I395" s="1709">
        <v>1400000</v>
      </c>
      <c r="J395" s="1710"/>
      <c r="K395" s="1711"/>
      <c r="L395" s="1715" t="s">
        <v>286</v>
      </c>
      <c r="M395" s="1716"/>
      <c r="N395" s="1717"/>
    </row>
    <row r="396" spans="1:14" ht="15.75">
      <c r="A396" s="701">
        <v>12918</v>
      </c>
      <c r="B396" s="1706" t="s">
        <v>765</v>
      </c>
      <c r="C396" s="1707"/>
      <c r="D396" s="1707"/>
      <c r="E396" s="1707"/>
      <c r="F396" s="1707"/>
      <c r="G396" s="1707"/>
      <c r="H396" s="1708"/>
      <c r="I396" s="1709">
        <v>1400000</v>
      </c>
      <c r="J396" s="1710"/>
      <c r="K396" s="1711"/>
      <c r="L396" s="1712" t="s">
        <v>311</v>
      </c>
      <c r="M396" s="1713"/>
      <c r="N396" s="1714"/>
    </row>
    <row r="397" spans="1:14" ht="15.75">
      <c r="A397" s="701">
        <v>12971</v>
      </c>
      <c r="B397" s="1706" t="s">
        <v>766</v>
      </c>
      <c r="C397" s="1707"/>
      <c r="D397" s="1707"/>
      <c r="E397" s="1707"/>
      <c r="F397" s="1707"/>
      <c r="G397" s="1707"/>
      <c r="H397" s="1708"/>
      <c r="I397" s="1709">
        <v>1350000</v>
      </c>
      <c r="J397" s="1710"/>
      <c r="K397" s="1711"/>
      <c r="L397" s="1712" t="s">
        <v>311</v>
      </c>
      <c r="M397" s="1713"/>
      <c r="N397" s="1714"/>
    </row>
    <row r="398" spans="1:14" ht="15.75">
      <c r="A398" s="135">
        <v>12985</v>
      </c>
      <c r="B398" s="1706" t="s">
        <v>767</v>
      </c>
      <c r="C398" s="1707"/>
      <c r="D398" s="1707"/>
      <c r="E398" s="1707"/>
      <c r="F398" s="1707"/>
      <c r="G398" s="1707"/>
      <c r="H398" s="1708"/>
      <c r="I398" s="1709">
        <v>1300000</v>
      </c>
      <c r="J398" s="1710"/>
      <c r="K398" s="1711"/>
      <c r="L398" s="1712" t="s">
        <v>311</v>
      </c>
      <c r="M398" s="1713"/>
      <c r="N398" s="1714"/>
    </row>
    <row r="399" spans="1:14" ht="15.75">
      <c r="A399" s="701">
        <v>12995</v>
      </c>
      <c r="B399" s="1706" t="s">
        <v>769</v>
      </c>
      <c r="C399" s="1707"/>
      <c r="D399" s="1707"/>
      <c r="E399" s="1707"/>
      <c r="F399" s="1707"/>
      <c r="G399" s="1707"/>
      <c r="H399" s="1708"/>
      <c r="I399" s="1709">
        <v>1100000</v>
      </c>
      <c r="J399" s="1710"/>
      <c r="K399" s="1711"/>
      <c r="L399" s="1712" t="s">
        <v>311</v>
      </c>
      <c r="M399" s="1713"/>
      <c r="N399" s="1714"/>
    </row>
    <row r="400" spans="1:14" ht="15.75">
      <c r="A400" s="701">
        <v>13029</v>
      </c>
      <c r="B400" s="1706" t="s">
        <v>770</v>
      </c>
      <c r="C400" s="1707"/>
      <c r="D400" s="1707"/>
      <c r="E400" s="1707"/>
      <c r="F400" s="1707"/>
      <c r="G400" s="1707"/>
      <c r="H400" s="1708"/>
      <c r="I400" s="1709">
        <v>800000</v>
      </c>
      <c r="J400" s="1710"/>
      <c r="K400" s="1711"/>
      <c r="L400" s="1712" t="s">
        <v>311</v>
      </c>
      <c r="M400" s="1713"/>
      <c r="N400" s="1714"/>
    </row>
    <row r="401" spans="1:14" ht="15.75">
      <c r="A401" s="144">
        <v>13047</v>
      </c>
      <c r="B401" s="1706" t="s">
        <v>771</v>
      </c>
      <c r="C401" s="1707"/>
      <c r="D401" s="1707"/>
      <c r="E401" s="1707"/>
      <c r="F401" s="1707"/>
      <c r="G401" s="1707"/>
      <c r="H401" s="1708"/>
      <c r="I401" s="1709">
        <v>1400000</v>
      </c>
      <c r="J401" s="1710"/>
      <c r="K401" s="1711"/>
      <c r="L401" s="1712" t="s">
        <v>311</v>
      </c>
      <c r="M401" s="1713"/>
      <c r="N401" s="1714"/>
    </row>
    <row r="402" spans="1:14" ht="15.75">
      <c r="A402" s="701">
        <v>13065</v>
      </c>
      <c r="B402" s="1706" t="s">
        <v>772</v>
      </c>
      <c r="C402" s="1707"/>
      <c r="D402" s="1707"/>
      <c r="E402" s="1707"/>
      <c r="F402" s="1707"/>
      <c r="G402" s="1707"/>
      <c r="H402" s="1708"/>
      <c r="I402" s="1709">
        <v>1400000</v>
      </c>
      <c r="J402" s="1710"/>
      <c r="K402" s="1711"/>
      <c r="L402" s="1712" t="s">
        <v>311</v>
      </c>
      <c r="M402" s="1713"/>
      <c r="N402" s="1714"/>
    </row>
    <row r="403" spans="1:14" ht="15.75">
      <c r="A403" s="135">
        <v>13069</v>
      </c>
      <c r="B403" s="1706" t="s">
        <v>773</v>
      </c>
      <c r="C403" s="1707"/>
      <c r="D403" s="1707"/>
      <c r="E403" s="1707"/>
      <c r="F403" s="1707"/>
      <c r="G403" s="1707"/>
      <c r="H403" s="1708"/>
      <c r="I403" s="1709">
        <v>1600000</v>
      </c>
      <c r="J403" s="1710"/>
      <c r="K403" s="1711"/>
      <c r="L403" s="1712" t="s">
        <v>311</v>
      </c>
      <c r="M403" s="1713"/>
      <c r="N403" s="1714"/>
    </row>
    <row r="404" spans="1:14" ht="15.75">
      <c r="A404" s="135">
        <v>13043</v>
      </c>
      <c r="B404" s="1706" t="s">
        <v>774</v>
      </c>
      <c r="C404" s="1707"/>
      <c r="D404" s="1707"/>
      <c r="E404" s="1707"/>
      <c r="F404" s="1707"/>
      <c r="G404" s="1707"/>
      <c r="H404" s="1708"/>
      <c r="I404" s="1709">
        <v>1000000</v>
      </c>
      <c r="J404" s="1710"/>
      <c r="K404" s="1711"/>
      <c r="L404" s="1712" t="s">
        <v>311</v>
      </c>
      <c r="M404" s="1713"/>
      <c r="N404" s="1714"/>
    </row>
    <row r="405" spans="1:14" ht="15.75">
      <c r="A405" s="135">
        <v>13075</v>
      </c>
      <c r="B405" s="1706" t="s">
        <v>775</v>
      </c>
      <c r="C405" s="1707"/>
      <c r="D405" s="1707"/>
      <c r="E405" s="1707"/>
      <c r="F405" s="1707"/>
      <c r="G405" s="1707"/>
      <c r="H405" s="1708"/>
      <c r="I405" s="1709">
        <v>750000</v>
      </c>
      <c r="J405" s="1710"/>
      <c r="K405" s="1711"/>
      <c r="L405" s="1712" t="s">
        <v>311</v>
      </c>
      <c r="M405" s="1713"/>
      <c r="N405" s="1714"/>
    </row>
    <row r="406" spans="1:14" ht="15.75">
      <c r="A406" s="135">
        <v>13127</v>
      </c>
      <c r="B406" s="1706" t="s">
        <v>776</v>
      </c>
      <c r="C406" s="1707"/>
      <c r="D406" s="1707"/>
      <c r="E406" s="1707"/>
      <c r="F406" s="1707"/>
      <c r="G406" s="1707"/>
      <c r="H406" s="1708"/>
      <c r="I406" s="1709">
        <v>750000</v>
      </c>
      <c r="J406" s="1710"/>
      <c r="K406" s="1711"/>
      <c r="L406" s="1712" t="s">
        <v>520</v>
      </c>
      <c r="M406" s="1713"/>
      <c r="N406" s="1714"/>
    </row>
    <row r="407" spans="1:14" ht="15.75">
      <c r="A407" s="701" t="s">
        <v>786</v>
      </c>
      <c r="B407" s="1706" t="s">
        <v>787</v>
      </c>
      <c r="C407" s="1707"/>
      <c r="D407" s="1707"/>
      <c r="E407" s="1707"/>
      <c r="F407" s="1707"/>
      <c r="G407" s="1707"/>
      <c r="H407" s="1708"/>
      <c r="I407" s="1709">
        <v>1700000</v>
      </c>
      <c r="J407" s="1710"/>
      <c r="K407" s="1711"/>
      <c r="L407" s="1712" t="s">
        <v>520</v>
      </c>
      <c r="M407" s="1713"/>
      <c r="N407" s="1714"/>
    </row>
    <row r="408" spans="1:14" ht="15.75">
      <c r="A408" s="701">
        <v>13087</v>
      </c>
      <c r="B408" s="1706" t="s">
        <v>788</v>
      </c>
      <c r="C408" s="1707"/>
      <c r="D408" s="1707"/>
      <c r="E408" s="1707"/>
      <c r="F408" s="1707"/>
      <c r="G408" s="1707"/>
      <c r="H408" s="1708"/>
      <c r="I408" s="1709">
        <v>1100000</v>
      </c>
      <c r="J408" s="1710"/>
      <c r="K408" s="1711"/>
      <c r="L408" s="1712"/>
      <c r="M408" s="1713"/>
      <c r="N408" s="1714"/>
    </row>
    <row r="409" spans="1:14" ht="18">
      <c r="B409" s="1700" t="s">
        <v>34</v>
      </c>
      <c r="C409" s="1701"/>
      <c r="D409" s="1701"/>
      <c r="E409" s="1701"/>
      <c r="F409" s="1701"/>
      <c r="G409" s="1701"/>
      <c r="H409" s="1702"/>
      <c r="I409" s="1703">
        <f>SUM(I384:K408)</f>
        <v>33500000</v>
      </c>
      <c r="J409" s="1704"/>
      <c r="K409" s="1705"/>
    </row>
    <row r="412" spans="1:14">
      <c r="A412" s="1721" t="s">
        <v>4441</v>
      </c>
      <c r="B412" s="1721"/>
      <c r="C412" s="1721"/>
      <c r="D412" s="1721"/>
      <c r="E412" s="1721"/>
      <c r="F412" s="1721"/>
      <c r="G412" s="1721"/>
      <c r="H412" s="1721"/>
      <c r="I412" s="1721"/>
      <c r="J412" s="1721"/>
      <c r="K412" s="1721"/>
      <c r="L412" s="1721"/>
      <c r="M412" s="1721"/>
      <c r="N412" s="1721"/>
    </row>
    <row r="413" spans="1:14">
      <c r="A413" s="1721"/>
      <c r="B413" s="1721"/>
      <c r="C413" s="1721"/>
      <c r="D413" s="1721"/>
      <c r="E413" s="1721"/>
      <c r="F413" s="1721"/>
      <c r="G413" s="1721"/>
      <c r="H413" s="1721"/>
      <c r="I413" s="1721"/>
      <c r="J413" s="1721"/>
      <c r="K413" s="1721"/>
      <c r="L413" s="1721"/>
      <c r="M413" s="1721"/>
      <c r="N413" s="1721"/>
    </row>
    <row r="415" spans="1:14">
      <c r="A415" s="1718" t="s">
        <v>4442</v>
      </c>
      <c r="B415" s="1718"/>
      <c r="C415" s="1718"/>
      <c r="D415" s="1718"/>
      <c r="E415" s="1718"/>
      <c r="F415" s="1718"/>
      <c r="G415" s="1718"/>
      <c r="H415" s="1718"/>
      <c r="I415" s="1718"/>
      <c r="J415" s="1718"/>
      <c r="K415" s="1718"/>
      <c r="L415" s="1718"/>
      <c r="M415" s="1718"/>
      <c r="N415" s="1718"/>
    </row>
    <row r="416" spans="1:14">
      <c r="A416" s="1718"/>
      <c r="B416" s="1718"/>
      <c r="C416" s="1718"/>
      <c r="D416" s="1718"/>
      <c r="E416" s="1718"/>
      <c r="F416" s="1718"/>
      <c r="G416" s="1718"/>
      <c r="H416" s="1718"/>
      <c r="I416" s="1718"/>
      <c r="J416" s="1718"/>
      <c r="K416" s="1718"/>
      <c r="L416" s="1718"/>
      <c r="M416" s="1718"/>
      <c r="N416" s="1718"/>
    </row>
    <row r="417" spans="1:14">
      <c r="A417" s="615" t="s">
        <v>120</v>
      </c>
      <c r="B417" s="1722" t="s">
        <v>5</v>
      </c>
      <c r="C417" s="1722"/>
      <c r="D417" s="1722"/>
      <c r="E417" s="1722"/>
      <c r="F417" s="1722"/>
      <c r="G417" s="1722"/>
      <c r="H417" s="1722"/>
      <c r="I417" s="1723" t="s">
        <v>4410</v>
      </c>
      <c r="J417" s="1724"/>
      <c r="K417" s="1724"/>
      <c r="L417" s="1722" t="s">
        <v>4411</v>
      </c>
      <c r="M417" s="1722"/>
      <c r="N417" s="1722"/>
    </row>
    <row r="418" spans="1:14" ht="15.75">
      <c r="A418" s="135">
        <v>13148</v>
      </c>
      <c r="B418" s="1706" t="s">
        <v>800</v>
      </c>
      <c r="C418" s="1707"/>
      <c r="D418" s="1707"/>
      <c r="E418" s="1707"/>
      <c r="F418" s="1707"/>
      <c r="G418" s="1707"/>
      <c r="H418" s="1708"/>
      <c r="I418" s="1709">
        <v>1150000</v>
      </c>
      <c r="J418" s="1710"/>
      <c r="K418" s="1711"/>
      <c r="L418" s="1712" t="s">
        <v>180</v>
      </c>
      <c r="M418" s="1713"/>
      <c r="N418" s="1714"/>
    </row>
    <row r="419" spans="1:14" ht="15.75">
      <c r="A419" s="135">
        <v>13167</v>
      </c>
      <c r="B419" s="1706" t="s">
        <v>804</v>
      </c>
      <c r="C419" s="1707"/>
      <c r="D419" s="1707"/>
      <c r="E419" s="1707"/>
      <c r="F419" s="1707"/>
      <c r="G419" s="1707"/>
      <c r="H419" s="1708"/>
      <c r="I419" s="1709">
        <v>900000</v>
      </c>
      <c r="J419" s="1710"/>
      <c r="K419" s="1711"/>
      <c r="L419" s="1712" t="s">
        <v>180</v>
      </c>
      <c r="M419" s="1713"/>
      <c r="N419" s="1714"/>
    </row>
    <row r="420" spans="1:14" ht="15.75">
      <c r="A420" s="135">
        <v>13200</v>
      </c>
      <c r="B420" s="1706" t="s">
        <v>806</v>
      </c>
      <c r="C420" s="1707"/>
      <c r="D420" s="1707"/>
      <c r="E420" s="1707"/>
      <c r="F420" s="1707"/>
      <c r="G420" s="1707"/>
      <c r="H420" s="1708"/>
      <c r="I420" s="1709">
        <v>1300000</v>
      </c>
      <c r="J420" s="1710"/>
      <c r="K420" s="1711"/>
      <c r="L420" s="1712" t="s">
        <v>180</v>
      </c>
      <c r="M420" s="1713"/>
      <c r="N420" s="1714"/>
    </row>
    <row r="421" spans="1:14" ht="15.75">
      <c r="A421" s="135">
        <v>13313</v>
      </c>
      <c r="B421" s="1706" t="s">
        <v>814</v>
      </c>
      <c r="C421" s="1707"/>
      <c r="D421" s="1707"/>
      <c r="E421" s="1707"/>
      <c r="F421" s="1707"/>
      <c r="G421" s="1707"/>
      <c r="H421" s="1708"/>
      <c r="I421" s="1709">
        <v>1500000</v>
      </c>
      <c r="J421" s="1710"/>
      <c r="K421" s="1711"/>
      <c r="L421" s="1712" t="s">
        <v>180</v>
      </c>
      <c r="M421" s="1713"/>
      <c r="N421" s="1714"/>
    </row>
    <row r="422" spans="1:14" ht="15.75">
      <c r="A422" s="135">
        <v>13388</v>
      </c>
      <c r="B422" s="1706" t="s">
        <v>819</v>
      </c>
      <c r="C422" s="1707"/>
      <c r="D422" s="1707"/>
      <c r="E422" s="1707"/>
      <c r="F422" s="1707"/>
      <c r="G422" s="1707"/>
      <c r="H422" s="1708"/>
      <c r="I422" s="1709">
        <v>1100000</v>
      </c>
      <c r="J422" s="1710"/>
      <c r="K422" s="1711"/>
      <c r="L422" s="1712" t="s">
        <v>180</v>
      </c>
      <c r="M422" s="1713"/>
      <c r="N422" s="1714"/>
    </row>
    <row r="423" spans="1:14" ht="15.75">
      <c r="A423" s="144">
        <v>13396</v>
      </c>
      <c r="B423" s="1706" t="s">
        <v>821</v>
      </c>
      <c r="C423" s="1707"/>
      <c r="D423" s="1707"/>
      <c r="E423" s="1707"/>
      <c r="F423" s="1707"/>
      <c r="G423" s="1707"/>
      <c r="H423" s="1708"/>
      <c r="I423" s="1709">
        <v>1050000</v>
      </c>
      <c r="J423" s="1710"/>
      <c r="K423" s="1711"/>
      <c r="L423" s="1712" t="s">
        <v>180</v>
      </c>
      <c r="M423" s="1713"/>
      <c r="N423" s="1714"/>
    </row>
    <row r="424" spans="1:14" ht="15.75">
      <c r="A424" s="135">
        <v>13209</v>
      </c>
      <c r="B424" s="1706" t="s">
        <v>822</v>
      </c>
      <c r="C424" s="1707"/>
      <c r="D424" s="1707"/>
      <c r="E424" s="1707"/>
      <c r="F424" s="1707"/>
      <c r="G424" s="1707"/>
      <c r="H424" s="1708"/>
      <c r="I424" s="1709">
        <v>1400000</v>
      </c>
      <c r="J424" s="1710"/>
      <c r="K424" s="1711"/>
      <c r="L424" s="1712" t="s">
        <v>286</v>
      </c>
      <c r="M424" s="1713"/>
      <c r="N424" s="1714"/>
    </row>
    <row r="425" spans="1:14" ht="15.75">
      <c r="A425" s="135">
        <v>13240</v>
      </c>
      <c r="B425" s="1706" t="s">
        <v>823</v>
      </c>
      <c r="C425" s="1707"/>
      <c r="D425" s="1707"/>
      <c r="E425" s="1707"/>
      <c r="F425" s="1707"/>
      <c r="G425" s="1707"/>
      <c r="H425" s="1708"/>
      <c r="I425" s="1709">
        <v>1500000</v>
      </c>
      <c r="J425" s="1710"/>
      <c r="K425" s="1711"/>
      <c r="L425" s="1715" t="s">
        <v>286</v>
      </c>
      <c r="M425" s="1716"/>
      <c r="N425" s="1717"/>
    </row>
    <row r="426" spans="1:14" ht="15.75">
      <c r="A426" s="135">
        <v>13174</v>
      </c>
      <c r="B426" s="1706" t="s">
        <v>805</v>
      </c>
      <c r="C426" s="1707"/>
      <c r="D426" s="1707"/>
      <c r="E426" s="1707"/>
      <c r="F426" s="1707"/>
      <c r="G426" s="1707"/>
      <c r="H426" s="1708"/>
      <c r="I426" s="1709">
        <v>1300000</v>
      </c>
      <c r="J426" s="1710"/>
      <c r="K426" s="1711"/>
      <c r="L426" s="1715" t="s">
        <v>311</v>
      </c>
      <c r="M426" s="1716"/>
      <c r="N426" s="1717"/>
    </row>
    <row r="427" spans="1:14" ht="15.75">
      <c r="A427" s="135">
        <v>13243</v>
      </c>
      <c r="B427" s="1706" t="s">
        <v>851</v>
      </c>
      <c r="C427" s="1707"/>
      <c r="D427" s="1707"/>
      <c r="E427" s="1707"/>
      <c r="F427" s="1707"/>
      <c r="G427" s="1707"/>
      <c r="H427" s="1708"/>
      <c r="I427" s="1709">
        <v>1300000</v>
      </c>
      <c r="J427" s="1710"/>
      <c r="K427" s="1711"/>
      <c r="L427" s="1715" t="s">
        <v>520</v>
      </c>
      <c r="M427" s="1716"/>
      <c r="N427" s="1717"/>
    </row>
    <row r="428" spans="1:14" ht="15.75">
      <c r="A428" s="135">
        <v>13256</v>
      </c>
      <c r="B428" s="1706" t="s">
        <v>479</v>
      </c>
      <c r="C428" s="1707"/>
      <c r="D428" s="1707"/>
      <c r="E428" s="1707"/>
      <c r="F428" s="1707"/>
      <c r="G428" s="1707"/>
      <c r="H428" s="1708"/>
      <c r="I428" s="1709">
        <v>1300000</v>
      </c>
      <c r="J428" s="1710"/>
      <c r="K428" s="1711"/>
      <c r="L428" s="1712" t="s">
        <v>520</v>
      </c>
      <c r="M428" s="1713"/>
      <c r="N428" s="1714"/>
    </row>
    <row r="429" spans="1:14" ht="15.75">
      <c r="A429" s="135">
        <v>13353</v>
      </c>
      <c r="B429" s="1706" t="s">
        <v>853</v>
      </c>
      <c r="C429" s="1707"/>
      <c r="D429" s="1707"/>
      <c r="E429" s="1707"/>
      <c r="F429" s="1707"/>
      <c r="G429" s="1707"/>
      <c r="H429" s="1708"/>
      <c r="I429" s="1709">
        <v>1500000</v>
      </c>
      <c r="J429" s="1710"/>
      <c r="K429" s="1711"/>
      <c r="L429" s="1712" t="s">
        <v>520</v>
      </c>
      <c r="M429" s="1713"/>
      <c r="N429" s="1714"/>
    </row>
    <row r="430" spans="1:14" ht="15.75">
      <c r="A430" s="135">
        <v>13403</v>
      </c>
      <c r="B430" s="1706" t="s">
        <v>811</v>
      </c>
      <c r="C430" s="1707"/>
      <c r="D430" s="1707"/>
      <c r="E430" s="1707"/>
      <c r="F430" s="1707"/>
      <c r="G430" s="1707"/>
      <c r="H430" s="1708"/>
      <c r="I430" s="1709">
        <v>1400000</v>
      </c>
      <c r="J430" s="1710"/>
      <c r="K430" s="1711"/>
      <c r="L430" s="1712" t="s">
        <v>520</v>
      </c>
      <c r="M430" s="1713"/>
      <c r="N430" s="1714"/>
    </row>
    <row r="431" spans="1:14" ht="15.75">
      <c r="A431" s="135">
        <v>13411</v>
      </c>
      <c r="B431" s="1706" t="s">
        <v>859</v>
      </c>
      <c r="C431" s="1707"/>
      <c r="D431" s="1707"/>
      <c r="E431" s="1707"/>
      <c r="F431" s="1707"/>
      <c r="G431" s="1707"/>
      <c r="H431" s="1708"/>
      <c r="I431" s="1709">
        <v>900000</v>
      </c>
      <c r="J431" s="1710"/>
      <c r="K431" s="1711"/>
      <c r="L431" s="1712" t="s">
        <v>180</v>
      </c>
      <c r="M431" s="1713"/>
      <c r="N431" s="1714"/>
    </row>
    <row r="432" spans="1:14" ht="18">
      <c r="B432" s="1700" t="s">
        <v>34</v>
      </c>
      <c r="C432" s="1701"/>
      <c r="D432" s="1701"/>
      <c r="E432" s="1701"/>
      <c r="F432" s="1701"/>
      <c r="G432" s="1701"/>
      <c r="H432" s="1702"/>
      <c r="I432" s="1703">
        <f>SUM(I418:K431)</f>
        <v>17600000</v>
      </c>
      <c r="J432" s="1704"/>
      <c r="K432" s="1705"/>
    </row>
    <row r="434" spans="1:14">
      <c r="A434" s="1718" t="s">
        <v>4443</v>
      </c>
      <c r="B434" s="1718"/>
      <c r="C434" s="1718"/>
      <c r="D434" s="1718"/>
      <c r="E434" s="1718"/>
      <c r="F434" s="1718"/>
      <c r="G434" s="1718"/>
      <c r="H434" s="1718"/>
      <c r="I434" s="1718"/>
      <c r="J434" s="1718"/>
      <c r="K434" s="1718"/>
      <c r="L434" s="1718"/>
      <c r="M434" s="1718"/>
      <c r="N434" s="1718"/>
    </row>
    <row r="435" spans="1:14">
      <c r="A435" s="1719"/>
      <c r="B435" s="1719"/>
      <c r="C435" s="1719"/>
      <c r="D435" s="1719"/>
      <c r="E435" s="1719"/>
      <c r="F435" s="1719"/>
      <c r="G435" s="1719"/>
      <c r="H435" s="1719"/>
      <c r="I435" s="1719"/>
      <c r="J435" s="1719"/>
      <c r="K435" s="1719"/>
      <c r="L435" s="1719"/>
      <c r="M435" s="1719"/>
      <c r="N435" s="1719"/>
    </row>
    <row r="436" spans="1:14">
      <c r="A436" s="606" t="s">
        <v>120</v>
      </c>
      <c r="B436" s="1720" t="s">
        <v>5</v>
      </c>
      <c r="C436" s="1720"/>
      <c r="D436" s="1720"/>
      <c r="E436" s="1720"/>
      <c r="F436" s="1720"/>
      <c r="G436" s="1720"/>
      <c r="H436" s="1720"/>
      <c r="I436" s="1720" t="s">
        <v>4410</v>
      </c>
      <c r="J436" s="1720"/>
      <c r="K436" s="1720"/>
      <c r="L436" s="1720" t="s">
        <v>4411</v>
      </c>
      <c r="M436" s="1720"/>
      <c r="N436" s="1720"/>
    </row>
    <row r="437" spans="1:14" ht="15.75">
      <c r="A437" s="135">
        <v>13157</v>
      </c>
      <c r="B437" s="1706" t="s">
        <v>802</v>
      </c>
      <c r="C437" s="1707"/>
      <c r="D437" s="1707"/>
      <c r="E437" s="1707"/>
      <c r="F437" s="1707"/>
      <c r="G437" s="1707"/>
      <c r="H437" s="1708"/>
      <c r="I437" s="1709">
        <v>1500000</v>
      </c>
      <c r="J437" s="1710"/>
      <c r="K437" s="1711"/>
      <c r="L437" s="1715" t="s">
        <v>180</v>
      </c>
      <c r="M437" s="1716"/>
      <c r="N437" s="1717"/>
    </row>
    <row r="438" spans="1:14" ht="15.75">
      <c r="A438" s="135">
        <v>13204</v>
      </c>
      <c r="B438" s="1706" t="s">
        <v>808</v>
      </c>
      <c r="C438" s="1707" t="s">
        <v>808</v>
      </c>
      <c r="D438" s="1707" t="s">
        <v>808</v>
      </c>
      <c r="E438" s="1707" t="s">
        <v>808</v>
      </c>
      <c r="F438" s="1707" t="s">
        <v>808</v>
      </c>
      <c r="G438" s="1707" t="s">
        <v>808</v>
      </c>
      <c r="H438" s="1708" t="s">
        <v>808</v>
      </c>
      <c r="I438" s="1709">
        <v>1600000</v>
      </c>
      <c r="J438" s="1710"/>
      <c r="K438" s="1711"/>
      <c r="L438" s="1715" t="s">
        <v>180</v>
      </c>
      <c r="M438" s="1716"/>
      <c r="N438" s="1717"/>
    </row>
    <row r="439" spans="1:14" ht="15.75">
      <c r="A439" s="135">
        <v>13231</v>
      </c>
      <c r="B439" s="1706" t="s">
        <v>810</v>
      </c>
      <c r="C439" s="1707" t="s">
        <v>810</v>
      </c>
      <c r="D439" s="1707" t="s">
        <v>810</v>
      </c>
      <c r="E439" s="1707" t="s">
        <v>810</v>
      </c>
      <c r="F439" s="1707" t="s">
        <v>810</v>
      </c>
      <c r="G439" s="1707" t="s">
        <v>810</v>
      </c>
      <c r="H439" s="1708" t="s">
        <v>810</v>
      </c>
      <c r="I439" s="1709">
        <v>2000000</v>
      </c>
      <c r="J439" s="1710"/>
      <c r="K439" s="1711"/>
      <c r="L439" s="1715" t="s">
        <v>180</v>
      </c>
      <c r="M439" s="1716"/>
      <c r="N439" s="1717"/>
    </row>
    <row r="440" spans="1:14" ht="15.75">
      <c r="A440" s="135">
        <v>13267</v>
      </c>
      <c r="B440" s="1706" t="s">
        <v>812</v>
      </c>
      <c r="C440" s="1707" t="s">
        <v>812</v>
      </c>
      <c r="D440" s="1707" t="s">
        <v>812</v>
      </c>
      <c r="E440" s="1707" t="s">
        <v>812</v>
      </c>
      <c r="F440" s="1707" t="s">
        <v>812</v>
      </c>
      <c r="G440" s="1707" t="s">
        <v>812</v>
      </c>
      <c r="H440" s="1708" t="s">
        <v>812</v>
      </c>
      <c r="I440" s="1709">
        <v>1250000</v>
      </c>
      <c r="J440" s="1710"/>
      <c r="K440" s="1711"/>
      <c r="L440" s="1715" t="s">
        <v>180</v>
      </c>
      <c r="M440" s="1716"/>
      <c r="N440" s="1717"/>
    </row>
    <row r="441" spans="1:14" ht="15.75">
      <c r="A441" s="135">
        <v>13298</v>
      </c>
      <c r="B441" s="1706" t="s">
        <v>813</v>
      </c>
      <c r="C441" s="1707" t="s">
        <v>813</v>
      </c>
      <c r="D441" s="1707" t="s">
        <v>813</v>
      </c>
      <c r="E441" s="1707" t="s">
        <v>813</v>
      </c>
      <c r="F441" s="1707" t="s">
        <v>813</v>
      </c>
      <c r="G441" s="1707" t="s">
        <v>813</v>
      </c>
      <c r="H441" s="1708" t="s">
        <v>813</v>
      </c>
      <c r="I441" s="1709">
        <v>900000</v>
      </c>
      <c r="J441" s="1710"/>
      <c r="K441" s="1711"/>
      <c r="L441" s="1715" t="s">
        <v>180</v>
      </c>
      <c r="M441" s="1716"/>
      <c r="N441" s="1717"/>
    </row>
    <row r="442" spans="1:14" ht="15.75">
      <c r="A442" s="135">
        <v>13350</v>
      </c>
      <c r="B442" s="1706" t="s">
        <v>815</v>
      </c>
      <c r="C442" s="1707" t="s">
        <v>815</v>
      </c>
      <c r="D442" s="1707"/>
      <c r="E442" s="1707"/>
      <c r="F442" s="1707"/>
      <c r="G442" s="1707"/>
      <c r="H442" s="1708"/>
      <c r="I442" s="1709">
        <v>1300000</v>
      </c>
      <c r="J442" s="1710"/>
      <c r="K442" s="1711"/>
      <c r="L442" s="1715" t="s">
        <v>180</v>
      </c>
      <c r="M442" s="1716" t="s">
        <v>180</v>
      </c>
      <c r="N442" s="1717"/>
    </row>
    <row r="443" spans="1:14" ht="15.75">
      <c r="A443" s="135">
        <v>13342</v>
      </c>
      <c r="B443" s="1706" t="s">
        <v>816</v>
      </c>
      <c r="C443" s="1707"/>
      <c r="D443" s="1707"/>
      <c r="E443" s="1707"/>
      <c r="F443" s="1707"/>
      <c r="G443" s="1707"/>
      <c r="H443" s="1708"/>
      <c r="I443" s="1709">
        <v>1350000</v>
      </c>
      <c r="J443" s="1710"/>
      <c r="K443" s="1711"/>
      <c r="L443" s="1715" t="s">
        <v>180</v>
      </c>
      <c r="M443" s="1716" t="s">
        <v>180</v>
      </c>
      <c r="N443" s="1717"/>
    </row>
    <row r="444" spans="1:14" ht="15.75">
      <c r="A444" s="135">
        <v>13383</v>
      </c>
      <c r="B444" s="1706" t="s">
        <v>817</v>
      </c>
      <c r="C444" s="1707"/>
      <c r="D444" s="1707"/>
      <c r="E444" s="1707"/>
      <c r="F444" s="1707"/>
      <c r="G444" s="1707"/>
      <c r="H444" s="1708"/>
      <c r="I444" s="1709">
        <v>1600000</v>
      </c>
      <c r="J444" s="1710"/>
      <c r="K444" s="1711"/>
      <c r="L444" s="1715" t="s">
        <v>180</v>
      </c>
      <c r="M444" s="1716"/>
      <c r="N444" s="1717"/>
    </row>
    <row r="445" spans="1:14" ht="15.75">
      <c r="A445" s="135">
        <v>13183</v>
      </c>
      <c r="B445" s="1706" t="s">
        <v>801</v>
      </c>
      <c r="C445" s="1707"/>
      <c r="D445" s="1707"/>
      <c r="E445" s="1707"/>
      <c r="F445" s="1707"/>
      <c r="G445" s="1707"/>
      <c r="H445" s="1708"/>
      <c r="I445" s="1709">
        <v>1280000</v>
      </c>
      <c r="J445" s="1710"/>
      <c r="K445" s="1711"/>
      <c r="L445" s="1715" t="s">
        <v>286</v>
      </c>
      <c r="M445" s="1716"/>
      <c r="N445" s="1717"/>
    </row>
    <row r="446" spans="1:14" ht="15.75">
      <c r="A446" s="135">
        <v>13192</v>
      </c>
      <c r="B446" s="1706" t="s">
        <v>832</v>
      </c>
      <c r="C446" s="1707"/>
      <c r="D446" s="1707"/>
      <c r="E446" s="1707"/>
      <c r="F446" s="1707"/>
      <c r="G446" s="1707"/>
      <c r="H446" s="1708"/>
      <c r="I446" s="1709">
        <v>1300000</v>
      </c>
      <c r="J446" s="1710"/>
      <c r="K446" s="1711"/>
      <c r="L446" s="1715" t="s">
        <v>311</v>
      </c>
      <c r="M446" s="1716"/>
      <c r="N446" s="1717"/>
    </row>
    <row r="447" spans="1:14" ht="15.75">
      <c r="A447" s="135">
        <v>13194</v>
      </c>
      <c r="B447" s="1706" t="s">
        <v>833</v>
      </c>
      <c r="C447" s="1707"/>
      <c r="D447" s="1707"/>
      <c r="E447" s="1707"/>
      <c r="F447" s="1707"/>
      <c r="G447" s="1707"/>
      <c r="H447" s="1708"/>
      <c r="I447" s="1709">
        <v>1400000</v>
      </c>
      <c r="J447" s="1710"/>
      <c r="K447" s="1711"/>
      <c r="L447" s="1715" t="s">
        <v>311</v>
      </c>
      <c r="M447" s="1716"/>
      <c r="N447" s="1717"/>
    </row>
    <row r="448" spans="1:14" ht="15.75">
      <c r="A448" s="135">
        <v>13220</v>
      </c>
      <c r="B448" s="1706" t="s">
        <v>807</v>
      </c>
      <c r="C448" s="1707"/>
      <c r="D448" s="1707"/>
      <c r="E448" s="1707"/>
      <c r="F448" s="1707"/>
      <c r="G448" s="1707"/>
      <c r="H448" s="1708"/>
      <c r="I448" s="1709">
        <v>750000</v>
      </c>
      <c r="J448" s="1710"/>
      <c r="K448" s="1711"/>
      <c r="L448" s="1715" t="s">
        <v>311</v>
      </c>
      <c r="M448" s="1716"/>
      <c r="N448" s="1717"/>
    </row>
    <row r="449" spans="1:14" ht="15.75">
      <c r="A449" s="135">
        <v>13218</v>
      </c>
      <c r="B449" s="1706" t="s">
        <v>834</v>
      </c>
      <c r="C449" s="1707"/>
      <c r="D449" s="1707"/>
      <c r="E449" s="1707"/>
      <c r="F449" s="1707"/>
      <c r="G449" s="1707"/>
      <c r="H449" s="1708"/>
      <c r="I449" s="1709">
        <v>1400000</v>
      </c>
      <c r="J449" s="1710"/>
      <c r="K449" s="1711"/>
      <c r="L449" s="1715" t="s">
        <v>311</v>
      </c>
      <c r="M449" s="1716"/>
      <c r="N449" s="1717"/>
    </row>
    <row r="450" spans="1:14" ht="15.75">
      <c r="A450" s="135">
        <v>13196</v>
      </c>
      <c r="B450" s="1706" t="s">
        <v>835</v>
      </c>
      <c r="C450" s="1707"/>
      <c r="D450" s="1707"/>
      <c r="E450" s="1707"/>
      <c r="F450" s="1707"/>
      <c r="G450" s="1707"/>
      <c r="H450" s="1708"/>
      <c r="I450" s="1709">
        <v>1400000</v>
      </c>
      <c r="J450" s="1710"/>
      <c r="K450" s="1711"/>
      <c r="L450" s="1712" t="s">
        <v>311</v>
      </c>
      <c r="M450" s="1713"/>
      <c r="N450" s="1714"/>
    </row>
    <row r="451" spans="1:14" ht="15.75">
      <c r="A451" s="135">
        <v>13262</v>
      </c>
      <c r="B451" s="1706" t="s">
        <v>836</v>
      </c>
      <c r="C451" s="1707"/>
      <c r="D451" s="1707"/>
      <c r="E451" s="1707"/>
      <c r="F451" s="1707"/>
      <c r="G451" s="1707"/>
      <c r="H451" s="1708"/>
      <c r="I451" s="1709">
        <v>800000</v>
      </c>
      <c r="J451" s="1710"/>
      <c r="K451" s="1711"/>
      <c r="L451" s="1712" t="s">
        <v>311</v>
      </c>
      <c r="M451" s="1713"/>
      <c r="N451" s="1714"/>
    </row>
    <row r="452" spans="1:14" ht="15.75">
      <c r="A452" s="135">
        <v>13253</v>
      </c>
      <c r="B452" s="1706" t="s">
        <v>837</v>
      </c>
      <c r="C452" s="1707"/>
      <c r="D452" s="1707"/>
      <c r="E452" s="1707"/>
      <c r="F452" s="1707"/>
      <c r="G452" s="1707"/>
      <c r="H452" s="1708"/>
      <c r="I452" s="1709">
        <v>1500000</v>
      </c>
      <c r="J452" s="1710"/>
      <c r="K452" s="1711"/>
      <c r="L452" s="1712" t="s">
        <v>311</v>
      </c>
      <c r="M452" s="1713"/>
      <c r="N452" s="1714"/>
    </row>
    <row r="453" spans="1:14" ht="15.75">
      <c r="A453" s="135">
        <v>13270</v>
      </c>
      <c r="B453" s="1706" t="s">
        <v>838</v>
      </c>
      <c r="C453" s="1707"/>
      <c r="D453" s="1707"/>
      <c r="E453" s="1707"/>
      <c r="F453" s="1707"/>
      <c r="G453" s="1707"/>
      <c r="H453" s="1708"/>
      <c r="I453" s="1709">
        <v>1100000</v>
      </c>
      <c r="J453" s="1710"/>
      <c r="K453" s="1711"/>
      <c r="L453" s="1712" t="s">
        <v>311</v>
      </c>
      <c r="M453" s="1713"/>
      <c r="N453" s="1714"/>
    </row>
    <row r="454" spans="1:14" ht="15.75">
      <c r="A454" s="135">
        <v>13266</v>
      </c>
      <c r="B454" s="1706" t="s">
        <v>839</v>
      </c>
      <c r="C454" s="1707"/>
      <c r="D454" s="1707"/>
      <c r="E454" s="1707"/>
      <c r="F454" s="1707"/>
      <c r="G454" s="1707"/>
      <c r="H454" s="1708"/>
      <c r="I454" s="1709">
        <v>1300000</v>
      </c>
      <c r="J454" s="1710"/>
      <c r="K454" s="1711"/>
      <c r="L454" s="1712" t="s">
        <v>311</v>
      </c>
      <c r="M454" s="1713"/>
      <c r="N454" s="1714"/>
    </row>
    <row r="455" spans="1:14" ht="15.75">
      <c r="A455" s="135">
        <v>13268</v>
      </c>
      <c r="B455" s="1706" t="s">
        <v>840</v>
      </c>
      <c r="C455" s="1707"/>
      <c r="D455" s="1707"/>
      <c r="E455" s="1707"/>
      <c r="F455" s="1707"/>
      <c r="G455" s="1707"/>
      <c r="H455" s="1708"/>
      <c r="I455" s="1709">
        <v>1400000</v>
      </c>
      <c r="J455" s="1710"/>
      <c r="K455" s="1711"/>
      <c r="L455" s="1712" t="s">
        <v>311</v>
      </c>
      <c r="M455" s="1713"/>
      <c r="N455" s="1714"/>
    </row>
    <row r="456" spans="1:14" ht="15.75">
      <c r="A456" s="135">
        <v>13284</v>
      </c>
      <c r="B456" s="1706" t="s">
        <v>841</v>
      </c>
      <c r="C456" s="1707"/>
      <c r="D456" s="1707"/>
      <c r="E456" s="1707"/>
      <c r="F456" s="1707"/>
      <c r="G456" s="1707"/>
      <c r="H456" s="1708"/>
      <c r="I456" s="1709">
        <v>1350000</v>
      </c>
      <c r="J456" s="1710"/>
      <c r="K456" s="1711"/>
      <c r="L456" s="1712" t="s">
        <v>311</v>
      </c>
      <c r="M456" s="1713"/>
      <c r="N456" s="1714"/>
    </row>
    <row r="457" spans="1:14" ht="15.75">
      <c r="A457" s="135">
        <v>13334</v>
      </c>
      <c r="B457" s="1706" t="s">
        <v>842</v>
      </c>
      <c r="C457" s="1707"/>
      <c r="D457" s="1707"/>
      <c r="E457" s="1707"/>
      <c r="F457" s="1707"/>
      <c r="G457" s="1707"/>
      <c r="H457" s="1708"/>
      <c r="I457" s="1709">
        <v>1500000</v>
      </c>
      <c r="J457" s="1710"/>
      <c r="K457" s="1711"/>
      <c r="L457" s="1712" t="s">
        <v>311</v>
      </c>
      <c r="M457" s="1713"/>
      <c r="N457" s="1714"/>
    </row>
    <row r="458" spans="1:14" ht="15.75">
      <c r="A458" s="135">
        <v>13327</v>
      </c>
      <c r="B458" s="1706" t="s">
        <v>843</v>
      </c>
      <c r="C458" s="1707"/>
      <c r="D458" s="1707"/>
      <c r="E458" s="1707"/>
      <c r="F458" s="1707"/>
      <c r="G458" s="1707"/>
      <c r="H458" s="1708"/>
      <c r="I458" s="1709">
        <v>1550000</v>
      </c>
      <c r="J458" s="1710"/>
      <c r="K458" s="1711"/>
      <c r="L458" s="1712" t="s">
        <v>311</v>
      </c>
      <c r="M458" s="1713"/>
      <c r="N458" s="1714"/>
    </row>
    <row r="459" spans="1:14" ht="15.75">
      <c r="A459" s="135">
        <v>13331</v>
      </c>
      <c r="B459" s="1706" t="s">
        <v>809</v>
      </c>
      <c r="C459" s="1707"/>
      <c r="D459" s="1707"/>
      <c r="E459" s="1707"/>
      <c r="F459" s="1707"/>
      <c r="G459" s="1707"/>
      <c r="H459" s="1708"/>
      <c r="I459" s="1709">
        <v>1400000</v>
      </c>
      <c r="J459" s="1710"/>
      <c r="K459" s="1711"/>
      <c r="L459" s="1712" t="s">
        <v>311</v>
      </c>
      <c r="M459" s="1713"/>
      <c r="N459" s="1714"/>
    </row>
    <row r="460" spans="1:14" ht="15.75">
      <c r="A460" s="135">
        <v>13163</v>
      </c>
      <c r="B460" s="1706" t="s">
        <v>803</v>
      </c>
      <c r="C460" s="1707"/>
      <c r="D460" s="1707"/>
      <c r="E460" s="1707"/>
      <c r="F460" s="1707"/>
      <c r="G460" s="1707"/>
      <c r="H460" s="1708"/>
      <c r="I460" s="1709">
        <v>800000</v>
      </c>
      <c r="J460" s="1710"/>
      <c r="K460" s="1711"/>
      <c r="L460" s="1712" t="s">
        <v>311</v>
      </c>
      <c r="M460" s="1713"/>
      <c r="N460" s="1714"/>
    </row>
    <row r="461" spans="1:14" ht="15.75">
      <c r="A461" s="135">
        <v>13305</v>
      </c>
      <c r="B461" s="1706" t="s">
        <v>852</v>
      </c>
      <c r="C461" s="1707"/>
      <c r="D461" s="1707"/>
      <c r="E461" s="1707"/>
      <c r="F461" s="1707"/>
      <c r="G461" s="1707"/>
      <c r="H461" s="1708"/>
      <c r="I461" s="1709">
        <v>1460000</v>
      </c>
      <c r="J461" s="1710"/>
      <c r="K461" s="1711"/>
      <c r="L461" s="1712" t="s">
        <v>520</v>
      </c>
      <c r="M461" s="1713"/>
      <c r="N461" s="1714"/>
    </row>
    <row r="462" spans="1:14" ht="15.75">
      <c r="A462" s="135" t="s">
        <v>830</v>
      </c>
      <c r="B462" s="1706" t="s">
        <v>831</v>
      </c>
      <c r="C462" s="1707"/>
      <c r="D462" s="1707"/>
      <c r="E462" s="1707"/>
      <c r="F462" s="1707"/>
      <c r="G462" s="1707"/>
      <c r="H462" s="1708"/>
      <c r="I462" s="1709">
        <v>1350000</v>
      </c>
      <c r="J462" s="1710"/>
      <c r="K462" s="1711"/>
      <c r="L462" s="1712" t="s">
        <v>520</v>
      </c>
      <c r="M462" s="1713"/>
      <c r="N462" s="1714"/>
    </row>
    <row r="463" spans="1:14" ht="15.75">
      <c r="A463" s="135">
        <v>13398</v>
      </c>
      <c r="B463" s="1706" t="s">
        <v>854</v>
      </c>
      <c r="C463" s="1707"/>
      <c r="D463" s="1707"/>
      <c r="E463" s="1707"/>
      <c r="F463" s="1707"/>
      <c r="G463" s="1707"/>
      <c r="H463" s="1708"/>
      <c r="I463" s="1709">
        <v>2500000</v>
      </c>
      <c r="J463" s="1710"/>
      <c r="K463" s="1711"/>
      <c r="L463" s="1712" t="s">
        <v>520</v>
      </c>
      <c r="M463" s="1713"/>
      <c r="N463" s="1714"/>
    </row>
    <row r="464" spans="1:14" ht="15.75">
      <c r="A464" s="135">
        <v>13273</v>
      </c>
      <c r="B464" s="1706" t="s">
        <v>855</v>
      </c>
      <c r="C464" s="1707"/>
      <c r="D464" s="1707"/>
      <c r="E464" s="1707"/>
      <c r="F464" s="1707"/>
      <c r="G464" s="1077"/>
      <c r="H464" s="1078"/>
      <c r="I464" s="1709">
        <v>1287845</v>
      </c>
      <c r="J464" s="1710"/>
      <c r="K464" s="1711"/>
      <c r="L464" s="1712" t="s">
        <v>30</v>
      </c>
      <c r="M464" s="1713"/>
      <c r="N464" s="1714"/>
    </row>
    <row r="465" spans="1:14" ht="15.75">
      <c r="A465" s="1080"/>
      <c r="B465" s="1076"/>
      <c r="C465" s="1077"/>
      <c r="D465" s="1077"/>
      <c r="E465" s="1077"/>
      <c r="F465" s="1077"/>
      <c r="G465" s="1077"/>
      <c r="H465" s="1078"/>
      <c r="I465" s="1709"/>
      <c r="J465" s="1710"/>
      <c r="K465" s="1711"/>
      <c r="L465" s="1081"/>
      <c r="M465" s="1081"/>
      <c r="N465" s="1081"/>
    </row>
    <row r="466" spans="1:14" ht="18">
      <c r="B466" s="1700" t="s">
        <v>34</v>
      </c>
      <c r="C466" s="1701"/>
      <c r="D466" s="1701"/>
      <c r="E466" s="1701"/>
      <c r="F466" s="1701"/>
      <c r="G466" s="1701"/>
      <c r="H466" s="1702"/>
      <c r="I466" s="1703">
        <f>SUM(I437:K465)</f>
        <v>38327845</v>
      </c>
      <c r="J466" s="1704"/>
      <c r="K466" s="1705"/>
    </row>
    <row r="469" spans="1:14">
      <c r="A469" s="1721" t="s">
        <v>4444</v>
      </c>
      <c r="B469" s="1721"/>
      <c r="C469" s="1721"/>
      <c r="D469" s="1721"/>
      <c r="E469" s="1721"/>
      <c r="F469" s="1721"/>
      <c r="G469" s="1721"/>
      <c r="H469" s="1721"/>
      <c r="I469" s="1721"/>
      <c r="J469" s="1721"/>
      <c r="K469" s="1721"/>
      <c r="L469" s="1721"/>
      <c r="M469" s="1721"/>
      <c r="N469" s="1721"/>
    </row>
    <row r="470" spans="1:14">
      <c r="A470" s="1721"/>
      <c r="B470" s="1721"/>
      <c r="C470" s="1721"/>
      <c r="D470" s="1721"/>
      <c r="E470" s="1721"/>
      <c r="F470" s="1721"/>
      <c r="G470" s="1721"/>
      <c r="H470" s="1721"/>
      <c r="I470" s="1721"/>
      <c r="J470" s="1721"/>
      <c r="K470" s="1721"/>
      <c r="L470" s="1721"/>
      <c r="M470" s="1721"/>
      <c r="N470" s="1721"/>
    </row>
    <row r="472" spans="1:14">
      <c r="A472" s="1718" t="s">
        <v>4445</v>
      </c>
      <c r="B472" s="1718"/>
      <c r="C472" s="1718"/>
      <c r="D472" s="1718"/>
      <c r="E472" s="1718"/>
      <c r="F472" s="1718"/>
      <c r="G472" s="1718"/>
      <c r="H472" s="1718"/>
      <c r="I472" s="1718"/>
      <c r="J472" s="1718"/>
      <c r="K472" s="1718"/>
      <c r="L472" s="1718"/>
      <c r="M472" s="1718"/>
      <c r="N472" s="1718"/>
    </row>
    <row r="473" spans="1:14">
      <c r="A473" s="1718"/>
      <c r="B473" s="1718"/>
      <c r="C473" s="1718"/>
      <c r="D473" s="1718"/>
      <c r="E473" s="1718"/>
      <c r="F473" s="1718"/>
      <c r="G473" s="1718"/>
      <c r="H473" s="1718"/>
      <c r="I473" s="1718"/>
      <c r="J473" s="1718"/>
      <c r="K473" s="1718"/>
      <c r="L473" s="1718"/>
      <c r="M473" s="1718"/>
      <c r="N473" s="1718"/>
    </row>
    <row r="474" spans="1:14">
      <c r="A474" s="615" t="s">
        <v>120</v>
      </c>
      <c r="B474" s="1722" t="s">
        <v>5</v>
      </c>
      <c r="C474" s="1722"/>
      <c r="D474" s="1722"/>
      <c r="E474" s="1722"/>
      <c r="F474" s="1722"/>
      <c r="G474" s="1722"/>
      <c r="H474" s="1722"/>
      <c r="I474" s="1723" t="s">
        <v>4410</v>
      </c>
      <c r="J474" s="1724"/>
      <c r="K474" s="1724"/>
      <c r="L474" s="1722" t="s">
        <v>4411</v>
      </c>
      <c r="M474" s="1722"/>
      <c r="N474" s="1722"/>
    </row>
    <row r="475" spans="1:14" ht="15.75">
      <c r="A475" s="135" t="s">
        <v>863</v>
      </c>
      <c r="B475" s="1706" t="s">
        <v>864</v>
      </c>
      <c r="C475" s="1707"/>
      <c r="D475" s="1707"/>
      <c r="E475" s="1707"/>
      <c r="F475" s="1707"/>
      <c r="G475" s="1707"/>
      <c r="H475" s="1708"/>
      <c r="I475" s="1709">
        <v>1300000</v>
      </c>
      <c r="J475" s="1710"/>
      <c r="K475" s="1711"/>
      <c r="L475" s="1712" t="s">
        <v>180</v>
      </c>
      <c r="M475" s="1713"/>
      <c r="N475" s="1714"/>
    </row>
    <row r="476" spans="1:14" ht="15.75">
      <c r="A476" s="135">
        <v>13430</v>
      </c>
      <c r="B476" s="1706" t="s">
        <v>866</v>
      </c>
      <c r="C476" s="1707"/>
      <c r="D476" s="1707"/>
      <c r="E476" s="1707"/>
      <c r="F476" s="1707"/>
      <c r="G476" s="1707"/>
      <c r="H476" s="1708"/>
      <c r="I476" s="1709">
        <v>1100000</v>
      </c>
      <c r="J476" s="1710"/>
      <c r="K476" s="1711"/>
      <c r="L476" s="1712" t="s">
        <v>180</v>
      </c>
      <c r="M476" s="1713"/>
      <c r="N476" s="1714"/>
    </row>
    <row r="477" spans="1:14" ht="15.75">
      <c r="A477" s="135">
        <v>13479</v>
      </c>
      <c r="B477" s="1706" t="s">
        <v>869</v>
      </c>
      <c r="C477" s="1707" t="s">
        <v>869</v>
      </c>
      <c r="D477" s="1707" t="s">
        <v>869</v>
      </c>
      <c r="E477" s="1707" t="s">
        <v>869</v>
      </c>
      <c r="F477" s="1707" t="s">
        <v>869</v>
      </c>
      <c r="G477" s="1707" t="s">
        <v>869</v>
      </c>
      <c r="H477" s="1708" t="s">
        <v>869</v>
      </c>
      <c r="I477" s="1709">
        <v>1100000</v>
      </c>
      <c r="J477" s="1710"/>
      <c r="K477" s="1711"/>
      <c r="L477" s="1715" t="s">
        <v>180</v>
      </c>
      <c r="M477" s="1716"/>
      <c r="N477" s="1717"/>
    </row>
    <row r="478" spans="1:14" ht="15.75">
      <c r="A478" s="135">
        <v>13512</v>
      </c>
      <c r="B478" s="1706" t="s">
        <v>870</v>
      </c>
      <c r="C478" s="1707" t="s">
        <v>870</v>
      </c>
      <c r="D478" s="1707" t="s">
        <v>870</v>
      </c>
      <c r="E478" s="1707" t="s">
        <v>870</v>
      </c>
      <c r="F478" s="1707" t="s">
        <v>870</v>
      </c>
      <c r="G478" s="1707" t="s">
        <v>870</v>
      </c>
      <c r="H478" s="1708" t="s">
        <v>870</v>
      </c>
      <c r="I478" s="1709">
        <v>1450000</v>
      </c>
      <c r="J478" s="1710"/>
      <c r="K478" s="1711"/>
      <c r="L478" s="1715" t="s">
        <v>180</v>
      </c>
      <c r="M478" s="1716"/>
      <c r="N478" s="1717"/>
    </row>
    <row r="479" spans="1:14" ht="15.75">
      <c r="A479" s="135">
        <v>13499</v>
      </c>
      <c r="B479" s="1706" t="s">
        <v>871</v>
      </c>
      <c r="C479" s="1707" t="s">
        <v>871</v>
      </c>
      <c r="D479" s="1707" t="s">
        <v>871</v>
      </c>
      <c r="E479" s="1707" t="s">
        <v>871</v>
      </c>
      <c r="F479" s="1707" t="s">
        <v>871</v>
      </c>
      <c r="G479" s="1707" t="s">
        <v>871</v>
      </c>
      <c r="H479" s="1708" t="s">
        <v>871</v>
      </c>
      <c r="I479" s="1709">
        <v>1000000</v>
      </c>
      <c r="J479" s="1710"/>
      <c r="K479" s="1711"/>
      <c r="L479" s="1715" t="s">
        <v>180</v>
      </c>
      <c r="M479" s="1716"/>
      <c r="N479" s="1717"/>
    </row>
    <row r="480" spans="1:14" ht="15.75">
      <c r="A480" s="135">
        <v>13566</v>
      </c>
      <c r="B480" s="1706" t="s">
        <v>873</v>
      </c>
      <c r="C480" s="1707"/>
      <c r="D480" s="1707"/>
      <c r="E480" s="1707"/>
      <c r="F480" s="1707"/>
      <c r="G480" s="1707"/>
      <c r="H480" s="1708"/>
      <c r="I480" s="1709">
        <v>800000</v>
      </c>
      <c r="J480" s="1710"/>
      <c r="K480" s="1711"/>
      <c r="L480" s="1712" t="s">
        <v>180</v>
      </c>
      <c r="M480" s="1713"/>
      <c r="N480" s="1714"/>
    </row>
    <row r="481" spans="1:14" ht="15.75">
      <c r="A481" s="135">
        <v>13579</v>
      </c>
      <c r="B481" s="1706" t="s">
        <v>875</v>
      </c>
      <c r="C481" s="1707"/>
      <c r="D481" s="1707"/>
      <c r="E481" s="1707"/>
      <c r="F481" s="1707"/>
      <c r="G481" s="1707"/>
      <c r="H481" s="1708"/>
      <c r="I481" s="1709">
        <v>750000</v>
      </c>
      <c r="J481" s="1710"/>
      <c r="K481" s="1711"/>
      <c r="L481" s="1712" t="s">
        <v>180</v>
      </c>
      <c r="M481" s="1713"/>
      <c r="N481" s="1714"/>
    </row>
    <row r="482" spans="1:14" ht="15.75">
      <c r="A482" s="135">
        <v>13475</v>
      </c>
      <c r="B482" s="1706" t="s">
        <v>140</v>
      </c>
      <c r="C482" s="1707"/>
      <c r="D482" s="1707"/>
      <c r="E482" s="1707"/>
      <c r="F482" s="1707"/>
      <c r="G482" s="1707"/>
      <c r="H482" s="1708"/>
      <c r="I482" s="1709">
        <v>1300000</v>
      </c>
      <c r="J482" s="1710"/>
      <c r="K482" s="1711"/>
      <c r="L482" s="1715" t="s">
        <v>520</v>
      </c>
      <c r="M482" s="1716"/>
      <c r="N482" s="1717"/>
    </row>
    <row r="483" spans="1:14" ht="15.75">
      <c r="A483" s="135">
        <v>13501</v>
      </c>
      <c r="B483" s="1706" t="s">
        <v>905</v>
      </c>
      <c r="C483" s="1707"/>
      <c r="D483" s="1707"/>
      <c r="E483" s="1707"/>
      <c r="F483" s="1707"/>
      <c r="G483" s="1707"/>
      <c r="H483" s="1708"/>
      <c r="I483" s="1709">
        <v>1500000</v>
      </c>
      <c r="J483" s="1710"/>
      <c r="K483" s="1711"/>
      <c r="L483" s="1715" t="s">
        <v>520</v>
      </c>
      <c r="M483" s="1716"/>
      <c r="N483" s="1717"/>
    </row>
    <row r="484" spans="1:14" ht="15.75">
      <c r="A484" s="135">
        <v>13486</v>
      </c>
      <c r="B484" s="1706" t="s">
        <v>126</v>
      </c>
      <c r="C484" s="1707"/>
      <c r="D484" s="1707"/>
      <c r="E484" s="1707"/>
      <c r="F484" s="1707"/>
      <c r="G484" s="1707"/>
      <c r="H484" s="1708"/>
      <c r="I484" s="1709">
        <v>1350000</v>
      </c>
      <c r="J484" s="1710"/>
      <c r="K484" s="1711"/>
      <c r="L484" s="1715" t="s">
        <v>520</v>
      </c>
      <c r="M484" s="1716"/>
      <c r="N484" s="1717"/>
    </row>
    <row r="485" spans="1:14" ht="15.75">
      <c r="A485" s="135">
        <v>13514</v>
      </c>
      <c r="B485" s="1706" t="s">
        <v>908</v>
      </c>
      <c r="C485" s="1707"/>
      <c r="D485" s="1707"/>
      <c r="E485" s="1707"/>
      <c r="F485" s="1707"/>
      <c r="G485" s="1707"/>
      <c r="H485" s="1708"/>
      <c r="I485" s="1709">
        <v>1850000</v>
      </c>
      <c r="J485" s="1710"/>
      <c r="K485" s="1711"/>
      <c r="L485" s="1712" t="s">
        <v>520</v>
      </c>
      <c r="M485" s="1713"/>
      <c r="N485" s="1714"/>
    </row>
    <row r="486" spans="1:14" ht="15.75">
      <c r="A486" s="135">
        <v>13563</v>
      </c>
      <c r="B486" s="1706" t="s">
        <v>885</v>
      </c>
      <c r="C486" s="1707"/>
      <c r="D486" s="1707"/>
      <c r="E486" s="1707"/>
      <c r="F486" s="1707"/>
      <c r="G486" s="1707"/>
      <c r="H486" s="1708"/>
      <c r="I486" s="1709">
        <v>1100000</v>
      </c>
      <c r="J486" s="1710"/>
      <c r="K486" s="1711"/>
      <c r="L486" s="1712" t="s">
        <v>520</v>
      </c>
      <c r="M486" s="1713"/>
      <c r="N486" s="1714"/>
    </row>
    <row r="487" spans="1:14" ht="15.75">
      <c r="A487" s="135">
        <v>13598</v>
      </c>
      <c r="B487" s="1706" t="s">
        <v>862</v>
      </c>
      <c r="C487" s="1707"/>
      <c r="D487" s="1707"/>
      <c r="E487" s="1707"/>
      <c r="F487" s="1707"/>
      <c r="G487" s="1707"/>
      <c r="H487" s="1708"/>
      <c r="I487" s="1709">
        <v>1400000</v>
      </c>
      <c r="J487" s="1710"/>
      <c r="K487" s="1711"/>
      <c r="L487" s="1712" t="s">
        <v>520</v>
      </c>
      <c r="M487" s="1713"/>
      <c r="N487" s="1714"/>
    </row>
    <row r="488" spans="1:14" ht="15.75">
      <c r="A488" s="135">
        <v>13638</v>
      </c>
      <c r="B488" s="1706" t="s">
        <v>909</v>
      </c>
      <c r="C488" s="1707" t="s">
        <v>909</v>
      </c>
      <c r="D488" s="1707"/>
      <c r="E488" s="1707"/>
      <c r="F488" s="1707"/>
      <c r="G488" s="1707"/>
      <c r="H488" s="1708"/>
      <c r="I488" s="1709">
        <v>1400000</v>
      </c>
      <c r="J488" s="1710"/>
      <c r="K488" s="1711"/>
      <c r="L488" s="1712" t="s">
        <v>520</v>
      </c>
      <c r="M488" s="1713"/>
      <c r="N488" s="1714"/>
    </row>
    <row r="489" spans="1:14" ht="15.75">
      <c r="A489" s="135"/>
      <c r="B489" s="1076"/>
      <c r="C489" s="1077"/>
      <c r="D489" s="1077"/>
      <c r="E489" s="1077"/>
      <c r="F489" s="1077"/>
      <c r="G489" s="1077"/>
      <c r="H489" s="1078"/>
      <c r="I489" s="789"/>
      <c r="J489" s="790"/>
      <c r="K489" s="791"/>
      <c r="L489" s="739"/>
      <c r="M489" s="1115"/>
      <c r="N489" s="740"/>
    </row>
    <row r="490" spans="1:14" ht="18">
      <c r="B490" s="1700" t="s">
        <v>34</v>
      </c>
      <c r="C490" s="1701"/>
      <c r="D490" s="1701"/>
      <c r="E490" s="1701"/>
      <c r="F490" s="1701"/>
      <c r="G490" s="1701"/>
      <c r="H490" s="1702"/>
      <c r="I490" s="1703">
        <f>SUM(I475:K489)</f>
        <v>17400000</v>
      </c>
      <c r="J490" s="1704"/>
      <c r="K490" s="1705"/>
    </row>
    <row r="492" spans="1:14">
      <c r="A492" s="1718" t="s">
        <v>4446</v>
      </c>
      <c r="B492" s="1718"/>
      <c r="C492" s="1718"/>
      <c r="D492" s="1718"/>
      <c r="E492" s="1718"/>
      <c r="F492" s="1718"/>
      <c r="G492" s="1718"/>
      <c r="H492" s="1718"/>
      <c r="I492" s="1718"/>
      <c r="J492" s="1718"/>
      <c r="K492" s="1718"/>
      <c r="L492" s="1718"/>
      <c r="M492" s="1718"/>
      <c r="N492" s="1718"/>
    </row>
    <row r="493" spans="1:14">
      <c r="A493" s="1719"/>
      <c r="B493" s="1719"/>
      <c r="C493" s="1719"/>
      <c r="D493" s="1719"/>
      <c r="E493" s="1719"/>
      <c r="F493" s="1719"/>
      <c r="G493" s="1719"/>
      <c r="H493" s="1719"/>
      <c r="I493" s="1719"/>
      <c r="J493" s="1719"/>
      <c r="K493" s="1719"/>
      <c r="L493" s="1719"/>
      <c r="M493" s="1719"/>
      <c r="N493" s="1719"/>
    </row>
    <row r="494" spans="1:14">
      <c r="A494" s="606" t="s">
        <v>120</v>
      </c>
      <c r="B494" s="1720" t="s">
        <v>5</v>
      </c>
      <c r="C494" s="1720"/>
      <c r="D494" s="1720"/>
      <c r="E494" s="1720"/>
      <c r="F494" s="1720"/>
      <c r="G494" s="1720"/>
      <c r="H494" s="1720"/>
      <c r="I494" s="1720" t="s">
        <v>4410</v>
      </c>
      <c r="J494" s="1720"/>
      <c r="K494" s="1720"/>
      <c r="L494" s="1720" t="s">
        <v>4411</v>
      </c>
      <c r="M494" s="1720"/>
      <c r="N494" s="1720"/>
    </row>
    <row r="495" spans="1:14" ht="15.75">
      <c r="A495" s="135">
        <v>13415</v>
      </c>
      <c r="B495" s="1706" t="s">
        <v>861</v>
      </c>
      <c r="C495" s="1707"/>
      <c r="D495" s="1707"/>
      <c r="E495" s="1707"/>
      <c r="F495" s="1707"/>
      <c r="G495" s="1707"/>
      <c r="H495" s="1708"/>
      <c r="I495" s="1709">
        <v>1350000</v>
      </c>
      <c r="J495" s="1710"/>
      <c r="K495" s="1711"/>
      <c r="L495" s="1715" t="s">
        <v>180</v>
      </c>
      <c r="M495" s="1716"/>
      <c r="N495" s="1717"/>
    </row>
    <row r="496" spans="1:14" ht="15.75">
      <c r="A496" s="135">
        <v>13459</v>
      </c>
      <c r="B496" s="1706" t="s">
        <v>868</v>
      </c>
      <c r="C496" s="1707"/>
      <c r="D496" s="1707"/>
      <c r="E496" s="1707"/>
      <c r="F496" s="1707"/>
      <c r="G496" s="1707"/>
      <c r="H496" s="1708"/>
      <c r="I496" s="1709">
        <v>1300000</v>
      </c>
      <c r="J496" s="1710"/>
      <c r="K496" s="1711"/>
      <c r="L496" s="1715" t="s">
        <v>180</v>
      </c>
      <c r="M496" s="1716"/>
      <c r="N496" s="1717"/>
    </row>
    <row r="497" spans="1:14" ht="15.75">
      <c r="A497" s="135">
        <v>13589</v>
      </c>
      <c r="B497" s="1706" t="s">
        <v>874</v>
      </c>
      <c r="C497" s="1707"/>
      <c r="D497" s="1707"/>
      <c r="E497" s="1707"/>
      <c r="F497" s="1707"/>
      <c r="G497" s="1707"/>
      <c r="H497" s="1708"/>
      <c r="I497" s="1709">
        <v>1350000</v>
      </c>
      <c r="J497" s="1710"/>
      <c r="K497" s="1711"/>
      <c r="L497" s="1715" t="s">
        <v>180</v>
      </c>
      <c r="M497" s="1716"/>
      <c r="N497" s="1717"/>
    </row>
    <row r="498" spans="1:14" ht="15.75">
      <c r="A498" s="135">
        <v>13553</v>
      </c>
      <c r="B498" s="1706" t="s">
        <v>872</v>
      </c>
      <c r="C498" s="1707"/>
      <c r="D498" s="1707"/>
      <c r="E498" s="1707"/>
      <c r="F498" s="1707"/>
      <c r="G498" s="1707"/>
      <c r="H498" s="1708"/>
      <c r="I498" s="1709">
        <v>950000</v>
      </c>
      <c r="J498" s="1710"/>
      <c r="K498" s="1711"/>
      <c r="L498" s="1715" t="s">
        <v>180</v>
      </c>
      <c r="M498" s="1716"/>
      <c r="N498" s="1717"/>
    </row>
    <row r="499" spans="1:14" ht="15.75">
      <c r="A499" s="135">
        <v>13421</v>
      </c>
      <c r="B499" s="1706" t="s">
        <v>882</v>
      </c>
      <c r="C499" s="1707" t="s">
        <v>882</v>
      </c>
      <c r="D499" s="1707" t="s">
        <v>882</v>
      </c>
      <c r="E499" s="1707" t="s">
        <v>882</v>
      </c>
      <c r="F499" s="1707" t="s">
        <v>882</v>
      </c>
      <c r="G499" s="1707" t="s">
        <v>882</v>
      </c>
      <c r="H499" s="1708" t="s">
        <v>882</v>
      </c>
      <c r="I499" s="1709">
        <v>1500000</v>
      </c>
      <c r="J499" s="1710">
        <v>1500000</v>
      </c>
      <c r="K499" s="1711">
        <v>1500000</v>
      </c>
      <c r="L499" s="1715" t="s">
        <v>311</v>
      </c>
      <c r="M499" s="1716"/>
      <c r="N499" s="1717"/>
    </row>
    <row r="500" spans="1:14" ht="15.75">
      <c r="A500" s="135">
        <v>13417</v>
      </c>
      <c r="B500" s="1706" t="s">
        <v>884</v>
      </c>
      <c r="C500" s="1707" t="s">
        <v>884</v>
      </c>
      <c r="D500" s="1707" t="s">
        <v>884</v>
      </c>
      <c r="E500" s="1707" t="s">
        <v>884</v>
      </c>
      <c r="F500" s="1707" t="s">
        <v>884</v>
      </c>
      <c r="G500" s="1707" t="s">
        <v>884</v>
      </c>
      <c r="H500" s="1708" t="s">
        <v>884</v>
      </c>
      <c r="I500" s="1709">
        <v>800000</v>
      </c>
      <c r="J500" s="1710">
        <v>800000</v>
      </c>
      <c r="K500" s="1711">
        <v>800000</v>
      </c>
      <c r="L500" s="1715" t="s">
        <v>311</v>
      </c>
      <c r="M500" s="1716"/>
      <c r="N500" s="1717"/>
    </row>
    <row r="501" spans="1:14" ht="15.75">
      <c r="A501" s="135">
        <v>13428</v>
      </c>
      <c r="B501" s="1706" t="s">
        <v>886</v>
      </c>
      <c r="C501" s="1707" t="s">
        <v>886</v>
      </c>
      <c r="D501" s="1707" t="s">
        <v>886</v>
      </c>
      <c r="E501" s="1707" t="s">
        <v>886</v>
      </c>
      <c r="F501" s="1707" t="s">
        <v>886</v>
      </c>
      <c r="G501" s="1707" t="s">
        <v>886</v>
      </c>
      <c r="H501" s="1708" t="s">
        <v>886</v>
      </c>
      <c r="I501" s="1709">
        <v>1500000</v>
      </c>
      <c r="J501" s="1710">
        <v>1500000</v>
      </c>
      <c r="K501" s="1711">
        <v>1500000</v>
      </c>
      <c r="L501" s="1715" t="s">
        <v>311</v>
      </c>
      <c r="M501" s="1716"/>
      <c r="N501" s="1717"/>
    </row>
    <row r="502" spans="1:14" ht="15.75">
      <c r="A502" s="135">
        <v>13447</v>
      </c>
      <c r="B502" s="1706" t="s">
        <v>888</v>
      </c>
      <c r="C502" s="1707" t="s">
        <v>888</v>
      </c>
      <c r="D502" s="1707" t="s">
        <v>888</v>
      </c>
      <c r="E502" s="1707" t="s">
        <v>888</v>
      </c>
      <c r="F502" s="1707" t="s">
        <v>888</v>
      </c>
      <c r="G502" s="1707" t="s">
        <v>888</v>
      </c>
      <c r="H502" s="1708" t="s">
        <v>888</v>
      </c>
      <c r="I502" s="1709">
        <v>1300000</v>
      </c>
      <c r="J502" s="1710">
        <v>1300000</v>
      </c>
      <c r="K502" s="1711">
        <v>1300000</v>
      </c>
      <c r="L502" s="1715" t="s">
        <v>311</v>
      </c>
      <c r="M502" s="1716"/>
      <c r="N502" s="1717"/>
    </row>
    <row r="503" spans="1:14" ht="15.75">
      <c r="A503" s="135">
        <v>13450</v>
      </c>
      <c r="B503" s="1706" t="s">
        <v>890</v>
      </c>
      <c r="C503" s="1707" t="s">
        <v>890</v>
      </c>
      <c r="D503" s="1707" t="s">
        <v>890</v>
      </c>
      <c r="E503" s="1707" t="s">
        <v>890</v>
      </c>
      <c r="F503" s="1707" t="s">
        <v>890</v>
      </c>
      <c r="G503" s="1707" t="s">
        <v>890</v>
      </c>
      <c r="H503" s="1708" t="s">
        <v>890</v>
      </c>
      <c r="I503" s="1709">
        <v>1300000</v>
      </c>
      <c r="J503" s="1710">
        <v>1300000</v>
      </c>
      <c r="K503" s="1711">
        <v>1300000</v>
      </c>
      <c r="L503" s="1715" t="s">
        <v>311</v>
      </c>
      <c r="M503" s="1716"/>
      <c r="N503" s="1717"/>
    </row>
    <row r="504" spans="1:14" ht="15.75">
      <c r="A504" s="135">
        <v>13449</v>
      </c>
      <c r="B504" s="1706" t="s">
        <v>891</v>
      </c>
      <c r="C504" s="1707" t="s">
        <v>891</v>
      </c>
      <c r="D504" s="1707" t="s">
        <v>891</v>
      </c>
      <c r="E504" s="1707" t="s">
        <v>891</v>
      </c>
      <c r="F504" s="1707" t="s">
        <v>891</v>
      </c>
      <c r="G504" s="1707" t="s">
        <v>891</v>
      </c>
      <c r="H504" s="1708" t="s">
        <v>891</v>
      </c>
      <c r="I504" s="1709">
        <v>750000</v>
      </c>
      <c r="J504" s="1710">
        <v>750000</v>
      </c>
      <c r="K504" s="1711">
        <v>750000</v>
      </c>
      <c r="L504" s="1715" t="s">
        <v>311</v>
      </c>
      <c r="M504" s="1716"/>
      <c r="N504" s="1717"/>
    </row>
    <row r="505" spans="1:14" ht="15.75">
      <c r="A505" s="135">
        <v>13492</v>
      </c>
      <c r="B505" s="1706" t="s">
        <v>892</v>
      </c>
      <c r="C505" s="1707" t="s">
        <v>892</v>
      </c>
      <c r="D505" s="1707" t="s">
        <v>892</v>
      </c>
      <c r="E505" s="1707" t="s">
        <v>892</v>
      </c>
      <c r="F505" s="1707" t="s">
        <v>892</v>
      </c>
      <c r="G505" s="1707" t="s">
        <v>892</v>
      </c>
      <c r="H505" s="1708" t="s">
        <v>892</v>
      </c>
      <c r="I505" s="1709">
        <v>1450000</v>
      </c>
      <c r="J505" s="1710">
        <v>1450000</v>
      </c>
      <c r="K505" s="1711">
        <v>1450000</v>
      </c>
      <c r="L505" s="1715" t="s">
        <v>311</v>
      </c>
      <c r="M505" s="1716"/>
      <c r="N505" s="1717"/>
    </row>
    <row r="506" spans="1:14" ht="15.75">
      <c r="A506" s="135">
        <v>13491</v>
      </c>
      <c r="B506" s="1706" t="s">
        <v>893</v>
      </c>
      <c r="C506" s="1707" t="s">
        <v>893</v>
      </c>
      <c r="D506" s="1707" t="s">
        <v>893</v>
      </c>
      <c r="E506" s="1707" t="s">
        <v>893</v>
      </c>
      <c r="F506" s="1707" t="s">
        <v>893</v>
      </c>
      <c r="G506" s="1707" t="s">
        <v>893</v>
      </c>
      <c r="H506" s="1708" t="s">
        <v>893</v>
      </c>
      <c r="I506" s="1709">
        <v>1100000</v>
      </c>
      <c r="J506" s="1710">
        <v>1100000</v>
      </c>
      <c r="K506" s="1711">
        <v>1100000</v>
      </c>
      <c r="L506" s="1715" t="s">
        <v>311</v>
      </c>
      <c r="M506" s="1716"/>
      <c r="N506" s="1717"/>
    </row>
    <row r="507" spans="1:14" ht="15.75">
      <c r="A507" s="135">
        <v>13480</v>
      </c>
      <c r="B507" s="1706" t="s">
        <v>894</v>
      </c>
      <c r="C507" s="1707" t="s">
        <v>894</v>
      </c>
      <c r="D507" s="1707" t="s">
        <v>894</v>
      </c>
      <c r="E507" s="1707" t="s">
        <v>894</v>
      </c>
      <c r="F507" s="1707" t="s">
        <v>894</v>
      </c>
      <c r="G507" s="1707" t="s">
        <v>894</v>
      </c>
      <c r="H507" s="1708" t="s">
        <v>894</v>
      </c>
      <c r="I507" s="1709">
        <v>1200000</v>
      </c>
      <c r="J507" s="1710">
        <v>1200000</v>
      </c>
      <c r="K507" s="1711">
        <v>1200000</v>
      </c>
      <c r="L507" s="1715" t="s">
        <v>311</v>
      </c>
      <c r="M507" s="1716"/>
      <c r="N507" s="1717"/>
    </row>
    <row r="508" spans="1:14" ht="15.75">
      <c r="A508" s="135">
        <v>13525</v>
      </c>
      <c r="B508" s="1706" t="s">
        <v>895</v>
      </c>
      <c r="C508" s="1707" t="s">
        <v>895</v>
      </c>
      <c r="D508" s="1707" t="s">
        <v>895</v>
      </c>
      <c r="E508" s="1707" t="s">
        <v>895</v>
      </c>
      <c r="F508" s="1707" t="s">
        <v>895</v>
      </c>
      <c r="G508" s="1707" t="s">
        <v>895</v>
      </c>
      <c r="H508" s="1708" t="s">
        <v>895</v>
      </c>
      <c r="I508" s="1709">
        <v>1450000</v>
      </c>
      <c r="J508" s="1710">
        <v>1450000</v>
      </c>
      <c r="K508" s="1711">
        <v>1450000</v>
      </c>
      <c r="L508" s="1715" t="s">
        <v>311</v>
      </c>
      <c r="M508" s="1716"/>
      <c r="N508" s="1717"/>
    </row>
    <row r="509" spans="1:14" ht="15.75">
      <c r="A509" s="135">
        <v>13497</v>
      </c>
      <c r="B509" s="1706" t="s">
        <v>896</v>
      </c>
      <c r="C509" s="1707" t="s">
        <v>896</v>
      </c>
      <c r="D509" s="1707" t="s">
        <v>896</v>
      </c>
      <c r="E509" s="1707" t="s">
        <v>896</v>
      </c>
      <c r="F509" s="1707" t="s">
        <v>896</v>
      </c>
      <c r="G509" s="1707" t="s">
        <v>896</v>
      </c>
      <c r="H509" s="1708" t="s">
        <v>896</v>
      </c>
      <c r="I509" s="1709">
        <v>1350000</v>
      </c>
      <c r="J509" s="1710">
        <v>1350000</v>
      </c>
      <c r="K509" s="1711">
        <v>1350000</v>
      </c>
      <c r="L509" s="1715" t="s">
        <v>311</v>
      </c>
      <c r="M509" s="1716"/>
      <c r="N509" s="1717"/>
    </row>
    <row r="510" spans="1:14" ht="15.75">
      <c r="A510" s="135">
        <v>13527</v>
      </c>
      <c r="B510" s="1706" t="s">
        <v>897</v>
      </c>
      <c r="C510" s="1707" t="s">
        <v>897</v>
      </c>
      <c r="D510" s="1707" t="s">
        <v>897</v>
      </c>
      <c r="E510" s="1707" t="s">
        <v>897</v>
      </c>
      <c r="F510" s="1707" t="s">
        <v>897</v>
      </c>
      <c r="G510" s="1707" t="s">
        <v>897</v>
      </c>
      <c r="H510" s="1708" t="s">
        <v>897</v>
      </c>
      <c r="I510" s="1709">
        <v>1500000</v>
      </c>
      <c r="J510" s="1710">
        <v>1500000</v>
      </c>
      <c r="K510" s="1711">
        <v>1500000</v>
      </c>
      <c r="L510" s="1715" t="s">
        <v>311</v>
      </c>
      <c r="M510" s="1716"/>
      <c r="N510" s="1717"/>
    </row>
    <row r="511" spans="1:14" ht="15.75">
      <c r="A511" s="135">
        <v>13534</v>
      </c>
      <c r="B511" s="1706" t="s">
        <v>898</v>
      </c>
      <c r="C511" s="1707" t="s">
        <v>898</v>
      </c>
      <c r="D511" s="1707" t="s">
        <v>898</v>
      </c>
      <c r="E511" s="1707" t="s">
        <v>898</v>
      </c>
      <c r="F511" s="1707" t="s">
        <v>898</v>
      </c>
      <c r="G511" s="1707" t="s">
        <v>898</v>
      </c>
      <c r="H511" s="1708" t="s">
        <v>898</v>
      </c>
      <c r="I511" s="1709">
        <v>1450000</v>
      </c>
      <c r="J511" s="1710">
        <v>1450000</v>
      </c>
      <c r="K511" s="1711">
        <v>1450000</v>
      </c>
      <c r="L511" s="1715" t="s">
        <v>311</v>
      </c>
      <c r="M511" s="1716"/>
      <c r="N511" s="1717"/>
    </row>
    <row r="512" spans="1:14" ht="15.75">
      <c r="A512" s="135">
        <v>13580</v>
      </c>
      <c r="B512" s="1706" t="s">
        <v>899</v>
      </c>
      <c r="C512" s="1707" t="s">
        <v>899</v>
      </c>
      <c r="D512" s="1707" t="s">
        <v>899</v>
      </c>
      <c r="E512" s="1707" t="s">
        <v>899</v>
      </c>
      <c r="F512" s="1707" t="s">
        <v>899</v>
      </c>
      <c r="G512" s="1707" t="s">
        <v>899</v>
      </c>
      <c r="H512" s="1708" t="s">
        <v>899</v>
      </c>
      <c r="I512" s="1709">
        <v>1350000</v>
      </c>
      <c r="J512" s="1710">
        <v>1350000</v>
      </c>
      <c r="K512" s="1711">
        <v>1350000</v>
      </c>
      <c r="L512" s="1715" t="s">
        <v>311</v>
      </c>
      <c r="M512" s="1716"/>
      <c r="N512" s="1717"/>
    </row>
    <row r="513" spans="1:14" ht="15.75">
      <c r="A513" s="135">
        <v>13554</v>
      </c>
      <c r="B513" s="1706" t="s">
        <v>838</v>
      </c>
      <c r="C513" s="1707" t="s">
        <v>838</v>
      </c>
      <c r="D513" s="1707" t="s">
        <v>838</v>
      </c>
      <c r="E513" s="1707" t="s">
        <v>838</v>
      </c>
      <c r="F513" s="1707" t="s">
        <v>838</v>
      </c>
      <c r="G513" s="1707" t="s">
        <v>838</v>
      </c>
      <c r="H513" s="1708" t="s">
        <v>838</v>
      </c>
      <c r="I513" s="1709">
        <v>1100000</v>
      </c>
      <c r="J513" s="1710">
        <v>1100000</v>
      </c>
      <c r="K513" s="1711">
        <v>1100000</v>
      </c>
      <c r="L513" s="1715" t="s">
        <v>311</v>
      </c>
      <c r="M513" s="1716"/>
      <c r="N513" s="1717"/>
    </row>
    <row r="514" spans="1:14" ht="15.75">
      <c r="A514" s="135">
        <v>13620</v>
      </c>
      <c r="B514" s="1706" t="s">
        <v>900</v>
      </c>
      <c r="C514" s="1707" t="s">
        <v>900</v>
      </c>
      <c r="D514" s="1707" t="s">
        <v>900</v>
      </c>
      <c r="E514" s="1707" t="s">
        <v>900</v>
      </c>
      <c r="F514" s="1707" t="s">
        <v>900</v>
      </c>
      <c r="G514" s="1707" t="s">
        <v>900</v>
      </c>
      <c r="H514" s="1708" t="s">
        <v>900</v>
      </c>
      <c r="I514" s="1709">
        <v>1350000</v>
      </c>
      <c r="J514" s="1710">
        <v>1350000</v>
      </c>
      <c r="K514" s="1711">
        <v>1350000</v>
      </c>
      <c r="L514" s="1715" t="s">
        <v>311</v>
      </c>
      <c r="M514" s="1716"/>
      <c r="N514" s="1717"/>
    </row>
    <row r="515" spans="1:14" ht="15.75">
      <c r="A515" s="135">
        <v>13617</v>
      </c>
      <c r="B515" s="1706" t="s">
        <v>901</v>
      </c>
      <c r="C515" s="1707" t="s">
        <v>901</v>
      </c>
      <c r="D515" s="1707" t="s">
        <v>901</v>
      </c>
      <c r="E515" s="1707" t="s">
        <v>901</v>
      </c>
      <c r="F515" s="1707" t="s">
        <v>901</v>
      </c>
      <c r="G515" s="1707" t="s">
        <v>901</v>
      </c>
      <c r="H515" s="1708" t="s">
        <v>901</v>
      </c>
      <c r="I515" s="1709">
        <v>1350000</v>
      </c>
      <c r="J515" s="1710">
        <v>1350000</v>
      </c>
      <c r="K515" s="1711">
        <v>1350000</v>
      </c>
      <c r="L515" s="1715" t="s">
        <v>311</v>
      </c>
      <c r="M515" s="1716"/>
      <c r="N515" s="1717"/>
    </row>
    <row r="516" spans="1:14" ht="15.75">
      <c r="A516" s="241">
        <v>13484</v>
      </c>
      <c r="B516" s="1706" t="s">
        <v>907</v>
      </c>
      <c r="C516" s="1707"/>
      <c r="D516" s="1707"/>
      <c r="E516" s="1707"/>
      <c r="F516" s="1707"/>
      <c r="G516" s="1707"/>
      <c r="H516" s="1708"/>
      <c r="I516" s="1709">
        <v>1100000</v>
      </c>
      <c r="J516" s="1710"/>
      <c r="K516" s="1711"/>
      <c r="L516" s="1712" t="s">
        <v>914</v>
      </c>
      <c r="M516" s="1713"/>
      <c r="N516" s="1714"/>
    </row>
    <row r="517" spans="1:14" ht="15.75">
      <c r="A517" s="135">
        <v>13592</v>
      </c>
      <c r="B517" s="1706" t="s">
        <v>906</v>
      </c>
      <c r="C517" s="1707"/>
      <c r="D517" s="1707"/>
      <c r="E517" s="1707"/>
      <c r="F517" s="1707"/>
      <c r="G517" s="1707"/>
      <c r="H517" s="1708"/>
      <c r="I517" s="1709">
        <v>1400000</v>
      </c>
      <c r="J517" s="1710"/>
      <c r="K517" s="1711"/>
      <c r="L517" s="1712" t="s">
        <v>914</v>
      </c>
      <c r="M517" s="1713"/>
      <c r="N517" s="1714"/>
    </row>
    <row r="518" spans="1:14" ht="15.75">
      <c r="A518" s="135"/>
      <c r="B518" s="1706"/>
      <c r="C518" s="1707"/>
      <c r="D518" s="1707"/>
      <c r="E518" s="1707"/>
      <c r="F518" s="1707"/>
      <c r="G518" s="1707"/>
      <c r="H518" s="1708"/>
      <c r="I518" s="1709"/>
      <c r="J518" s="1710"/>
      <c r="K518" s="1711"/>
      <c r="L518" s="1712"/>
      <c r="M518" s="1713"/>
      <c r="N518" s="1714"/>
    </row>
    <row r="519" spans="1:14" ht="18">
      <c r="B519" s="1700" t="s">
        <v>34</v>
      </c>
      <c r="C519" s="1701"/>
      <c r="D519" s="1701"/>
      <c r="E519" s="1701"/>
      <c r="F519" s="1701"/>
      <c r="G519" s="1701"/>
      <c r="H519" s="1702"/>
      <c r="I519" s="1703">
        <v>29250000</v>
      </c>
      <c r="J519" s="1704"/>
      <c r="K519" s="1705"/>
    </row>
    <row r="522" spans="1:14">
      <c r="A522" s="1721" t="s">
        <v>4447</v>
      </c>
      <c r="B522" s="1721"/>
      <c r="C522" s="1721"/>
      <c r="D522" s="1721"/>
      <c r="E522" s="1721"/>
      <c r="F522" s="1721"/>
      <c r="G522" s="1721"/>
      <c r="H522" s="1721"/>
      <c r="I522" s="1721"/>
      <c r="J522" s="1721"/>
      <c r="K522" s="1721"/>
      <c r="L522" s="1721"/>
      <c r="M522" s="1721"/>
      <c r="N522" s="1721"/>
    </row>
    <row r="523" spans="1:14">
      <c r="A523" s="1721"/>
      <c r="B523" s="1721"/>
      <c r="C523" s="1721"/>
      <c r="D523" s="1721"/>
      <c r="E523" s="1721"/>
      <c r="F523" s="1721"/>
      <c r="G523" s="1721"/>
      <c r="H523" s="1721"/>
      <c r="I523" s="1721"/>
      <c r="J523" s="1721"/>
      <c r="K523" s="1721"/>
      <c r="L523" s="1721"/>
      <c r="M523" s="1721"/>
      <c r="N523" s="1721"/>
    </row>
    <row r="525" spans="1:14">
      <c r="A525" s="1718" t="s">
        <v>4448</v>
      </c>
      <c r="B525" s="1718"/>
      <c r="C525" s="1718"/>
      <c r="D525" s="1718"/>
      <c r="E525" s="1718"/>
      <c r="F525" s="1718"/>
      <c r="G525" s="1718"/>
      <c r="H525" s="1718"/>
      <c r="I525" s="1718"/>
      <c r="J525" s="1718"/>
      <c r="K525" s="1718"/>
      <c r="L525" s="1718"/>
      <c r="M525" s="1718"/>
      <c r="N525" s="1718"/>
    </row>
    <row r="526" spans="1:14">
      <c r="A526" s="1718"/>
      <c r="B526" s="1718"/>
      <c r="C526" s="1718"/>
      <c r="D526" s="1718"/>
      <c r="E526" s="1718"/>
      <c r="F526" s="1718"/>
      <c r="G526" s="1718"/>
      <c r="H526" s="1718"/>
      <c r="I526" s="1718"/>
      <c r="J526" s="1718"/>
      <c r="K526" s="1718"/>
      <c r="L526" s="1718"/>
      <c r="M526" s="1718"/>
      <c r="N526" s="1718"/>
    </row>
    <row r="527" spans="1:14">
      <c r="A527" s="615" t="s">
        <v>120</v>
      </c>
      <c r="B527" s="1722" t="s">
        <v>5</v>
      </c>
      <c r="C527" s="1722"/>
      <c r="D527" s="1722"/>
      <c r="E527" s="1722"/>
      <c r="F527" s="1722"/>
      <c r="G527" s="1722"/>
      <c r="H527" s="1722"/>
      <c r="I527" s="1723" t="s">
        <v>4410</v>
      </c>
      <c r="J527" s="1724"/>
      <c r="K527" s="1724"/>
      <c r="L527" s="1722" t="s">
        <v>4411</v>
      </c>
      <c r="M527" s="1722"/>
      <c r="N527" s="1722"/>
    </row>
    <row r="528" spans="1:14" ht="15.75">
      <c r="A528" s="135"/>
      <c r="B528" s="1706"/>
      <c r="C528" s="1707"/>
      <c r="D528" s="1707"/>
      <c r="E528" s="1707"/>
      <c r="F528" s="1707"/>
      <c r="G528" s="1707"/>
      <c r="H528" s="1708"/>
      <c r="I528" s="1709"/>
      <c r="J528" s="1710"/>
      <c r="K528" s="1711"/>
      <c r="L528" s="1728"/>
      <c r="M528" s="1729"/>
      <c r="N528" s="1730"/>
    </row>
    <row r="529" spans="1:14" ht="15.75">
      <c r="A529" s="346"/>
      <c r="B529" s="1706"/>
      <c r="C529" s="1707"/>
      <c r="D529" s="1707"/>
      <c r="E529" s="1707"/>
      <c r="F529" s="1707"/>
      <c r="G529" s="1707"/>
      <c r="H529" s="1708"/>
      <c r="I529" s="1709"/>
      <c r="J529" s="1710"/>
      <c r="K529" s="1711"/>
      <c r="L529" s="1728"/>
      <c r="M529" s="1729"/>
      <c r="N529" s="1730"/>
    </row>
    <row r="530" spans="1:14" ht="15.75">
      <c r="A530" s="346"/>
      <c r="B530" s="1706"/>
      <c r="C530" s="1707"/>
      <c r="D530" s="1707"/>
      <c r="E530" s="1707"/>
      <c r="F530" s="1707"/>
      <c r="G530" s="1707"/>
      <c r="H530" s="1708"/>
      <c r="I530" s="1709"/>
      <c r="J530" s="1710"/>
      <c r="K530" s="1711"/>
      <c r="L530" s="1728"/>
      <c r="M530" s="1729"/>
      <c r="N530" s="1730"/>
    </row>
    <row r="531" spans="1:14" ht="15.75">
      <c r="A531" s="346"/>
      <c r="B531" s="1706"/>
      <c r="C531" s="1707"/>
      <c r="D531" s="1707"/>
      <c r="E531" s="1707"/>
      <c r="F531" s="1707"/>
      <c r="G531" s="1707"/>
      <c r="H531" s="1708"/>
      <c r="I531" s="1709"/>
      <c r="J531" s="1710"/>
      <c r="K531" s="1711"/>
      <c r="L531" s="1728"/>
      <c r="M531" s="1729"/>
      <c r="N531" s="1730"/>
    </row>
    <row r="532" spans="1:14" ht="15.75">
      <c r="A532" s="346"/>
      <c r="B532" s="1706"/>
      <c r="C532" s="1707"/>
      <c r="D532" s="1707"/>
      <c r="E532" s="1707"/>
      <c r="F532" s="1707"/>
      <c r="G532" s="1707"/>
      <c r="H532" s="1708"/>
      <c r="I532" s="1709"/>
      <c r="J532" s="1710"/>
      <c r="K532" s="1711"/>
      <c r="L532" s="1728"/>
      <c r="M532" s="1729"/>
      <c r="N532" s="1730"/>
    </row>
    <row r="533" spans="1:14" ht="15.75">
      <c r="A533" s="346"/>
      <c r="B533" s="1706"/>
      <c r="C533" s="1707"/>
      <c r="D533" s="1707"/>
      <c r="E533" s="1707"/>
      <c r="F533" s="1707"/>
      <c r="G533" s="1707"/>
      <c r="H533" s="1708"/>
      <c r="I533" s="1709"/>
      <c r="J533" s="1710"/>
      <c r="K533" s="1711"/>
      <c r="L533" s="1728"/>
      <c r="M533" s="1729"/>
      <c r="N533" s="1730"/>
    </row>
    <row r="534" spans="1:14" ht="15.75">
      <c r="A534" s="346"/>
      <c r="B534" s="1752"/>
      <c r="C534" s="1753"/>
      <c r="D534" s="1753"/>
      <c r="E534" s="1753"/>
      <c r="F534" s="1753"/>
      <c r="G534" s="1753"/>
      <c r="H534" s="1754"/>
      <c r="I534" s="1709"/>
      <c r="J534" s="1710"/>
      <c r="K534" s="1711"/>
      <c r="L534" s="1728"/>
      <c r="M534" s="1729"/>
      <c r="N534" s="1730"/>
    </row>
    <row r="535" spans="1:14" ht="15.75">
      <c r="A535" s="701"/>
      <c r="B535" s="1752"/>
      <c r="C535" s="1753"/>
      <c r="D535" s="1753"/>
      <c r="E535" s="1753"/>
      <c r="F535" s="1753"/>
      <c r="G535" s="1753"/>
      <c r="H535" s="1754"/>
      <c r="I535" s="1709"/>
      <c r="J535" s="1710"/>
      <c r="K535" s="1711"/>
      <c r="L535" s="1728"/>
      <c r="M535" s="1729"/>
      <c r="N535" s="1730"/>
    </row>
    <row r="536" spans="1:14" ht="15.75">
      <c r="A536" s="701"/>
      <c r="B536" s="1706"/>
      <c r="C536" s="1707"/>
      <c r="D536" s="1707"/>
      <c r="E536" s="1707"/>
      <c r="F536" s="1707"/>
      <c r="G536" s="1707"/>
      <c r="H536" s="1708"/>
      <c r="I536" s="1709"/>
      <c r="J536" s="1710"/>
      <c r="K536" s="1711"/>
      <c r="L536" s="1712"/>
      <c r="M536" s="1713"/>
      <c r="N536" s="1714"/>
    </row>
    <row r="537" spans="1:14" ht="15.75">
      <c r="A537" s="346"/>
      <c r="B537" s="1731"/>
      <c r="C537" s="1732"/>
      <c r="D537" s="1732"/>
      <c r="E537" s="1732"/>
      <c r="F537" s="1732"/>
      <c r="G537" s="1732"/>
      <c r="H537" s="1733"/>
      <c r="I537" s="1709"/>
      <c r="J537" s="1710"/>
      <c r="K537" s="1711"/>
      <c r="L537" s="1712"/>
      <c r="M537" s="1713"/>
      <c r="N537" s="1714"/>
    </row>
    <row r="538" spans="1:14" ht="15.75">
      <c r="A538" s="346"/>
      <c r="B538" s="1731"/>
      <c r="C538" s="1732"/>
      <c r="D538" s="1732"/>
      <c r="E538" s="1732"/>
      <c r="F538" s="1732"/>
      <c r="G538" s="1732"/>
      <c r="H538" s="1733"/>
      <c r="I538" s="1709"/>
      <c r="J538" s="1710"/>
      <c r="K538" s="1711"/>
      <c r="L538" s="1712"/>
      <c r="M538" s="1713"/>
      <c r="N538" s="1714"/>
    </row>
    <row r="539" spans="1:14" ht="15.75">
      <c r="A539" s="346"/>
      <c r="B539" s="1731"/>
      <c r="C539" s="1732"/>
      <c r="D539" s="1732"/>
      <c r="E539" s="1732"/>
      <c r="F539" s="1732"/>
      <c r="G539" s="1732"/>
      <c r="H539" s="1733"/>
      <c r="I539" s="1709"/>
      <c r="J539" s="1710"/>
      <c r="K539" s="1711"/>
      <c r="L539" s="1712"/>
      <c r="M539" s="1713"/>
      <c r="N539" s="1714"/>
    </row>
    <row r="540" spans="1:14" ht="15.75">
      <c r="A540" s="346"/>
      <c r="B540" s="1731"/>
      <c r="C540" s="1732"/>
      <c r="D540" s="1732"/>
      <c r="E540" s="1732"/>
      <c r="F540" s="1732"/>
      <c r="G540" s="1732"/>
      <c r="H540" s="1733"/>
      <c r="I540" s="1709"/>
      <c r="J540" s="1710"/>
      <c r="K540" s="1711"/>
      <c r="L540" s="1712"/>
      <c r="M540" s="1713"/>
      <c r="N540" s="1714"/>
    </row>
    <row r="541" spans="1:14" ht="15.75">
      <c r="A541" s="135"/>
      <c r="B541" s="1731"/>
      <c r="C541" s="1732"/>
      <c r="D541" s="1732"/>
      <c r="E541" s="1732"/>
      <c r="F541" s="1732"/>
      <c r="G541" s="1732"/>
      <c r="H541" s="1733"/>
      <c r="I541" s="1709"/>
      <c r="J541" s="1710"/>
      <c r="K541" s="1711"/>
      <c r="L541" s="1712"/>
      <c r="M541" s="1713"/>
      <c r="N541" s="1714"/>
    </row>
    <row r="542" spans="1:14" ht="15.75">
      <c r="A542" s="741"/>
      <c r="B542" s="1731"/>
      <c r="C542" s="1732"/>
      <c r="D542" s="1732"/>
      <c r="E542" s="1732"/>
      <c r="F542" s="1732"/>
      <c r="G542" s="1732"/>
      <c r="H542" s="1733"/>
      <c r="I542" s="1709"/>
      <c r="J542" s="1710"/>
      <c r="K542" s="1711"/>
      <c r="L542" s="1712"/>
      <c r="M542" s="1713"/>
      <c r="N542" s="1714"/>
    </row>
    <row r="543" spans="1:14" ht="18">
      <c r="A543" s="14"/>
      <c r="B543" s="1700" t="s">
        <v>34</v>
      </c>
      <c r="C543" s="1701"/>
      <c r="D543" s="1701"/>
      <c r="E543" s="1701"/>
      <c r="F543" s="1701"/>
      <c r="G543" s="1701"/>
      <c r="H543" s="1702"/>
      <c r="I543" s="1703">
        <f>SUM(I528:I542)</f>
        <v>0</v>
      </c>
      <c r="J543" s="1734"/>
      <c r="K543" s="1735"/>
      <c r="L543" s="1725"/>
      <c r="M543" s="1726"/>
      <c r="N543" s="1727"/>
    </row>
    <row r="547" spans="1:14">
      <c r="A547" s="1718" t="s">
        <v>4449</v>
      </c>
      <c r="B547" s="1718"/>
      <c r="C547" s="1718"/>
      <c r="D547" s="1718"/>
      <c r="E547" s="1718"/>
      <c r="F547" s="1718"/>
      <c r="G547" s="1718"/>
      <c r="H547" s="1718"/>
      <c r="I547" s="1718"/>
      <c r="J547" s="1718"/>
      <c r="K547" s="1718"/>
      <c r="L547" s="1718"/>
      <c r="M547" s="1718"/>
      <c r="N547" s="1718"/>
    </row>
    <row r="548" spans="1:14">
      <c r="A548" s="1719"/>
      <c r="B548" s="1719"/>
      <c r="C548" s="1719"/>
      <c r="D548" s="1719"/>
      <c r="E548" s="1719"/>
      <c r="F548" s="1719"/>
      <c r="G548" s="1719"/>
      <c r="H548" s="1719"/>
      <c r="I548" s="1719"/>
      <c r="J548" s="1719"/>
      <c r="K548" s="1719"/>
      <c r="L548" s="1719"/>
      <c r="M548" s="1719"/>
      <c r="N548" s="1719"/>
    </row>
    <row r="549" spans="1:14">
      <c r="A549" s="606" t="s">
        <v>120</v>
      </c>
      <c r="B549" s="1720" t="s">
        <v>5</v>
      </c>
      <c r="C549" s="1720"/>
      <c r="D549" s="1720"/>
      <c r="E549" s="1720"/>
      <c r="F549" s="1720"/>
      <c r="G549" s="1720"/>
      <c r="H549" s="1720"/>
      <c r="I549" s="1720" t="s">
        <v>4410</v>
      </c>
      <c r="J549" s="1720"/>
      <c r="K549" s="1720"/>
      <c r="L549" s="1720" t="s">
        <v>4411</v>
      </c>
      <c r="M549" s="1720"/>
      <c r="N549" s="1720"/>
    </row>
    <row r="550" spans="1:14" ht="15.75">
      <c r="A550" s="135"/>
      <c r="B550" s="1706"/>
      <c r="C550" s="1707"/>
      <c r="D550" s="1707"/>
      <c r="E550" s="1707"/>
      <c r="F550" s="1707"/>
      <c r="G550" s="1707"/>
      <c r="H550" s="1708"/>
      <c r="I550" s="1709"/>
      <c r="J550" s="1710"/>
      <c r="K550" s="1711"/>
      <c r="L550" s="1712"/>
      <c r="M550" s="1713"/>
      <c r="N550" s="1714"/>
    </row>
    <row r="551" spans="1:14" ht="15.75">
      <c r="A551" s="701"/>
      <c r="B551" s="1706"/>
      <c r="C551" s="1707"/>
      <c r="D551" s="1707"/>
      <c r="E551" s="1707"/>
      <c r="F551" s="1707"/>
      <c r="G551" s="1707"/>
      <c r="H551" s="1708"/>
      <c r="I551" s="1709"/>
      <c r="J551" s="1710"/>
      <c r="K551" s="1711"/>
      <c r="L551" s="1712"/>
      <c r="M551" s="1713"/>
      <c r="N551" s="1714"/>
    </row>
    <row r="552" spans="1:14" ht="15.75">
      <c r="A552" s="346"/>
      <c r="B552" s="1706"/>
      <c r="C552" s="1707"/>
      <c r="D552" s="1707"/>
      <c r="E552" s="1707"/>
      <c r="F552" s="1707"/>
      <c r="G552" s="1707"/>
      <c r="H552" s="1708"/>
      <c r="I552" s="1709"/>
      <c r="J552" s="1710"/>
      <c r="K552" s="1711"/>
      <c r="L552" s="1712"/>
      <c r="M552" s="1713"/>
      <c r="N552" s="1714"/>
    </row>
    <row r="553" spans="1:14" ht="15.75">
      <c r="A553" s="346"/>
      <c r="B553" s="1706"/>
      <c r="C553" s="1707"/>
      <c r="D553" s="1707"/>
      <c r="E553" s="1707"/>
      <c r="F553" s="1707"/>
      <c r="G553" s="1707"/>
      <c r="H553" s="1708"/>
      <c r="I553" s="1709"/>
      <c r="J553" s="1710"/>
      <c r="K553" s="1711"/>
      <c r="L553" s="1712"/>
      <c r="M553" s="1713"/>
      <c r="N553" s="1714"/>
    </row>
    <row r="554" spans="1:14" ht="15.75">
      <c r="A554" s="135"/>
      <c r="B554" s="1706"/>
      <c r="C554" s="1707"/>
      <c r="D554" s="1707"/>
      <c r="E554" s="1707"/>
      <c r="F554" s="1707"/>
      <c r="G554" s="1707"/>
      <c r="H554" s="1708"/>
      <c r="I554" s="1709"/>
      <c r="J554" s="1710"/>
      <c r="K554" s="1711"/>
      <c r="L554" s="1712"/>
      <c r="M554" s="1713"/>
      <c r="N554" s="1714"/>
    </row>
    <row r="555" spans="1:14" ht="15.75">
      <c r="A555" s="135"/>
      <c r="B555" s="1706"/>
      <c r="C555" s="1707"/>
      <c r="D555" s="1707"/>
      <c r="E555" s="1707"/>
      <c r="F555" s="1707"/>
      <c r="G555" s="1707"/>
      <c r="H555" s="1708"/>
      <c r="I555" s="1709"/>
      <c r="J555" s="1710"/>
      <c r="K555" s="1711"/>
      <c r="L555" s="1712"/>
      <c r="M555" s="1713"/>
      <c r="N555" s="1714"/>
    </row>
    <row r="556" spans="1:14" ht="15.75">
      <c r="A556" s="135"/>
      <c r="B556" s="1706"/>
      <c r="C556" s="1707"/>
      <c r="D556" s="1707"/>
      <c r="E556" s="1707"/>
      <c r="F556" s="1707"/>
      <c r="G556" s="1707"/>
      <c r="H556" s="1708"/>
      <c r="I556" s="1709"/>
      <c r="J556" s="1710"/>
      <c r="K556" s="1711"/>
      <c r="L556" s="1712"/>
      <c r="M556" s="1713"/>
      <c r="N556" s="1714"/>
    </row>
    <row r="557" spans="1:14" ht="15.75">
      <c r="A557" s="135"/>
      <c r="B557" s="1706"/>
      <c r="C557" s="1707"/>
      <c r="D557" s="1707"/>
      <c r="E557" s="1707"/>
      <c r="F557" s="1707"/>
      <c r="G557" s="1707"/>
      <c r="H557" s="1708"/>
      <c r="I557" s="1709"/>
      <c r="J557" s="1710"/>
      <c r="K557" s="1711"/>
      <c r="L557" s="1712"/>
      <c r="M557" s="1713"/>
      <c r="N557" s="1714"/>
    </row>
    <row r="558" spans="1:14" ht="15.75">
      <c r="A558" s="135"/>
      <c r="B558" s="1706"/>
      <c r="C558" s="1707"/>
      <c r="D558" s="1707"/>
      <c r="E558" s="1707"/>
      <c r="F558" s="1707"/>
      <c r="G558" s="1707"/>
      <c r="H558" s="1708"/>
      <c r="I558" s="1709"/>
      <c r="J558" s="1710"/>
      <c r="K558" s="1711"/>
      <c r="L558" s="1712"/>
      <c r="M558" s="1713"/>
      <c r="N558" s="1714"/>
    </row>
    <row r="559" spans="1:14" ht="15.75">
      <c r="A559" s="135"/>
      <c r="B559" s="1706"/>
      <c r="C559" s="1707"/>
      <c r="D559" s="1707"/>
      <c r="E559" s="1707"/>
      <c r="F559" s="1707"/>
      <c r="G559" s="1707"/>
      <c r="H559" s="1708"/>
      <c r="I559" s="1709"/>
      <c r="J559" s="1710"/>
      <c r="K559" s="1711"/>
      <c r="L559" s="1712"/>
      <c r="M559" s="1713"/>
      <c r="N559" s="1714"/>
    </row>
    <row r="560" spans="1:14" ht="15.75">
      <c r="A560" s="135"/>
      <c r="B560" s="1706"/>
      <c r="C560" s="1707"/>
      <c r="D560" s="1707"/>
      <c r="E560" s="1707"/>
      <c r="F560" s="1707"/>
      <c r="G560" s="1707"/>
      <c r="H560" s="1708"/>
      <c r="I560" s="1709"/>
      <c r="J560" s="1710"/>
      <c r="K560" s="1711"/>
      <c r="L560" s="1712"/>
      <c r="M560" s="1713"/>
      <c r="N560" s="1714"/>
    </row>
    <row r="561" spans="1:14" ht="15.75">
      <c r="A561" s="135"/>
      <c r="B561" s="1706"/>
      <c r="C561" s="1707"/>
      <c r="D561" s="1707"/>
      <c r="E561" s="1707"/>
      <c r="F561" s="1707"/>
      <c r="G561" s="1707"/>
      <c r="H561" s="1708"/>
      <c r="I561" s="1709"/>
      <c r="J561" s="1710"/>
      <c r="K561" s="1711"/>
      <c r="L561" s="1712"/>
      <c r="M561" s="1713"/>
      <c r="N561" s="1714"/>
    </row>
    <row r="562" spans="1:14" ht="15.75">
      <c r="A562" s="741"/>
      <c r="B562" s="1706"/>
      <c r="C562" s="1707"/>
      <c r="D562" s="1707"/>
      <c r="E562" s="1707"/>
      <c r="F562" s="1707"/>
      <c r="G562" s="1707"/>
      <c r="H562" s="1708"/>
      <c r="I562" s="1709"/>
      <c r="J562" s="1710"/>
      <c r="K562" s="1711"/>
      <c r="L562" s="1712"/>
      <c r="M562" s="1713"/>
      <c r="N562" s="1714"/>
    </row>
    <row r="563" spans="1:14" ht="15.75">
      <c r="A563" s="741"/>
      <c r="B563" s="1746"/>
      <c r="C563" s="1747"/>
      <c r="D563" s="1747"/>
      <c r="E563" s="1747"/>
      <c r="F563" s="1747"/>
      <c r="G563" s="1747"/>
      <c r="H563" s="1748"/>
      <c r="I563" s="1736"/>
      <c r="J563" s="1737"/>
      <c r="K563" s="1738"/>
      <c r="L563" s="1715"/>
      <c r="M563" s="1716"/>
      <c r="N563" s="1717"/>
    </row>
    <row r="564" spans="1:14" ht="15.75">
      <c r="A564" s="741"/>
      <c r="B564" s="1706"/>
      <c r="C564" s="1707"/>
      <c r="D564" s="1707"/>
      <c r="E564" s="1707"/>
      <c r="F564" s="1707"/>
      <c r="G564" s="1707"/>
      <c r="H564" s="1708"/>
      <c r="I564" s="1709"/>
      <c r="J564" s="1710"/>
      <c r="K564" s="1711"/>
      <c r="L564" s="1712"/>
      <c r="M564" s="1713"/>
      <c r="N564" s="1714"/>
    </row>
    <row r="565" spans="1:14" ht="15.75">
      <c r="A565" s="741"/>
      <c r="B565" s="1706"/>
      <c r="C565" s="1707"/>
      <c r="D565" s="1707"/>
      <c r="E565" s="1707"/>
      <c r="F565" s="1707"/>
      <c r="G565" s="1707"/>
      <c r="H565" s="1708"/>
      <c r="I565" s="1709"/>
      <c r="J565" s="1710"/>
      <c r="K565" s="1711"/>
      <c r="L565" s="1712"/>
      <c r="M565" s="1713"/>
      <c r="N565" s="1714"/>
    </row>
    <row r="566" spans="1:14" ht="15.75">
      <c r="A566" s="741"/>
      <c r="B566" s="1706"/>
      <c r="C566" s="1707"/>
      <c r="D566" s="1707"/>
      <c r="E566" s="1707"/>
      <c r="F566" s="1707"/>
      <c r="G566" s="1707"/>
      <c r="H566" s="1708"/>
      <c r="I566" s="1709"/>
      <c r="J566" s="1710"/>
      <c r="K566" s="1711"/>
      <c r="L566" s="1712"/>
      <c r="M566" s="1713"/>
      <c r="N566" s="1714"/>
    </row>
    <row r="567" spans="1:14" ht="15.75">
      <c r="A567" s="741"/>
      <c r="B567" s="1706"/>
      <c r="C567" s="1707"/>
      <c r="D567" s="1707"/>
      <c r="E567" s="1707"/>
      <c r="F567" s="1707"/>
      <c r="G567" s="1707"/>
      <c r="H567" s="1708"/>
      <c r="I567" s="1709"/>
      <c r="J567" s="1710"/>
      <c r="K567" s="1711"/>
      <c r="L567" s="1712"/>
      <c r="M567" s="1713"/>
      <c r="N567" s="1714"/>
    </row>
    <row r="568" spans="1:14" ht="18">
      <c r="A568" s="14"/>
      <c r="B568" s="1700" t="s">
        <v>34</v>
      </c>
      <c r="C568" s="1701"/>
      <c r="D568" s="1701"/>
      <c r="E568" s="1701"/>
      <c r="F568" s="1701"/>
      <c r="G568" s="1701"/>
      <c r="H568" s="1702"/>
      <c r="I568" s="1703">
        <f>SUM(I550:I567)</f>
        <v>0</v>
      </c>
      <c r="J568" s="1704"/>
      <c r="K568" s="1705"/>
      <c r="L568" s="1725"/>
      <c r="M568" s="1726"/>
      <c r="N568" s="1727"/>
    </row>
  </sheetData>
  <mergeCells count="1362">
    <mergeCell ref="B567:H567"/>
    <mergeCell ref="I567:K567"/>
    <mergeCell ref="L567:N567"/>
    <mergeCell ref="B568:H568"/>
    <mergeCell ref="I568:K568"/>
    <mergeCell ref="L568:N568"/>
    <mergeCell ref="B561:H561"/>
    <mergeCell ref="I561:K561"/>
    <mergeCell ref="L561:N561"/>
    <mergeCell ref="B562:H562"/>
    <mergeCell ref="I562:K562"/>
    <mergeCell ref="L562:N562"/>
    <mergeCell ref="B563:H563"/>
    <mergeCell ref="I563:K563"/>
    <mergeCell ref="L563:N563"/>
    <mergeCell ref="B564:H564"/>
    <mergeCell ref="I564:K564"/>
    <mergeCell ref="L564:N564"/>
    <mergeCell ref="B565:H565"/>
    <mergeCell ref="I565:K565"/>
    <mergeCell ref="L565:N565"/>
    <mergeCell ref="B566:H566"/>
    <mergeCell ref="I566:K566"/>
    <mergeCell ref="L566:N566"/>
    <mergeCell ref="B555:H555"/>
    <mergeCell ref="I555:K555"/>
    <mergeCell ref="L555:N555"/>
    <mergeCell ref="B556:H556"/>
    <mergeCell ref="I556:K556"/>
    <mergeCell ref="L556:N556"/>
    <mergeCell ref="B557:H557"/>
    <mergeCell ref="I557:K557"/>
    <mergeCell ref="L557:N557"/>
    <mergeCell ref="B558:H558"/>
    <mergeCell ref="I558:K558"/>
    <mergeCell ref="L558:N558"/>
    <mergeCell ref="B559:H559"/>
    <mergeCell ref="I559:K559"/>
    <mergeCell ref="L559:N559"/>
    <mergeCell ref="B560:H560"/>
    <mergeCell ref="I560:K560"/>
    <mergeCell ref="L560:N560"/>
    <mergeCell ref="A547:N548"/>
    <mergeCell ref="B549:H549"/>
    <mergeCell ref="I549:K549"/>
    <mergeCell ref="L549:N549"/>
    <mergeCell ref="B550:H550"/>
    <mergeCell ref="I550:K550"/>
    <mergeCell ref="L550:N550"/>
    <mergeCell ref="B551:H551"/>
    <mergeCell ref="I551:K551"/>
    <mergeCell ref="L551:N551"/>
    <mergeCell ref="B552:H552"/>
    <mergeCell ref="I552:K552"/>
    <mergeCell ref="L552:N552"/>
    <mergeCell ref="B553:H553"/>
    <mergeCell ref="I553:K553"/>
    <mergeCell ref="L553:N553"/>
    <mergeCell ref="B554:H554"/>
    <mergeCell ref="I554:K554"/>
    <mergeCell ref="L554:N554"/>
    <mergeCell ref="B538:H538"/>
    <mergeCell ref="I538:K538"/>
    <mergeCell ref="L538:N538"/>
    <mergeCell ref="B539:H539"/>
    <mergeCell ref="I539:K539"/>
    <mergeCell ref="L539:N539"/>
    <mergeCell ref="B540:H540"/>
    <mergeCell ref="I540:K540"/>
    <mergeCell ref="L540:N540"/>
    <mergeCell ref="B541:H541"/>
    <mergeCell ref="I541:K541"/>
    <mergeCell ref="L541:N541"/>
    <mergeCell ref="B542:H542"/>
    <mergeCell ref="I542:K542"/>
    <mergeCell ref="L542:N542"/>
    <mergeCell ref="B543:H543"/>
    <mergeCell ref="I543:K543"/>
    <mergeCell ref="L543:N543"/>
    <mergeCell ref="B532:H532"/>
    <mergeCell ref="I532:K532"/>
    <mergeCell ref="L532:N532"/>
    <mergeCell ref="B533:H533"/>
    <mergeCell ref="I533:K533"/>
    <mergeCell ref="L533:N533"/>
    <mergeCell ref="B534:H534"/>
    <mergeCell ref="I534:K534"/>
    <mergeCell ref="L534:N534"/>
    <mergeCell ref="B535:H535"/>
    <mergeCell ref="I535:K535"/>
    <mergeCell ref="L535:N535"/>
    <mergeCell ref="B536:H536"/>
    <mergeCell ref="I536:K536"/>
    <mergeCell ref="L536:N536"/>
    <mergeCell ref="B537:H537"/>
    <mergeCell ref="I537:K537"/>
    <mergeCell ref="L537:N537"/>
    <mergeCell ref="A522:N523"/>
    <mergeCell ref="A525:N526"/>
    <mergeCell ref="B527:H527"/>
    <mergeCell ref="I527:K527"/>
    <mergeCell ref="L527:N527"/>
    <mergeCell ref="B528:H528"/>
    <mergeCell ref="I528:K528"/>
    <mergeCell ref="L528:N528"/>
    <mergeCell ref="B529:H529"/>
    <mergeCell ref="I529:K529"/>
    <mergeCell ref="L529:N529"/>
    <mergeCell ref="B530:H530"/>
    <mergeCell ref="I530:K530"/>
    <mergeCell ref="L530:N530"/>
    <mergeCell ref="B531:H531"/>
    <mergeCell ref="I531:K531"/>
    <mergeCell ref="L531:N531"/>
    <mergeCell ref="B516:H516"/>
    <mergeCell ref="I516:K516"/>
    <mergeCell ref="L516:N516"/>
    <mergeCell ref="B517:H517"/>
    <mergeCell ref="I517:K517"/>
    <mergeCell ref="L517:N517"/>
    <mergeCell ref="B518:H518"/>
    <mergeCell ref="I518:K518"/>
    <mergeCell ref="L518:N518"/>
    <mergeCell ref="B519:H519"/>
    <mergeCell ref="I519:K519"/>
    <mergeCell ref="B488:H488"/>
    <mergeCell ref="I488:K488"/>
    <mergeCell ref="L488:N488"/>
    <mergeCell ref="B510:H510"/>
    <mergeCell ref="I510:K510"/>
    <mergeCell ref="L510:N510"/>
    <mergeCell ref="B511:H511"/>
    <mergeCell ref="I511:K511"/>
    <mergeCell ref="L511:N511"/>
    <mergeCell ref="B512:H512"/>
    <mergeCell ref="I512:K512"/>
    <mergeCell ref="L512:N512"/>
    <mergeCell ref="B513:H513"/>
    <mergeCell ref="I513:K513"/>
    <mergeCell ref="L513:N513"/>
    <mergeCell ref="B514:H514"/>
    <mergeCell ref="I514:K514"/>
    <mergeCell ref="L514:N514"/>
    <mergeCell ref="B515:H515"/>
    <mergeCell ref="I515:K515"/>
    <mergeCell ref="L515:N515"/>
    <mergeCell ref="B504:H504"/>
    <mergeCell ref="I504:K504"/>
    <mergeCell ref="L504:N504"/>
    <mergeCell ref="B505:H505"/>
    <mergeCell ref="I505:K505"/>
    <mergeCell ref="L505:N505"/>
    <mergeCell ref="B506:H506"/>
    <mergeCell ref="I506:K506"/>
    <mergeCell ref="L506:N506"/>
    <mergeCell ref="B507:H507"/>
    <mergeCell ref="I507:K507"/>
    <mergeCell ref="L507:N507"/>
    <mergeCell ref="B508:H508"/>
    <mergeCell ref="I508:K508"/>
    <mergeCell ref="L508:N508"/>
    <mergeCell ref="B509:H509"/>
    <mergeCell ref="I509:K509"/>
    <mergeCell ref="L509:N509"/>
    <mergeCell ref="B498:H498"/>
    <mergeCell ref="I498:K498"/>
    <mergeCell ref="L498:N498"/>
    <mergeCell ref="B499:H499"/>
    <mergeCell ref="I499:K499"/>
    <mergeCell ref="L499:N499"/>
    <mergeCell ref="B500:H500"/>
    <mergeCell ref="I500:K500"/>
    <mergeCell ref="L500:N500"/>
    <mergeCell ref="B501:H501"/>
    <mergeCell ref="I501:K501"/>
    <mergeCell ref="L501:N501"/>
    <mergeCell ref="B502:H502"/>
    <mergeCell ref="I502:K502"/>
    <mergeCell ref="L502:N502"/>
    <mergeCell ref="B503:H503"/>
    <mergeCell ref="I503:K503"/>
    <mergeCell ref="L503:N503"/>
    <mergeCell ref="B495:H495"/>
    <mergeCell ref="I495:K495"/>
    <mergeCell ref="L495:N495"/>
    <mergeCell ref="B496:H496"/>
    <mergeCell ref="I496:K496"/>
    <mergeCell ref="L496:N496"/>
    <mergeCell ref="I497:K497"/>
    <mergeCell ref="B497:H497"/>
    <mergeCell ref="L497:N497"/>
    <mergeCell ref="B485:H485"/>
    <mergeCell ref="I485:K485"/>
    <mergeCell ref="L485:N485"/>
    <mergeCell ref="B486:H486"/>
    <mergeCell ref="I486:K486"/>
    <mergeCell ref="L486:N486"/>
    <mergeCell ref="B487:H487"/>
    <mergeCell ref="I487:K487"/>
    <mergeCell ref="L487:N487"/>
    <mergeCell ref="B490:H490"/>
    <mergeCell ref="I490:K490"/>
    <mergeCell ref="A492:N493"/>
    <mergeCell ref="B494:H494"/>
    <mergeCell ref="I494:K494"/>
    <mergeCell ref="L494:N494"/>
    <mergeCell ref="B479:H479"/>
    <mergeCell ref="I479:K479"/>
    <mergeCell ref="L479:N479"/>
    <mergeCell ref="B480:H480"/>
    <mergeCell ref="I480:K480"/>
    <mergeCell ref="L480:N480"/>
    <mergeCell ref="B481:H481"/>
    <mergeCell ref="I481:K481"/>
    <mergeCell ref="L481:N481"/>
    <mergeCell ref="B482:H482"/>
    <mergeCell ref="I482:K482"/>
    <mergeCell ref="L482:N482"/>
    <mergeCell ref="B483:H483"/>
    <mergeCell ref="I483:K483"/>
    <mergeCell ref="L483:N483"/>
    <mergeCell ref="B484:H484"/>
    <mergeCell ref="I484:K484"/>
    <mergeCell ref="L484:N484"/>
    <mergeCell ref="A469:N470"/>
    <mergeCell ref="A472:N473"/>
    <mergeCell ref="B474:H474"/>
    <mergeCell ref="I474:K474"/>
    <mergeCell ref="L474:N474"/>
    <mergeCell ref="B475:H475"/>
    <mergeCell ref="I475:K475"/>
    <mergeCell ref="L475:N475"/>
    <mergeCell ref="B476:H476"/>
    <mergeCell ref="I476:K476"/>
    <mergeCell ref="L476:N476"/>
    <mergeCell ref="B477:H477"/>
    <mergeCell ref="I477:K477"/>
    <mergeCell ref="L477:N477"/>
    <mergeCell ref="B478:H478"/>
    <mergeCell ref="I478:K478"/>
    <mergeCell ref="L478:N478"/>
    <mergeCell ref="B230:H230"/>
    <mergeCell ref="I230:K230"/>
    <mergeCell ref="L230:N230"/>
    <mergeCell ref="B253:H253"/>
    <mergeCell ref="I253:K253"/>
    <mergeCell ref="L253:N253"/>
    <mergeCell ref="B231:H231"/>
    <mergeCell ref="I231:K231"/>
    <mergeCell ref="L231:N231"/>
    <mergeCell ref="B232:H232"/>
    <mergeCell ref="I232:K232"/>
    <mergeCell ref="L232:N232"/>
    <mergeCell ref="I233:K233"/>
    <mergeCell ref="L233:N233"/>
    <mergeCell ref="L234:N234"/>
    <mergeCell ref="L235:N235"/>
    <mergeCell ref="L236:N236"/>
    <mergeCell ref="L242:N242"/>
    <mergeCell ref="L243:N243"/>
    <mergeCell ref="B233:H233"/>
    <mergeCell ref="B234:H234"/>
    <mergeCell ref="B238:H238"/>
    <mergeCell ref="B239:H239"/>
    <mergeCell ref="B240:H240"/>
    <mergeCell ref="B241:H241"/>
    <mergeCell ref="I234:K234"/>
    <mergeCell ref="I235:K235"/>
    <mergeCell ref="I236:K236"/>
    <mergeCell ref="I237:K237"/>
    <mergeCell ref="I238:K238"/>
    <mergeCell ref="I239:K239"/>
    <mergeCell ref="I240:K240"/>
    <mergeCell ref="B224:H224"/>
    <mergeCell ref="I224:K224"/>
    <mergeCell ref="L224:N224"/>
    <mergeCell ref="B225:H225"/>
    <mergeCell ref="I225:K225"/>
    <mergeCell ref="L225:N225"/>
    <mergeCell ref="B226:H226"/>
    <mergeCell ref="I226:K226"/>
    <mergeCell ref="L226:N226"/>
    <mergeCell ref="B227:H227"/>
    <mergeCell ref="I227:K227"/>
    <mergeCell ref="L227:N227"/>
    <mergeCell ref="B228:H228"/>
    <mergeCell ref="I228:K228"/>
    <mergeCell ref="L228:N228"/>
    <mergeCell ref="B229:H229"/>
    <mergeCell ref="I229:K229"/>
    <mergeCell ref="L229:N229"/>
    <mergeCell ref="B218:H218"/>
    <mergeCell ref="I218:K218"/>
    <mergeCell ref="L218:N218"/>
    <mergeCell ref="B219:H219"/>
    <mergeCell ref="I219:K219"/>
    <mergeCell ref="L219:N219"/>
    <mergeCell ref="B220:H220"/>
    <mergeCell ref="I220:K220"/>
    <mergeCell ref="L220:N220"/>
    <mergeCell ref="B221:H221"/>
    <mergeCell ref="I221:K221"/>
    <mergeCell ref="L221:N221"/>
    <mergeCell ref="B222:H222"/>
    <mergeCell ref="I222:K222"/>
    <mergeCell ref="L222:N222"/>
    <mergeCell ref="B223:H223"/>
    <mergeCell ref="I223:K223"/>
    <mergeCell ref="L223:N223"/>
    <mergeCell ref="B206:H206"/>
    <mergeCell ref="I206:K206"/>
    <mergeCell ref="L206:N206"/>
    <mergeCell ref="B207:H207"/>
    <mergeCell ref="I207:K207"/>
    <mergeCell ref="L207:N207"/>
    <mergeCell ref="B209:H209"/>
    <mergeCell ref="I209:K209"/>
    <mergeCell ref="L209:N209"/>
    <mergeCell ref="A213:N214"/>
    <mergeCell ref="B215:H215"/>
    <mergeCell ref="I215:K215"/>
    <mergeCell ref="L215:N215"/>
    <mergeCell ref="B216:H216"/>
    <mergeCell ref="I216:K216"/>
    <mergeCell ref="L216:N216"/>
    <mergeCell ref="B217:H217"/>
    <mergeCell ref="I217:K217"/>
    <mergeCell ref="L217:N217"/>
    <mergeCell ref="B200:H200"/>
    <mergeCell ref="I200:K200"/>
    <mergeCell ref="L200:N200"/>
    <mergeCell ref="B201:H201"/>
    <mergeCell ref="I201:K201"/>
    <mergeCell ref="L201:N201"/>
    <mergeCell ref="B202:H202"/>
    <mergeCell ref="I202:K202"/>
    <mergeCell ref="L202:N202"/>
    <mergeCell ref="B203:H203"/>
    <mergeCell ref="I203:K203"/>
    <mergeCell ref="L203:N203"/>
    <mergeCell ref="B204:H204"/>
    <mergeCell ref="I204:K204"/>
    <mergeCell ref="L204:N204"/>
    <mergeCell ref="B205:H205"/>
    <mergeCell ref="I205:K205"/>
    <mergeCell ref="L205:N205"/>
    <mergeCell ref="B194:H194"/>
    <mergeCell ref="I194:K194"/>
    <mergeCell ref="L194:N194"/>
    <mergeCell ref="B195:H195"/>
    <mergeCell ref="I195:K195"/>
    <mergeCell ref="L195:N195"/>
    <mergeCell ref="B196:H196"/>
    <mergeCell ref="I196:K196"/>
    <mergeCell ref="L196:N196"/>
    <mergeCell ref="B197:H197"/>
    <mergeCell ref="I197:K197"/>
    <mergeCell ref="L197:N197"/>
    <mergeCell ref="B198:H198"/>
    <mergeCell ref="I198:K198"/>
    <mergeCell ref="L198:N198"/>
    <mergeCell ref="B199:H199"/>
    <mergeCell ref="I199:K199"/>
    <mergeCell ref="L199:N199"/>
    <mergeCell ref="I177:K177"/>
    <mergeCell ref="L177:N177"/>
    <mergeCell ref="B178:H178"/>
    <mergeCell ref="I178:K178"/>
    <mergeCell ref="L178:N178"/>
    <mergeCell ref="A188:N189"/>
    <mergeCell ref="A191:N192"/>
    <mergeCell ref="B193:H193"/>
    <mergeCell ref="I193:K193"/>
    <mergeCell ref="L193:N193"/>
    <mergeCell ref="B179:H179"/>
    <mergeCell ref="I179:K179"/>
    <mergeCell ref="L179:N179"/>
    <mergeCell ref="B180:H180"/>
    <mergeCell ref="I180:K180"/>
    <mergeCell ref="L180:N180"/>
    <mergeCell ref="B181:H181"/>
    <mergeCell ref="I181:K181"/>
    <mergeCell ref="L181:N181"/>
    <mergeCell ref="B185:H185"/>
    <mergeCell ref="I185:K185"/>
    <mergeCell ref="L185:N185"/>
    <mergeCell ref="B182:H182"/>
    <mergeCell ref="I182:K182"/>
    <mergeCell ref="B184:H184"/>
    <mergeCell ref="I184:K184"/>
    <mergeCell ref="L184:N184"/>
    <mergeCell ref="B168:H168"/>
    <mergeCell ref="I168:K168"/>
    <mergeCell ref="L168:N168"/>
    <mergeCell ref="B169:H169"/>
    <mergeCell ref="I169:K169"/>
    <mergeCell ref="L169:N169"/>
    <mergeCell ref="B170:H170"/>
    <mergeCell ref="I170:K170"/>
    <mergeCell ref="L170:N170"/>
    <mergeCell ref="B171:H171"/>
    <mergeCell ref="I171:K171"/>
    <mergeCell ref="L171:N171"/>
    <mergeCell ref="B172:H172"/>
    <mergeCell ref="I172:K172"/>
    <mergeCell ref="L172:N172"/>
    <mergeCell ref="L182:N182"/>
    <mergeCell ref="B183:H183"/>
    <mergeCell ref="I183:K183"/>
    <mergeCell ref="L183:N183"/>
    <mergeCell ref="B173:H173"/>
    <mergeCell ref="I173:K173"/>
    <mergeCell ref="L173:N173"/>
    <mergeCell ref="B174:H174"/>
    <mergeCell ref="I174:K174"/>
    <mergeCell ref="L174:N174"/>
    <mergeCell ref="B175:H175"/>
    <mergeCell ref="I175:K175"/>
    <mergeCell ref="L175:N175"/>
    <mergeCell ref="B176:H176"/>
    <mergeCell ref="I176:K176"/>
    <mergeCell ref="L176:N176"/>
    <mergeCell ref="B177:H177"/>
    <mergeCell ref="B153:H153"/>
    <mergeCell ref="I153:K153"/>
    <mergeCell ref="L153:N153"/>
    <mergeCell ref="B154:H154"/>
    <mergeCell ref="I154:K154"/>
    <mergeCell ref="L154:N154"/>
    <mergeCell ref="B151:H151"/>
    <mergeCell ref="I151:K151"/>
    <mergeCell ref="L151:N151"/>
    <mergeCell ref="B152:H152"/>
    <mergeCell ref="I152:K152"/>
    <mergeCell ref="L152:N152"/>
    <mergeCell ref="B159:H159"/>
    <mergeCell ref="I159:K159"/>
    <mergeCell ref="B167:H167"/>
    <mergeCell ref="I167:K167"/>
    <mergeCell ref="L167:N167"/>
    <mergeCell ref="L159:N159"/>
    <mergeCell ref="B155:H155"/>
    <mergeCell ref="B156:H156"/>
    <mergeCell ref="B157:H157"/>
    <mergeCell ref="B158:H158"/>
    <mergeCell ref="I155:K155"/>
    <mergeCell ref="I156:K156"/>
    <mergeCell ref="I157:K157"/>
    <mergeCell ref="I158:K158"/>
    <mergeCell ref="L155:N155"/>
    <mergeCell ref="L156:N156"/>
    <mergeCell ref="L157:N157"/>
    <mergeCell ref="L158:N158"/>
    <mergeCell ref="L114:N114"/>
    <mergeCell ref="B122:H122"/>
    <mergeCell ref="I122:K122"/>
    <mergeCell ref="L122:N122"/>
    <mergeCell ref="B115:H115"/>
    <mergeCell ref="B116:H116"/>
    <mergeCell ref="B117:H117"/>
    <mergeCell ref="B118:H118"/>
    <mergeCell ref="I115:K115"/>
    <mergeCell ref="I116:K116"/>
    <mergeCell ref="I117:K117"/>
    <mergeCell ref="I118:K118"/>
    <mergeCell ref="L115:N115"/>
    <mergeCell ref="I119:K119"/>
    <mergeCell ref="I120:K120"/>
    <mergeCell ref="I121:K121"/>
    <mergeCell ref="L119:N119"/>
    <mergeCell ref="L120:N120"/>
    <mergeCell ref="L121:N121"/>
    <mergeCell ref="B105:H105"/>
    <mergeCell ref="I105:K105"/>
    <mergeCell ref="L105:N105"/>
    <mergeCell ref="B106:H106"/>
    <mergeCell ref="I106:K106"/>
    <mergeCell ref="L106:N106"/>
    <mergeCell ref="B107:H107"/>
    <mergeCell ref="I107:K107"/>
    <mergeCell ref="L107:N107"/>
    <mergeCell ref="L116:N116"/>
    <mergeCell ref="L117:N117"/>
    <mergeCell ref="L118:N118"/>
    <mergeCell ref="B108:H108"/>
    <mergeCell ref="I108:K108"/>
    <mergeCell ref="L108:N108"/>
    <mergeCell ref="B109:H109"/>
    <mergeCell ref="I109:K109"/>
    <mergeCell ref="L109:N109"/>
    <mergeCell ref="B113:H113"/>
    <mergeCell ref="I113:K113"/>
    <mergeCell ref="L113:N113"/>
    <mergeCell ref="B110:H110"/>
    <mergeCell ref="B111:H111"/>
    <mergeCell ref="B112:H112"/>
    <mergeCell ref="I110:K110"/>
    <mergeCell ref="I111:K111"/>
    <mergeCell ref="I112:K112"/>
    <mergeCell ref="L110:N110"/>
    <mergeCell ref="L111:N111"/>
    <mergeCell ref="L112:N112"/>
    <mergeCell ref="B114:H114"/>
    <mergeCell ref="I114:K114"/>
    <mergeCell ref="B95:H95"/>
    <mergeCell ref="I95:K95"/>
    <mergeCell ref="L95:N95"/>
    <mergeCell ref="A98:N99"/>
    <mergeCell ref="B100:H100"/>
    <mergeCell ref="I100:K100"/>
    <mergeCell ref="L100:N100"/>
    <mergeCell ref="B101:H101"/>
    <mergeCell ref="I101:K101"/>
    <mergeCell ref="L101:N101"/>
    <mergeCell ref="B102:H102"/>
    <mergeCell ref="I102:K102"/>
    <mergeCell ref="L102:N102"/>
    <mergeCell ref="B103:H103"/>
    <mergeCell ref="I103:K103"/>
    <mergeCell ref="L103:N103"/>
    <mergeCell ref="B104:H104"/>
    <mergeCell ref="I104:K104"/>
    <mergeCell ref="L104:N104"/>
    <mergeCell ref="L88:N88"/>
    <mergeCell ref="B89:H89"/>
    <mergeCell ref="I89:K89"/>
    <mergeCell ref="L89:N89"/>
    <mergeCell ref="B90:H90"/>
    <mergeCell ref="I90:K90"/>
    <mergeCell ref="L90:N90"/>
    <mergeCell ref="B91:H91"/>
    <mergeCell ref="I91:K91"/>
    <mergeCell ref="L91:N91"/>
    <mergeCell ref="B92:H92"/>
    <mergeCell ref="I92:K92"/>
    <mergeCell ref="L92:N92"/>
    <mergeCell ref="B93:H93"/>
    <mergeCell ref="I93:K93"/>
    <mergeCell ref="L93:N93"/>
    <mergeCell ref="B94:H94"/>
    <mergeCell ref="I94:K94"/>
    <mergeCell ref="L94:N94"/>
    <mergeCell ref="B74:H74"/>
    <mergeCell ref="I74:K74"/>
    <mergeCell ref="L74:N74"/>
    <mergeCell ref="B71:H71"/>
    <mergeCell ref="B72:H72"/>
    <mergeCell ref="I72:K72"/>
    <mergeCell ref="I71:K71"/>
    <mergeCell ref="L71:N71"/>
    <mergeCell ref="L72:N72"/>
    <mergeCell ref="B77:H77"/>
    <mergeCell ref="I77:K77"/>
    <mergeCell ref="L77:N77"/>
    <mergeCell ref="L75:N75"/>
    <mergeCell ref="I76:K76"/>
    <mergeCell ref="L76:N76"/>
    <mergeCell ref="B75:H75"/>
    <mergeCell ref="B76:H76"/>
    <mergeCell ref="I75:K75"/>
    <mergeCell ref="I64:K64"/>
    <mergeCell ref="L64:N64"/>
    <mergeCell ref="B69:H69"/>
    <mergeCell ref="I69:K69"/>
    <mergeCell ref="L69:N69"/>
    <mergeCell ref="B70:H70"/>
    <mergeCell ref="I70:K70"/>
    <mergeCell ref="L70:N70"/>
    <mergeCell ref="B67:H67"/>
    <mergeCell ref="I67:K67"/>
    <mergeCell ref="L67:N67"/>
    <mergeCell ref="B68:H68"/>
    <mergeCell ref="I68:K68"/>
    <mergeCell ref="L68:N68"/>
    <mergeCell ref="B73:H73"/>
    <mergeCell ref="I73:K73"/>
    <mergeCell ref="L73:N73"/>
    <mergeCell ref="A1:N2"/>
    <mergeCell ref="A44:N45"/>
    <mergeCell ref="A47:N48"/>
    <mergeCell ref="B49:H49"/>
    <mergeCell ref="I49:K49"/>
    <mergeCell ref="L49:N49"/>
    <mergeCell ref="B10:H10"/>
    <mergeCell ref="I10:K10"/>
    <mergeCell ref="A4:N5"/>
    <mergeCell ref="B6:H6"/>
    <mergeCell ref="I6:K6"/>
    <mergeCell ref="B7:H7"/>
    <mergeCell ref="L6:N6"/>
    <mergeCell ref="L7:N7"/>
    <mergeCell ref="B8:H8"/>
    <mergeCell ref="B9:H9"/>
    <mergeCell ref="I7:K7"/>
    <mergeCell ref="I8:K8"/>
    <mergeCell ref="I9:K9"/>
    <mergeCell ref="L14:N14"/>
    <mergeCell ref="B15:H15"/>
    <mergeCell ref="L8:N8"/>
    <mergeCell ref="L9:N9"/>
    <mergeCell ref="L10:N10"/>
    <mergeCell ref="B14:H14"/>
    <mergeCell ref="I14:K14"/>
    <mergeCell ref="A18:N19"/>
    <mergeCell ref="B20:H20"/>
    <mergeCell ref="I20:K20"/>
    <mergeCell ref="L20:N20"/>
    <mergeCell ref="B21:H21"/>
    <mergeCell ref="I21:K21"/>
    <mergeCell ref="L21:N21"/>
    <mergeCell ref="I15:K15"/>
    <mergeCell ref="L15:N15"/>
    <mergeCell ref="L11:N11"/>
    <mergeCell ref="L12:N12"/>
    <mergeCell ref="I13:K13"/>
    <mergeCell ref="L13:N13"/>
    <mergeCell ref="B11:H11"/>
    <mergeCell ref="I11:K11"/>
    <mergeCell ref="B12:H12"/>
    <mergeCell ref="I12:K12"/>
    <mergeCell ref="B13:H13"/>
    <mergeCell ref="B34:H34"/>
    <mergeCell ref="B35:H35"/>
    <mergeCell ref="B36:H36"/>
    <mergeCell ref="B37:H37"/>
    <mergeCell ref="B38:H38"/>
    <mergeCell ref="I34:K34"/>
    <mergeCell ref="L33:N33"/>
    <mergeCell ref="L34:N34"/>
    <mergeCell ref="B25:H25"/>
    <mergeCell ref="I25:K25"/>
    <mergeCell ref="L25:N25"/>
    <mergeCell ref="L28:N28"/>
    <mergeCell ref="B29:H29"/>
    <mergeCell ref="I29:K29"/>
    <mergeCell ref="L29:N29"/>
    <mergeCell ref="B26:H26"/>
    <mergeCell ref="I26:K26"/>
    <mergeCell ref="L26:N26"/>
    <mergeCell ref="B27:H27"/>
    <mergeCell ref="I27:K27"/>
    <mergeCell ref="L27:N27"/>
    <mergeCell ref="B32:H32"/>
    <mergeCell ref="I32:K32"/>
    <mergeCell ref="L32:N32"/>
    <mergeCell ref="L35:N35"/>
    <mergeCell ref="L36:N36"/>
    <mergeCell ref="L38:N38"/>
    <mergeCell ref="B22:H22"/>
    <mergeCell ref="I22:K22"/>
    <mergeCell ref="L22:N22"/>
    <mergeCell ref="B23:H23"/>
    <mergeCell ref="I23:K23"/>
    <mergeCell ref="L23:N23"/>
    <mergeCell ref="B24:H24"/>
    <mergeCell ref="I24:K24"/>
    <mergeCell ref="L24:N24"/>
    <mergeCell ref="B33:H33"/>
    <mergeCell ref="I33:K33"/>
    <mergeCell ref="B30:H30"/>
    <mergeCell ref="B31:H31"/>
    <mergeCell ref="I30:K30"/>
    <mergeCell ref="L30:N30"/>
    <mergeCell ref="I31:K31"/>
    <mergeCell ref="L31:N31"/>
    <mergeCell ref="B28:H28"/>
    <mergeCell ref="I28:K28"/>
    <mergeCell ref="L39:N39"/>
    <mergeCell ref="L41:N41"/>
    <mergeCell ref="I35:K35"/>
    <mergeCell ref="I36:K36"/>
    <mergeCell ref="I37:K37"/>
    <mergeCell ref="I38:K38"/>
    <mergeCell ref="I39:K39"/>
    <mergeCell ref="L37:N37"/>
    <mergeCell ref="L123:N123"/>
    <mergeCell ref="I65:K65"/>
    <mergeCell ref="L65:N65"/>
    <mergeCell ref="A80:N81"/>
    <mergeCell ref="A83:N84"/>
    <mergeCell ref="B85:H85"/>
    <mergeCell ref="I85:K85"/>
    <mergeCell ref="L85:N85"/>
    <mergeCell ref="B86:H86"/>
    <mergeCell ref="I86:K86"/>
    <mergeCell ref="L86:N86"/>
    <mergeCell ref="B87:H87"/>
    <mergeCell ref="I87:K87"/>
    <mergeCell ref="L87:N87"/>
    <mergeCell ref="B88:H88"/>
    <mergeCell ref="I88:K88"/>
    <mergeCell ref="B39:H39"/>
    <mergeCell ref="B55:H55"/>
    <mergeCell ref="I53:K53"/>
    <mergeCell ref="I54:K54"/>
    <mergeCell ref="I55:K55"/>
    <mergeCell ref="L57:N57"/>
    <mergeCell ref="I57:K57"/>
    <mergeCell ref="I58:K58"/>
    <mergeCell ref="B40:H40"/>
    <mergeCell ref="I40:K40"/>
    <mergeCell ref="L40:N40"/>
    <mergeCell ref="I50:K50"/>
    <mergeCell ref="L50:N50"/>
    <mergeCell ref="B50:H50"/>
    <mergeCell ref="B51:H51"/>
    <mergeCell ref="B52:H52"/>
    <mergeCell ref="I52:K52"/>
    <mergeCell ref="I51:K51"/>
    <mergeCell ref="L51:N51"/>
    <mergeCell ref="L52:N52"/>
    <mergeCell ref="L53:N53"/>
    <mergeCell ref="L54:N54"/>
    <mergeCell ref="L55:N55"/>
    <mergeCell ref="B53:H53"/>
    <mergeCell ref="B54:H54"/>
    <mergeCell ref="I123:K123"/>
    <mergeCell ref="I124:K124"/>
    <mergeCell ref="I125:K125"/>
    <mergeCell ref="I126:K126"/>
    <mergeCell ref="I127:K127"/>
    <mergeCell ref="I128:K128"/>
    <mergeCell ref="I131:K131"/>
    <mergeCell ref="B123:H123"/>
    <mergeCell ref="B124:H124"/>
    <mergeCell ref="B125:H125"/>
    <mergeCell ref="L124:N124"/>
    <mergeCell ref="L125:N125"/>
    <mergeCell ref="B119:H119"/>
    <mergeCell ref="B120:H120"/>
    <mergeCell ref="B121:H121"/>
    <mergeCell ref="B41:H41"/>
    <mergeCell ref="I41:K41"/>
    <mergeCell ref="L58:N58"/>
    <mergeCell ref="B56:H56"/>
    <mergeCell ref="B57:H57"/>
    <mergeCell ref="B58:H58"/>
    <mergeCell ref="B65:H65"/>
    <mergeCell ref="I56:K56"/>
    <mergeCell ref="L56:N56"/>
    <mergeCell ref="B66:H66"/>
    <mergeCell ref="I66:K66"/>
    <mergeCell ref="L66:N66"/>
    <mergeCell ref="A61:N62"/>
    <mergeCell ref="B63:H63"/>
    <mergeCell ref="I63:K63"/>
    <mergeCell ref="L63:N63"/>
    <mergeCell ref="B64:H64"/>
    <mergeCell ref="B236:H236"/>
    <mergeCell ref="L126:N126"/>
    <mergeCell ref="L127:N127"/>
    <mergeCell ref="L128:N128"/>
    <mergeCell ref="L131:N131"/>
    <mergeCell ref="B129:H129"/>
    <mergeCell ref="B130:H130"/>
    <mergeCell ref="I129:K129"/>
    <mergeCell ref="I130:K130"/>
    <mergeCell ref="L129:N129"/>
    <mergeCell ref="L130:N130"/>
    <mergeCell ref="B132:H132"/>
    <mergeCell ref="B133:H133"/>
    <mergeCell ref="B134:H134"/>
    <mergeCell ref="I132:K132"/>
    <mergeCell ref="I133:K133"/>
    <mergeCell ref="I134:K134"/>
    <mergeCell ref="L132:N132"/>
    <mergeCell ref="L133:N133"/>
    <mergeCell ref="L134:N134"/>
    <mergeCell ref="B126:H126"/>
    <mergeCell ref="B127:H127"/>
    <mergeCell ref="B128:H128"/>
    <mergeCell ref="B131:H131"/>
    <mergeCell ref="I147:K147"/>
    <mergeCell ref="L147:N147"/>
    <mergeCell ref="B148:H148"/>
    <mergeCell ref="I148:K148"/>
    <mergeCell ref="L148:N148"/>
    <mergeCell ref="B149:H149"/>
    <mergeCell ref="I149:K149"/>
    <mergeCell ref="L149:N149"/>
    <mergeCell ref="B235:H235"/>
    <mergeCell ref="B135:H135"/>
    <mergeCell ref="I135:K135"/>
    <mergeCell ref="L135:N135"/>
    <mergeCell ref="B136:H136"/>
    <mergeCell ref="I136:K136"/>
    <mergeCell ref="L136:N136"/>
    <mergeCell ref="A139:N140"/>
    <mergeCell ref="A142:N143"/>
    <mergeCell ref="B144:H144"/>
    <mergeCell ref="I144:K144"/>
    <mergeCell ref="L144:N144"/>
    <mergeCell ref="B145:H145"/>
    <mergeCell ref="I145:K145"/>
    <mergeCell ref="L145:N145"/>
    <mergeCell ref="B146:H146"/>
    <mergeCell ref="I146:K146"/>
    <mergeCell ref="L146:N146"/>
    <mergeCell ref="B147:H147"/>
    <mergeCell ref="B208:H208"/>
    <mergeCell ref="I208:K208"/>
    <mergeCell ref="L208:N208"/>
    <mergeCell ref="B160:H160"/>
    <mergeCell ref="I160:K160"/>
    <mergeCell ref="L160:N160"/>
    <mergeCell ref="A164:N165"/>
    <mergeCell ref="B166:H166"/>
    <mergeCell ref="I166:K166"/>
    <mergeCell ref="L166:N166"/>
    <mergeCell ref="B150:H150"/>
    <mergeCell ref="I150:K150"/>
    <mergeCell ref="L150:N150"/>
    <mergeCell ref="I244:K244"/>
    <mergeCell ref="I245:K245"/>
    <mergeCell ref="I246:K246"/>
    <mergeCell ref="I247:K247"/>
    <mergeCell ref="I248:K248"/>
    <mergeCell ref="I249:K249"/>
    <mergeCell ref="I250:K250"/>
    <mergeCell ref="L237:N237"/>
    <mergeCell ref="L238:N238"/>
    <mergeCell ref="L239:N239"/>
    <mergeCell ref="L240:N240"/>
    <mergeCell ref="L241:N241"/>
    <mergeCell ref="B244:H244"/>
    <mergeCell ref="B245:H245"/>
    <mergeCell ref="B246:H246"/>
    <mergeCell ref="B247:H247"/>
    <mergeCell ref="L244:N244"/>
    <mergeCell ref="L245:N245"/>
    <mergeCell ref="L246:N246"/>
    <mergeCell ref="L247:N247"/>
    <mergeCell ref="B242:H242"/>
    <mergeCell ref="B243:H243"/>
    <mergeCell ref="B237:H237"/>
    <mergeCell ref="I241:K241"/>
    <mergeCell ref="I243:K243"/>
    <mergeCell ref="A256:N257"/>
    <mergeCell ref="A259:N260"/>
    <mergeCell ref="B261:H261"/>
    <mergeCell ref="I261:K261"/>
    <mergeCell ref="L261:N261"/>
    <mergeCell ref="B262:H262"/>
    <mergeCell ref="I262:K262"/>
    <mergeCell ref="L262:N262"/>
    <mergeCell ref="B263:H263"/>
    <mergeCell ref="I263:K263"/>
    <mergeCell ref="L263:N263"/>
    <mergeCell ref="L248:N248"/>
    <mergeCell ref="L249:N249"/>
    <mergeCell ref="L250:N250"/>
    <mergeCell ref="B251:H251"/>
    <mergeCell ref="B252:H252"/>
    <mergeCell ref="I251:K251"/>
    <mergeCell ref="L251:N251"/>
    <mergeCell ref="I252:K252"/>
    <mergeCell ref="L252:N252"/>
    <mergeCell ref="B248:H248"/>
    <mergeCell ref="B249:H249"/>
    <mergeCell ref="B250:H250"/>
    <mergeCell ref="B267:H267"/>
    <mergeCell ref="I267:K267"/>
    <mergeCell ref="L267:N267"/>
    <mergeCell ref="B268:H268"/>
    <mergeCell ref="I268:K268"/>
    <mergeCell ref="L268:N268"/>
    <mergeCell ref="B269:H269"/>
    <mergeCell ref="I269:K269"/>
    <mergeCell ref="L269:N269"/>
    <mergeCell ref="B264:H264"/>
    <mergeCell ref="I264:K264"/>
    <mergeCell ref="L264:N264"/>
    <mergeCell ref="B265:H265"/>
    <mergeCell ref="I265:K265"/>
    <mergeCell ref="L265:N265"/>
    <mergeCell ref="B266:H266"/>
    <mergeCell ref="I266:K266"/>
    <mergeCell ref="L266:N266"/>
    <mergeCell ref="B270:H270"/>
    <mergeCell ref="I270:K270"/>
    <mergeCell ref="L270:N270"/>
    <mergeCell ref="B301:H301"/>
    <mergeCell ref="I301:K301"/>
    <mergeCell ref="L301:N301"/>
    <mergeCell ref="B302:H302"/>
    <mergeCell ref="I302:K302"/>
    <mergeCell ref="L302:N302"/>
    <mergeCell ref="B271:H271"/>
    <mergeCell ref="I271:K271"/>
    <mergeCell ref="L271:N271"/>
    <mergeCell ref="B272:H272"/>
    <mergeCell ref="I272:K272"/>
    <mergeCell ref="L272:N272"/>
    <mergeCell ref="B273:H273"/>
    <mergeCell ref="I273:K273"/>
    <mergeCell ref="L273:N273"/>
    <mergeCell ref="B274:H274"/>
    <mergeCell ref="I274:K274"/>
    <mergeCell ref="L274:N274"/>
    <mergeCell ref="B275:H275"/>
    <mergeCell ref="I275:K275"/>
    <mergeCell ref="L275:N275"/>
    <mergeCell ref="B284:H284"/>
    <mergeCell ref="I284:K284"/>
    <mergeCell ref="L284:N284"/>
    <mergeCell ref="B285:H285"/>
    <mergeCell ref="I285:K285"/>
    <mergeCell ref="L285:N285"/>
    <mergeCell ref="B286:H286"/>
    <mergeCell ref="I286:K286"/>
    <mergeCell ref="I299:K299"/>
    <mergeCell ref="L299:N299"/>
    <mergeCell ref="B293:H293"/>
    <mergeCell ref="I293:K293"/>
    <mergeCell ref="L293:N293"/>
    <mergeCell ref="B294:H294"/>
    <mergeCell ref="I294:K294"/>
    <mergeCell ref="L286:N286"/>
    <mergeCell ref="A279:N280"/>
    <mergeCell ref="B281:H281"/>
    <mergeCell ref="I281:K281"/>
    <mergeCell ref="L281:N281"/>
    <mergeCell ref="B282:H282"/>
    <mergeCell ref="I282:K282"/>
    <mergeCell ref="L282:N282"/>
    <mergeCell ref="B283:H283"/>
    <mergeCell ref="I283:K283"/>
    <mergeCell ref="L283:N283"/>
    <mergeCell ref="B290:H290"/>
    <mergeCell ref="I290:K290"/>
    <mergeCell ref="L290:N290"/>
    <mergeCell ref="B291:H291"/>
    <mergeCell ref="I291:K291"/>
    <mergeCell ref="L291:N291"/>
    <mergeCell ref="L306:N306"/>
    <mergeCell ref="A309:N310"/>
    <mergeCell ref="A312:N313"/>
    <mergeCell ref="B314:H314"/>
    <mergeCell ref="I314:K314"/>
    <mergeCell ref="L314:N314"/>
    <mergeCell ref="B315:H315"/>
    <mergeCell ref="B292:H292"/>
    <mergeCell ref="I292:K292"/>
    <mergeCell ref="L292:N292"/>
    <mergeCell ref="B287:H287"/>
    <mergeCell ref="I287:K287"/>
    <mergeCell ref="L287:N287"/>
    <mergeCell ref="B288:H288"/>
    <mergeCell ref="I288:K288"/>
    <mergeCell ref="L288:N288"/>
    <mergeCell ref="B289:H289"/>
    <mergeCell ref="I289:K289"/>
    <mergeCell ref="L289:N289"/>
    <mergeCell ref="B296:H296"/>
    <mergeCell ref="I296:K296"/>
    <mergeCell ref="L296:N296"/>
    <mergeCell ref="B300:H300"/>
    <mergeCell ref="I300:K300"/>
    <mergeCell ref="L300:N300"/>
    <mergeCell ref="B297:H297"/>
    <mergeCell ref="I297:K297"/>
    <mergeCell ref="L297:N297"/>
    <mergeCell ref="B298:H298"/>
    <mergeCell ref="I298:K298"/>
    <mergeCell ref="L298:N298"/>
    <mergeCell ref="B299:H299"/>
    <mergeCell ref="B319:H319"/>
    <mergeCell ref="I319:K319"/>
    <mergeCell ref="L319:N319"/>
    <mergeCell ref="B320:H320"/>
    <mergeCell ref="I320:K320"/>
    <mergeCell ref="L320:N320"/>
    <mergeCell ref="B316:H316"/>
    <mergeCell ref="I316:K316"/>
    <mergeCell ref="L316:N316"/>
    <mergeCell ref="B317:H317"/>
    <mergeCell ref="I317:K317"/>
    <mergeCell ref="L317:N317"/>
    <mergeCell ref="B318:H318"/>
    <mergeCell ref="I318:K318"/>
    <mergeCell ref="L318:N318"/>
    <mergeCell ref="L294:N294"/>
    <mergeCell ref="B295:H295"/>
    <mergeCell ref="I295:K295"/>
    <mergeCell ref="L295:N295"/>
    <mergeCell ref="I315:K315"/>
    <mergeCell ref="L315:N315"/>
    <mergeCell ref="B303:H303"/>
    <mergeCell ref="I303:K303"/>
    <mergeCell ref="L303:N303"/>
    <mergeCell ref="B304:H304"/>
    <mergeCell ref="I304:K304"/>
    <mergeCell ref="L304:N304"/>
    <mergeCell ref="B305:H305"/>
    <mergeCell ref="I305:K305"/>
    <mergeCell ref="L305:N305"/>
    <mergeCell ref="B306:H306"/>
    <mergeCell ref="I306:K306"/>
    <mergeCell ref="B324:H324"/>
    <mergeCell ref="I324:K324"/>
    <mergeCell ref="L324:N324"/>
    <mergeCell ref="B325:H325"/>
    <mergeCell ref="I325:K325"/>
    <mergeCell ref="L325:N325"/>
    <mergeCell ref="B328:H328"/>
    <mergeCell ref="I328:K328"/>
    <mergeCell ref="L328:N328"/>
    <mergeCell ref="B326:H326"/>
    <mergeCell ref="B327:H327"/>
    <mergeCell ref="I326:K326"/>
    <mergeCell ref="L326:N326"/>
    <mergeCell ref="L327:N327"/>
    <mergeCell ref="I327:K327"/>
    <mergeCell ref="B321:H321"/>
    <mergeCell ref="I321:K321"/>
    <mergeCell ref="L321:N321"/>
    <mergeCell ref="B322:H322"/>
    <mergeCell ref="I322:K322"/>
    <mergeCell ref="L322:N322"/>
    <mergeCell ref="B323:H323"/>
    <mergeCell ref="I323:K323"/>
    <mergeCell ref="L323:N323"/>
    <mergeCell ref="B337:H337"/>
    <mergeCell ref="I337:K337"/>
    <mergeCell ref="L337:N337"/>
    <mergeCell ref="B338:H338"/>
    <mergeCell ref="I338:K338"/>
    <mergeCell ref="L338:N338"/>
    <mergeCell ref="B339:H339"/>
    <mergeCell ref="I339:K339"/>
    <mergeCell ref="L339:N339"/>
    <mergeCell ref="B329:H329"/>
    <mergeCell ref="I329:K329"/>
    <mergeCell ref="L329:N329"/>
    <mergeCell ref="B330:H330"/>
    <mergeCell ref="I330:K330"/>
    <mergeCell ref="L330:N330"/>
    <mergeCell ref="A334:N335"/>
    <mergeCell ref="B336:H336"/>
    <mergeCell ref="I336:K336"/>
    <mergeCell ref="L336:N336"/>
    <mergeCell ref="B343:H343"/>
    <mergeCell ref="I343:K343"/>
    <mergeCell ref="L343:N343"/>
    <mergeCell ref="B344:H344"/>
    <mergeCell ref="I344:K344"/>
    <mergeCell ref="L344:N344"/>
    <mergeCell ref="B345:H345"/>
    <mergeCell ref="I345:K345"/>
    <mergeCell ref="L345:N345"/>
    <mergeCell ref="B340:H340"/>
    <mergeCell ref="I340:K340"/>
    <mergeCell ref="L340:N340"/>
    <mergeCell ref="B341:H341"/>
    <mergeCell ref="I341:K341"/>
    <mergeCell ref="L341:N341"/>
    <mergeCell ref="B342:H342"/>
    <mergeCell ref="I342:K342"/>
    <mergeCell ref="L342:N342"/>
    <mergeCell ref="B352:H352"/>
    <mergeCell ref="I352:K352"/>
    <mergeCell ref="L352:N352"/>
    <mergeCell ref="B353:H353"/>
    <mergeCell ref="I353:K353"/>
    <mergeCell ref="L353:N353"/>
    <mergeCell ref="B349:H349"/>
    <mergeCell ref="I349:K349"/>
    <mergeCell ref="L349:N349"/>
    <mergeCell ref="B350:H350"/>
    <mergeCell ref="I350:K350"/>
    <mergeCell ref="L350:N350"/>
    <mergeCell ref="B351:H351"/>
    <mergeCell ref="I351:K351"/>
    <mergeCell ref="L351:N351"/>
    <mergeCell ref="B346:H346"/>
    <mergeCell ref="I346:K346"/>
    <mergeCell ref="L346:N346"/>
    <mergeCell ref="B347:H347"/>
    <mergeCell ref="I347:K347"/>
    <mergeCell ref="L347:N347"/>
    <mergeCell ref="B348:H348"/>
    <mergeCell ref="I348:K348"/>
    <mergeCell ref="L348:N348"/>
    <mergeCell ref="B372:H372"/>
    <mergeCell ref="I364:K364"/>
    <mergeCell ref="L364:N364"/>
    <mergeCell ref="L365:N365"/>
    <mergeCell ref="L366:N366"/>
    <mergeCell ref="L367:N367"/>
    <mergeCell ref="L368:N368"/>
    <mergeCell ref="L369:N369"/>
    <mergeCell ref="L370:N370"/>
    <mergeCell ref="L371:N371"/>
    <mergeCell ref="B355:H355"/>
    <mergeCell ref="I355:K355"/>
    <mergeCell ref="L355:N355"/>
    <mergeCell ref="B354:H354"/>
    <mergeCell ref="I354:K354"/>
    <mergeCell ref="L354:N354"/>
    <mergeCell ref="L372:N372"/>
    <mergeCell ref="A357:N358"/>
    <mergeCell ref="I386:K386"/>
    <mergeCell ref="I387:K387"/>
    <mergeCell ref="I388:K388"/>
    <mergeCell ref="I389:K389"/>
    <mergeCell ref="I390:K390"/>
    <mergeCell ref="I391:K391"/>
    <mergeCell ref="I392:K392"/>
    <mergeCell ref="I393:K393"/>
    <mergeCell ref="I394:K394"/>
    <mergeCell ref="I395:K395"/>
    <mergeCell ref="A360:N361"/>
    <mergeCell ref="B362:H362"/>
    <mergeCell ref="I362:K362"/>
    <mergeCell ref="L362:N362"/>
    <mergeCell ref="A381:N382"/>
    <mergeCell ref="B383:H383"/>
    <mergeCell ref="I383:K383"/>
    <mergeCell ref="L383:N383"/>
    <mergeCell ref="B384:H384"/>
    <mergeCell ref="I384:K384"/>
    <mergeCell ref="L384:N384"/>
    <mergeCell ref="B363:H363"/>
    <mergeCell ref="I363:K363"/>
    <mergeCell ref="L363:N363"/>
    <mergeCell ref="B364:H364"/>
    <mergeCell ref="B365:H365"/>
    <mergeCell ref="B366:H366"/>
    <mergeCell ref="B367:H367"/>
    <mergeCell ref="B368:H368"/>
    <mergeCell ref="B369:H369"/>
    <mergeCell ref="B370:H370"/>
    <mergeCell ref="B371:H371"/>
    <mergeCell ref="L373:N373"/>
    <mergeCell ref="L374:N374"/>
    <mergeCell ref="I372:K372"/>
    <mergeCell ref="I373:K373"/>
    <mergeCell ref="I374:K374"/>
    <mergeCell ref="B373:H373"/>
    <mergeCell ref="B374:H374"/>
    <mergeCell ref="B396:H396"/>
    <mergeCell ref="L396:N396"/>
    <mergeCell ref="L375:N375"/>
    <mergeCell ref="L376:N376"/>
    <mergeCell ref="L377:N377"/>
    <mergeCell ref="I365:K365"/>
    <mergeCell ref="I366:K366"/>
    <mergeCell ref="I367:K367"/>
    <mergeCell ref="I368:K368"/>
    <mergeCell ref="I369:K369"/>
    <mergeCell ref="I370:K370"/>
    <mergeCell ref="I371:K371"/>
    <mergeCell ref="B392:H392"/>
    <mergeCell ref="B393:H393"/>
    <mergeCell ref="B394:H394"/>
    <mergeCell ref="B395:H395"/>
    <mergeCell ref="B385:H385"/>
    <mergeCell ref="B386:H386"/>
    <mergeCell ref="B387:H387"/>
    <mergeCell ref="B388:H388"/>
    <mergeCell ref="B389:H389"/>
    <mergeCell ref="B390:H390"/>
    <mergeCell ref="I396:K396"/>
    <mergeCell ref="L386:N386"/>
    <mergeCell ref="L395:N395"/>
    <mergeCell ref="L400:N400"/>
    <mergeCell ref="L401:N401"/>
    <mergeCell ref="L402:N402"/>
    <mergeCell ref="B375:H375"/>
    <mergeCell ref="B376:H376"/>
    <mergeCell ref="B377:H377"/>
    <mergeCell ref="B378:H378"/>
    <mergeCell ref="I375:K375"/>
    <mergeCell ref="I376:K376"/>
    <mergeCell ref="I377:K377"/>
    <mergeCell ref="I378:K378"/>
    <mergeCell ref="B397:H397"/>
    <mergeCell ref="B398:H398"/>
    <mergeCell ref="B399:H399"/>
    <mergeCell ref="B400:H400"/>
    <mergeCell ref="B401:H401"/>
    <mergeCell ref="B402:H402"/>
    <mergeCell ref="I397:K397"/>
    <mergeCell ref="I398:K398"/>
    <mergeCell ref="I399:K399"/>
    <mergeCell ref="I400:K400"/>
    <mergeCell ref="I401:K401"/>
    <mergeCell ref="I385:K385"/>
    <mergeCell ref="L385:N385"/>
    <mergeCell ref="L387:N387"/>
    <mergeCell ref="L388:N388"/>
    <mergeCell ref="L389:N389"/>
    <mergeCell ref="L390:N390"/>
    <mergeCell ref="L391:N391"/>
    <mergeCell ref="L392:N392"/>
    <mergeCell ref="L393:N393"/>
    <mergeCell ref="L394:N394"/>
    <mergeCell ref="A412:N413"/>
    <mergeCell ref="A415:N416"/>
    <mergeCell ref="B417:H417"/>
    <mergeCell ref="I417:K417"/>
    <mergeCell ref="L417:N417"/>
    <mergeCell ref="B418:H418"/>
    <mergeCell ref="I418:K418"/>
    <mergeCell ref="L418:N418"/>
    <mergeCell ref="B405:H405"/>
    <mergeCell ref="I405:K405"/>
    <mergeCell ref="L405:N405"/>
    <mergeCell ref="B406:H406"/>
    <mergeCell ref="I406:K406"/>
    <mergeCell ref="L406:N406"/>
    <mergeCell ref="B407:H407"/>
    <mergeCell ref="B408:H408"/>
    <mergeCell ref="I407:K407"/>
    <mergeCell ref="I408:K408"/>
    <mergeCell ref="L407:N407"/>
    <mergeCell ref="L408:N408"/>
    <mergeCell ref="B403:H403"/>
    <mergeCell ref="B391:H391"/>
    <mergeCell ref="L403:N403"/>
    <mergeCell ref="B404:H404"/>
    <mergeCell ref="I404:K404"/>
    <mergeCell ref="L404:N404"/>
    <mergeCell ref="B409:H409"/>
    <mergeCell ref="I409:K409"/>
    <mergeCell ref="L397:N397"/>
    <mergeCell ref="L398:N398"/>
    <mergeCell ref="L399:N399"/>
    <mergeCell ref="I403:K403"/>
    <mergeCell ref="B425:H425"/>
    <mergeCell ref="I425:K425"/>
    <mergeCell ref="L425:N425"/>
    <mergeCell ref="B426:H426"/>
    <mergeCell ref="I426:K426"/>
    <mergeCell ref="L426:N426"/>
    <mergeCell ref="B422:H422"/>
    <mergeCell ref="I422:K422"/>
    <mergeCell ref="L422:N422"/>
    <mergeCell ref="B423:H423"/>
    <mergeCell ref="I423:K423"/>
    <mergeCell ref="L423:N423"/>
    <mergeCell ref="B424:H424"/>
    <mergeCell ref="I424:K424"/>
    <mergeCell ref="L424:N424"/>
    <mergeCell ref="I402:K402"/>
    <mergeCell ref="B419:H419"/>
    <mergeCell ref="I419:K419"/>
    <mergeCell ref="L419:N419"/>
    <mergeCell ref="B420:H420"/>
    <mergeCell ref="I420:K420"/>
    <mergeCell ref="L420:N420"/>
    <mergeCell ref="B421:H421"/>
    <mergeCell ref="I421:K421"/>
    <mergeCell ref="L421:N421"/>
    <mergeCell ref="A434:N435"/>
    <mergeCell ref="B436:H436"/>
    <mergeCell ref="I436:K436"/>
    <mergeCell ref="L436:N436"/>
    <mergeCell ref="B437:H437"/>
    <mergeCell ref="I437:K437"/>
    <mergeCell ref="L437:N437"/>
    <mergeCell ref="B432:H432"/>
    <mergeCell ref="I432:K432"/>
    <mergeCell ref="B430:H430"/>
    <mergeCell ref="I430:K430"/>
    <mergeCell ref="L430:N430"/>
    <mergeCell ref="B431:H431"/>
    <mergeCell ref="I431:K431"/>
    <mergeCell ref="L431:N431"/>
    <mergeCell ref="B427:H427"/>
    <mergeCell ref="I427:K427"/>
    <mergeCell ref="L427:N427"/>
    <mergeCell ref="B428:H428"/>
    <mergeCell ref="I428:K428"/>
    <mergeCell ref="L428:N428"/>
    <mergeCell ref="B429:H429"/>
    <mergeCell ref="I429:K429"/>
    <mergeCell ref="L429:N429"/>
    <mergeCell ref="B438:H438"/>
    <mergeCell ref="I438:K438"/>
    <mergeCell ref="L438:N438"/>
    <mergeCell ref="B439:H439"/>
    <mergeCell ref="I439:K439"/>
    <mergeCell ref="L439:N439"/>
    <mergeCell ref="B440:H440"/>
    <mergeCell ref="I440:K440"/>
    <mergeCell ref="L440:N440"/>
    <mergeCell ref="I443:K443"/>
    <mergeCell ref="B443:H443"/>
    <mergeCell ref="B444:H444"/>
    <mergeCell ref="I444:K444"/>
    <mergeCell ref="L443:N443"/>
    <mergeCell ref="L444:N444"/>
    <mergeCell ref="B442:H442"/>
    <mergeCell ref="I442:K442"/>
    <mergeCell ref="L442:N442"/>
    <mergeCell ref="B448:H448"/>
    <mergeCell ref="I448:K448"/>
    <mergeCell ref="L448:N448"/>
    <mergeCell ref="B449:H449"/>
    <mergeCell ref="I449:K449"/>
    <mergeCell ref="L449:N449"/>
    <mergeCell ref="B450:H450"/>
    <mergeCell ref="I450:K450"/>
    <mergeCell ref="L450:N450"/>
    <mergeCell ref="B446:H446"/>
    <mergeCell ref="I446:K446"/>
    <mergeCell ref="L446:N446"/>
    <mergeCell ref="B447:H447"/>
    <mergeCell ref="I447:K447"/>
    <mergeCell ref="L447:N447"/>
    <mergeCell ref="B441:H441"/>
    <mergeCell ref="I441:K441"/>
    <mergeCell ref="L441:N441"/>
    <mergeCell ref="B445:H445"/>
    <mergeCell ref="I445:K445"/>
    <mergeCell ref="L445:N445"/>
    <mergeCell ref="B454:H454"/>
    <mergeCell ref="I454:K454"/>
    <mergeCell ref="L454:N454"/>
    <mergeCell ref="B455:H455"/>
    <mergeCell ref="I455:K455"/>
    <mergeCell ref="L455:N455"/>
    <mergeCell ref="B456:H456"/>
    <mergeCell ref="I456:K456"/>
    <mergeCell ref="L456:N456"/>
    <mergeCell ref="B451:H451"/>
    <mergeCell ref="I451:K451"/>
    <mergeCell ref="L451:N451"/>
    <mergeCell ref="B452:H452"/>
    <mergeCell ref="I452:K452"/>
    <mergeCell ref="L452:N452"/>
    <mergeCell ref="B453:H453"/>
    <mergeCell ref="I453:K453"/>
    <mergeCell ref="L453:N453"/>
    <mergeCell ref="B466:H466"/>
    <mergeCell ref="I466:K466"/>
    <mergeCell ref="B460:H460"/>
    <mergeCell ref="I460:K460"/>
    <mergeCell ref="L460:N460"/>
    <mergeCell ref="B461:H461"/>
    <mergeCell ref="I461:K461"/>
    <mergeCell ref="L461:N461"/>
    <mergeCell ref="B462:H462"/>
    <mergeCell ref="I462:K462"/>
    <mergeCell ref="L462:N462"/>
    <mergeCell ref="B457:H457"/>
    <mergeCell ref="I457:K457"/>
    <mergeCell ref="L457:N457"/>
    <mergeCell ref="B458:H458"/>
    <mergeCell ref="I458:K458"/>
    <mergeCell ref="L458:N458"/>
    <mergeCell ref="B459:H459"/>
    <mergeCell ref="I459:K459"/>
    <mergeCell ref="L459:N459"/>
    <mergeCell ref="B463:H463"/>
    <mergeCell ref="I463:K463"/>
    <mergeCell ref="L463:N463"/>
    <mergeCell ref="B464:F464"/>
    <mergeCell ref="I464:K464"/>
    <mergeCell ref="L464:N464"/>
    <mergeCell ref="I465:K46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0F68-CA0D-4CF2-9219-A06416DD369B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Administración La Estrella</cp:lastModifiedBy>
  <cp:revision/>
  <dcterms:created xsi:type="dcterms:W3CDTF">2021-01-06T14:35:18Z</dcterms:created>
  <dcterms:modified xsi:type="dcterms:W3CDTF">2022-12-01T19:02:04Z</dcterms:modified>
  <cp:category/>
  <cp:contentStatus/>
</cp:coreProperties>
</file>